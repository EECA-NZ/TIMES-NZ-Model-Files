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weerasa\git\TIMES-NZ-Model-Files\PREPARE-TIMES-NZ\data_raw\eeca_data\tcoe\"/>
    </mc:Choice>
  </mc:AlternateContent>
  <xr:revisionPtr revIDLastSave="0" documentId="13_ncr:1_{D2ECA11C-728A-4564-B8B6-7FE190E4E1EC}" xr6:coauthVersionLast="47" xr6:coauthVersionMax="47" xr10:uidLastSave="{00000000-0000-0000-0000-000000000000}"/>
  <bookViews>
    <workbookView xWindow="-7890" yWindow="-14510" windowWidth="34620" windowHeight="13900" xr2:uid="{00000000-000D-0000-FFFF-FFFF00000000}"/>
  </bookViews>
  <sheets>
    <sheet name="AG_costs" sheetId="1" r:id="rId1"/>
  </sheets>
  <definedNames>
    <definedName name="_xlnm._FilterDatabase" localSheetId="0" hidden="1">AG_costs!$A$1:$K$63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G50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tc={368FD7B1-0B83-4496-91A5-709F752F7FB1}</author>
  </authors>
  <commentList>
    <comment ref="G35" authorId="0" shapeId="0" xr:uid="{368FD7B1-0B83-4496-91A5-709F752F7FB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highlighted ones need to be suppressed as we can't share wider. Are we able to just show the aggregated amounts for these instead?</t>
      </text>
    </comment>
  </commentList>
</comments>
</file>

<file path=xl/sharedStrings.xml><?xml version="1.0" encoding="utf-8"?>
<sst xmlns="http://schemas.openxmlformats.org/spreadsheetml/2006/main" count="318" uniqueCount="102">
  <si>
    <t>Vehicle</t>
  </si>
  <si>
    <t>Type</t>
  </si>
  <si>
    <t>Category</t>
  </si>
  <si>
    <t>Technology</t>
  </si>
  <si>
    <t>Purchase Price</t>
  </si>
  <si>
    <t>Servicing Costs</t>
  </si>
  <si>
    <t>Tyres</t>
  </si>
  <si>
    <t>Ford Ranger</t>
  </si>
  <si>
    <t>Ute</t>
  </si>
  <si>
    <t>LCV</t>
  </si>
  <si>
    <t>Diesel ICE</t>
  </si>
  <si>
    <t>Toyota RAV4</t>
  </si>
  <si>
    <t>SUV</t>
  </si>
  <si>
    <t>LPV</t>
  </si>
  <si>
    <t>Petrol Hybrid</t>
  </si>
  <si>
    <t>Toyota Hilux</t>
  </si>
  <si>
    <t>Mistubishi Triton</t>
  </si>
  <si>
    <t>Mitsubishi ASX</t>
  </si>
  <si>
    <t>Car</t>
  </si>
  <si>
    <t>Petrol ICE</t>
  </si>
  <si>
    <t>Mitsubishi Outlander</t>
  </si>
  <si>
    <t>Kia Seltos</t>
  </si>
  <si>
    <t>Suzuki Swift</t>
  </si>
  <si>
    <t>Mitsubishi Eclipse Cross</t>
  </si>
  <si>
    <t>Ford Everest</t>
  </si>
  <si>
    <t>Nissan Leaf</t>
  </si>
  <si>
    <t>Battery Electric</t>
  </si>
  <si>
    <t>Toyota Corolla</t>
  </si>
  <si>
    <t>Mitsubishi Eclipse Cross PHEV</t>
  </si>
  <si>
    <t>Plug-in Hybrid</t>
  </si>
  <si>
    <t>Toyota Hilux Hybrid</t>
  </si>
  <si>
    <t>Diesel Hybrid</t>
  </si>
  <si>
    <t>BYD Shark 6</t>
  </si>
  <si>
    <t>Ford Ranger PHEV</t>
  </si>
  <si>
    <t>MG4</t>
  </si>
  <si>
    <t>GWM Ora</t>
  </si>
  <si>
    <t>BYD Atto 3</t>
  </si>
  <si>
    <t>MG HS+</t>
  </si>
  <si>
    <t>Toyota BZ4X</t>
  </si>
  <si>
    <t>Skoda ENYAQ</t>
  </si>
  <si>
    <t>Mitsubishi Outlander PHEV</t>
  </si>
  <si>
    <t>LDV Edeliver 9</t>
  </si>
  <si>
    <t>Van</t>
  </si>
  <si>
    <t>Peugeot E-Partner</t>
  </si>
  <si>
    <t>Toyota Hiace</t>
  </si>
  <si>
    <t>LDV Deliver 9</t>
  </si>
  <si>
    <t>Kia Sportage</t>
  </si>
  <si>
    <t>Mitsubishi Pajero Spor</t>
  </si>
  <si>
    <t>KGM Rexton</t>
  </si>
  <si>
    <t>Volkswagen Caddy</t>
  </si>
  <si>
    <t>Ford Transit Cargo</t>
  </si>
  <si>
    <t>LDV G10</t>
  </si>
  <si>
    <t>Hyundai Xcient FCEV</t>
  </si>
  <si>
    <t>Truck</t>
  </si>
  <si>
    <t>Heavy Truck</t>
  </si>
  <si>
    <t>Hydrogen Fuel Cell</t>
  </si>
  <si>
    <t>Quantum H53</t>
  </si>
  <si>
    <t>Windrose E1400</t>
  </si>
  <si>
    <t>Scania BEV</t>
  </si>
  <si>
    <t>Scania K230E Coach</t>
  </si>
  <si>
    <t>Bus</t>
  </si>
  <si>
    <t>Volvo FL Electric</t>
  </si>
  <si>
    <t>Medium Truck</t>
  </si>
  <si>
    <t>XCMG E700</t>
  </si>
  <si>
    <t>JAC N90EV</t>
  </si>
  <si>
    <t>Light Truck</t>
  </si>
  <si>
    <t>Hyundai Mighty</t>
  </si>
  <si>
    <t>Fuso Ecanter</t>
  </si>
  <si>
    <t>Fuso Canter 816</t>
  </si>
  <si>
    <t>Hybrid truck</t>
  </si>
  <si>
    <t>FUSO Fighter FK1125H Cab &amp; Chassis</t>
  </si>
  <si>
    <t>Scania 560</t>
  </si>
  <si>
    <t>Mercedes Actros 4x2</t>
  </si>
  <si>
    <t>Yutong 3 axle 350kWh</t>
  </si>
  <si>
    <t>GBV 3 axle</t>
  </si>
  <si>
    <t>Tranzit - Diesel 3 axle</t>
  </si>
  <si>
    <t>Super Soco TC Max</t>
  </si>
  <si>
    <t>Motorbike</t>
  </si>
  <si>
    <t>Suzuki GSX250RL</t>
  </si>
  <si>
    <t>Dual Fuel Hydrogen</t>
  </si>
  <si>
    <t>Dual Fuel</t>
  </si>
  <si>
    <t>KM/term</t>
  </si>
  <si>
    <t xml:space="preserve">Have opted for cheapest spec </t>
  </si>
  <si>
    <t>Utes have used cheapest double cab wellside 4wd</t>
  </si>
  <si>
    <t>Many categories have only vehicle due to lack of pricing data availability, have used SME judgement for representative figure</t>
  </si>
  <si>
    <t>Prices include GST (will need to remove before implentation in model)</t>
  </si>
  <si>
    <t>Servicing + Tyres $/km</t>
  </si>
  <si>
    <t>Source</t>
  </si>
  <si>
    <t>Price Base Year</t>
  </si>
  <si>
    <t>Price from Keith Andrews website</t>
  </si>
  <si>
    <t>Assumed 15% more than ICE - per Hino sales</t>
  </si>
  <si>
    <t>8x4 price of $390k reduced to fit 6x4</t>
  </si>
  <si>
    <t>LETF</t>
  </si>
  <si>
    <t>NZTA study</t>
  </si>
  <si>
    <t>TCOE</t>
  </si>
  <si>
    <t>Qingling EVF</t>
  </si>
  <si>
    <t>Dongfeng Chenglong</t>
  </si>
  <si>
    <t>Scania 23P 4x2</t>
  </si>
  <si>
    <t>XCMG E400</t>
  </si>
  <si>
    <t>Hydrogen</t>
  </si>
  <si>
    <t>Assumed same as Diesel ICE</t>
  </si>
  <si>
    <t>LPG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</si>
</sst>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2" borderId="0" xfId="0" applyFill="1"/>
    <xf numFmtId="2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9E074BD4-5B97-49CE-8A4A-FA12A5098D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w Greed" id="{A88C9573-3504-43DD-A7D9-EB365730FB1B}" userId="S::Andrew.Greed@eeca.govt.nz::9c1b22c0-21d8-492e-9162-29e6971ab7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5" dT="2025-05-12T19:28:34.25" personId="{A88C9573-3504-43DD-A7D9-EB365730FB1B}" id="{368FD7B1-0B83-4496-91A5-709F752F7FB1}">
    <text>These highlighted ones need to be suppressed as we can't share wider. Are we able to just show the aggregated amounts for these instead?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abSelected="1" topLeftCell="A46" workbookViewId="0">
      <selection activeCell="H66" sqref="H66"/>
    </sheetView>
  </sheetViews>
  <sheetFormatPr defaultRowHeight="15" x14ac:dyDescent="0.25"/>
  <cols>
    <col min="1" max="1" width="31.28515625" bestFit="1" customWidth="1"/>
    <col min="2" max="2" width="38.85546875" customWidth="1"/>
    <col min="3" max="3" width="22" customWidth="1"/>
    <col min="4" max="4" width="9.5703125" bestFit="1" customWidth="1"/>
    <col min="5" max="5" width="12.5703125" bestFit="1" customWidth="1"/>
    <col min="6" max="6" width="16.140625" bestFit="1" customWidth="1"/>
    <col min="7" max="7" width="12.7109375" bestFit="1" customWidth="1"/>
    <col min="8" max="8" width="12" bestFit="1" customWidth="1"/>
    <col min="9" max="9" width="13.140625" bestFit="1" customWidth="1"/>
    <col min="10" max="10" width="8" bestFit="1" customWidth="1"/>
    <col min="11" max="11" width="17.7109375" bestFit="1" customWidth="1"/>
  </cols>
  <sheetData>
    <row r="1" spans="1:16" x14ac:dyDescent="0.25">
      <c r="A1" t="s">
        <v>0</v>
      </c>
      <c r="B1" t="s">
        <v>87</v>
      </c>
      <c r="C1" t="s">
        <v>88</v>
      </c>
      <c r="D1" t="s">
        <v>1</v>
      </c>
      <c r="E1" t="s">
        <v>2</v>
      </c>
      <c r="F1" t="s">
        <v>3</v>
      </c>
      <c r="G1" t="s">
        <v>4</v>
      </c>
      <c r="I1" t="s">
        <v>5</v>
      </c>
      <c r="J1" t="s">
        <v>6</v>
      </c>
      <c r="K1" t="s">
        <v>86</v>
      </c>
    </row>
    <row r="2" spans="1:16" x14ac:dyDescent="0.25">
      <c r="A2" t="s">
        <v>7</v>
      </c>
      <c r="B2" t="s">
        <v>94</v>
      </c>
      <c r="C2">
        <v>2025</v>
      </c>
      <c r="D2" t="s">
        <v>8</v>
      </c>
      <c r="E2" t="s">
        <v>9</v>
      </c>
      <c r="F2" t="s">
        <v>10</v>
      </c>
      <c r="G2">
        <v>62490</v>
      </c>
      <c r="H2">
        <f>G2/1.15</f>
        <v>54339.130434782615</v>
      </c>
      <c r="I2">
        <v>2586</v>
      </c>
      <c r="J2">
        <v>1956</v>
      </c>
      <c r="K2" s="3">
        <f t="shared" ref="K2:K34" si="0">IF(((I2+J2)/$P$7)=0,"",(I2+J2)/$P$7)</f>
        <v>0.10814285714285714</v>
      </c>
    </row>
    <row r="3" spans="1:16" x14ac:dyDescent="0.25">
      <c r="A3" t="s">
        <v>11</v>
      </c>
      <c r="B3" t="s">
        <v>94</v>
      </c>
      <c r="C3">
        <v>2025</v>
      </c>
      <c r="D3" t="s">
        <v>12</v>
      </c>
      <c r="E3" t="s">
        <v>13</v>
      </c>
      <c r="F3" t="s">
        <v>14</v>
      </c>
      <c r="G3">
        <v>48790</v>
      </c>
      <c r="H3">
        <f t="shared" ref="H3:H34" si="1">G3/1.15</f>
        <v>42426.086956521744</v>
      </c>
      <c r="I3">
        <v>2472</v>
      </c>
      <c r="J3">
        <v>1309.68</v>
      </c>
      <c r="K3" s="3">
        <f t="shared" si="0"/>
        <v>9.0040000000000009E-2</v>
      </c>
    </row>
    <row r="4" spans="1:16" x14ac:dyDescent="0.25">
      <c r="A4" t="s">
        <v>15</v>
      </c>
      <c r="B4" t="s">
        <v>94</v>
      </c>
      <c r="C4">
        <v>2025</v>
      </c>
      <c r="D4" t="s">
        <v>8</v>
      </c>
      <c r="E4" t="s">
        <v>9</v>
      </c>
      <c r="F4" t="s">
        <v>10</v>
      </c>
      <c r="G4">
        <v>55490</v>
      </c>
      <c r="H4">
        <f t="shared" si="1"/>
        <v>48252.17391304348</v>
      </c>
      <c r="I4">
        <v>2691</v>
      </c>
      <c r="J4">
        <v>1274.32</v>
      </c>
      <c r="K4" s="3">
        <f t="shared" si="0"/>
        <v>9.4412380952380942E-2</v>
      </c>
    </row>
    <row r="5" spans="1:16" x14ac:dyDescent="0.25">
      <c r="A5" t="s">
        <v>16</v>
      </c>
      <c r="B5" t="s">
        <v>94</v>
      </c>
      <c r="C5">
        <v>2025</v>
      </c>
      <c r="D5" t="s">
        <v>8</v>
      </c>
      <c r="E5" t="s">
        <v>9</v>
      </c>
      <c r="F5" t="s">
        <v>10</v>
      </c>
      <c r="G5">
        <v>59990</v>
      </c>
      <c r="H5">
        <f t="shared" si="1"/>
        <v>52165.217391304352</v>
      </c>
      <c r="I5">
        <v>2850</v>
      </c>
      <c r="J5">
        <v>971.92</v>
      </c>
      <c r="K5" s="3">
        <f t="shared" si="0"/>
        <v>9.0998095238095239E-2</v>
      </c>
    </row>
    <row r="6" spans="1:16" x14ac:dyDescent="0.25">
      <c r="A6" t="s">
        <v>17</v>
      </c>
      <c r="B6" t="s">
        <v>94</v>
      </c>
      <c r="C6">
        <v>2025</v>
      </c>
      <c r="D6" t="s">
        <v>18</v>
      </c>
      <c r="E6" t="s">
        <v>13</v>
      </c>
      <c r="F6" t="s">
        <v>19</v>
      </c>
      <c r="G6">
        <v>41090</v>
      </c>
      <c r="H6">
        <f t="shared" si="1"/>
        <v>35730.434782608696</v>
      </c>
      <c r="I6">
        <v>1794</v>
      </c>
      <c r="J6">
        <v>1323.08</v>
      </c>
      <c r="K6" s="3">
        <f t="shared" si="0"/>
        <v>7.4216190476190477E-2</v>
      </c>
    </row>
    <row r="7" spans="1:16" x14ac:dyDescent="0.25">
      <c r="A7" t="s">
        <v>20</v>
      </c>
      <c r="B7" t="s">
        <v>94</v>
      </c>
      <c r="C7">
        <v>2025</v>
      </c>
      <c r="D7" t="s">
        <v>12</v>
      </c>
      <c r="E7" t="s">
        <v>13</v>
      </c>
      <c r="F7" t="s">
        <v>19</v>
      </c>
      <c r="G7">
        <v>49990</v>
      </c>
      <c r="H7">
        <f t="shared" si="1"/>
        <v>43469.565217391311</v>
      </c>
      <c r="I7">
        <v>2064</v>
      </c>
      <c r="J7">
        <v>1230.76</v>
      </c>
      <c r="K7" s="3">
        <f t="shared" si="0"/>
        <v>7.8446666666666678E-2</v>
      </c>
      <c r="O7" t="s">
        <v>81</v>
      </c>
      <c r="P7">
        <v>42000</v>
      </c>
    </row>
    <row r="8" spans="1:16" x14ac:dyDescent="0.25">
      <c r="A8" t="s">
        <v>21</v>
      </c>
      <c r="B8" t="s">
        <v>94</v>
      </c>
      <c r="C8">
        <v>2025</v>
      </c>
      <c r="D8" t="s">
        <v>12</v>
      </c>
      <c r="E8" t="s">
        <v>13</v>
      </c>
      <c r="F8" t="s">
        <v>19</v>
      </c>
      <c r="G8">
        <v>35990</v>
      </c>
      <c r="H8">
        <f t="shared" si="1"/>
        <v>31295.652173913048</v>
      </c>
      <c r="I8">
        <v>1464</v>
      </c>
      <c r="J8">
        <v>1224.6400000000001</v>
      </c>
      <c r="K8" s="3">
        <f t="shared" si="0"/>
        <v>6.4015238095238097E-2</v>
      </c>
    </row>
    <row r="9" spans="1:16" x14ac:dyDescent="0.25">
      <c r="A9" t="s">
        <v>22</v>
      </c>
      <c r="B9" t="s">
        <v>94</v>
      </c>
      <c r="C9">
        <v>2025</v>
      </c>
      <c r="D9" t="s">
        <v>18</v>
      </c>
      <c r="E9" t="s">
        <v>13</v>
      </c>
      <c r="F9" t="s">
        <v>19</v>
      </c>
      <c r="G9">
        <v>24990</v>
      </c>
      <c r="H9">
        <f t="shared" si="1"/>
        <v>21730.434782608696</v>
      </c>
      <c r="I9">
        <v>1311</v>
      </c>
      <c r="J9">
        <v>992.76</v>
      </c>
      <c r="K9" s="3">
        <f t="shared" si="0"/>
        <v>5.4851428571428579E-2</v>
      </c>
      <c r="O9" t="s">
        <v>82</v>
      </c>
    </row>
    <row r="10" spans="1:16" x14ac:dyDescent="0.25">
      <c r="A10" t="s">
        <v>23</v>
      </c>
      <c r="B10" t="s">
        <v>94</v>
      </c>
      <c r="C10">
        <v>2025</v>
      </c>
      <c r="D10" t="s">
        <v>18</v>
      </c>
      <c r="E10" t="s">
        <v>13</v>
      </c>
      <c r="F10" t="s">
        <v>19</v>
      </c>
      <c r="G10">
        <v>41690</v>
      </c>
      <c r="H10">
        <f t="shared" si="1"/>
        <v>36252.17391304348</v>
      </c>
      <c r="I10">
        <v>1650</v>
      </c>
      <c r="J10">
        <v>1323.08</v>
      </c>
      <c r="K10" s="3">
        <f t="shared" si="0"/>
        <v>7.0787619047619044E-2</v>
      </c>
      <c r="O10" t="s">
        <v>83</v>
      </c>
    </row>
    <row r="11" spans="1:16" x14ac:dyDescent="0.25">
      <c r="A11" t="s">
        <v>24</v>
      </c>
      <c r="B11" t="s">
        <v>94</v>
      </c>
      <c r="C11">
        <v>2025</v>
      </c>
      <c r="D11" t="s">
        <v>12</v>
      </c>
      <c r="E11" t="s">
        <v>13</v>
      </c>
      <c r="F11" t="s">
        <v>19</v>
      </c>
      <c r="H11">
        <f t="shared" si="1"/>
        <v>0</v>
      </c>
      <c r="K11" s="3" t="str">
        <f t="shared" si="0"/>
        <v/>
      </c>
      <c r="O11" t="s">
        <v>84</v>
      </c>
    </row>
    <row r="12" spans="1:16" x14ac:dyDescent="0.25">
      <c r="A12" t="s">
        <v>25</v>
      </c>
      <c r="B12" t="s">
        <v>94</v>
      </c>
      <c r="C12">
        <v>2025</v>
      </c>
      <c r="D12" t="s">
        <v>18</v>
      </c>
      <c r="E12" t="s">
        <v>13</v>
      </c>
      <c r="F12" t="s">
        <v>26</v>
      </c>
      <c r="G12">
        <v>29990</v>
      </c>
      <c r="H12">
        <f t="shared" si="1"/>
        <v>26078.26086956522</v>
      </c>
      <c r="I12">
        <v>1173</v>
      </c>
      <c r="J12">
        <v>980.64</v>
      </c>
      <c r="K12" s="3">
        <f t="shared" si="0"/>
        <v>5.1277142857142854E-2</v>
      </c>
      <c r="O12" t="s">
        <v>85</v>
      </c>
    </row>
    <row r="13" spans="1:16" x14ac:dyDescent="0.25">
      <c r="A13" t="s">
        <v>27</v>
      </c>
      <c r="B13" t="s">
        <v>94</v>
      </c>
      <c r="C13">
        <v>2025</v>
      </c>
      <c r="D13" t="s">
        <v>18</v>
      </c>
      <c r="E13" t="s">
        <v>13</v>
      </c>
      <c r="F13" t="s">
        <v>14</v>
      </c>
      <c r="G13">
        <v>37490</v>
      </c>
      <c r="H13">
        <f t="shared" si="1"/>
        <v>32600.000000000004</v>
      </c>
      <c r="I13">
        <v>1545</v>
      </c>
      <c r="J13">
        <v>902.32</v>
      </c>
      <c r="K13" s="3">
        <f t="shared" si="0"/>
        <v>5.8269523809523813E-2</v>
      </c>
    </row>
    <row r="14" spans="1:16" x14ac:dyDescent="0.25">
      <c r="A14" t="s">
        <v>28</v>
      </c>
      <c r="B14" t="s">
        <v>94</v>
      </c>
      <c r="C14">
        <v>2025</v>
      </c>
      <c r="D14" t="s">
        <v>12</v>
      </c>
      <c r="E14" t="s">
        <v>13</v>
      </c>
      <c r="F14" t="s">
        <v>29</v>
      </c>
      <c r="G14">
        <v>58990</v>
      </c>
      <c r="H14">
        <f t="shared" si="1"/>
        <v>51295.652173913048</v>
      </c>
      <c r="I14">
        <v>2067</v>
      </c>
      <c r="J14">
        <v>1323.08</v>
      </c>
      <c r="K14" s="3">
        <f t="shared" si="0"/>
        <v>8.0716190476190469E-2</v>
      </c>
    </row>
    <row r="15" spans="1:16" x14ac:dyDescent="0.25">
      <c r="A15" t="s">
        <v>30</v>
      </c>
      <c r="B15" t="s">
        <v>94</v>
      </c>
      <c r="C15">
        <v>2025</v>
      </c>
      <c r="D15" t="s">
        <v>8</v>
      </c>
      <c r="E15" t="s">
        <v>9</v>
      </c>
      <c r="F15" t="s">
        <v>31</v>
      </c>
      <c r="G15">
        <v>55490</v>
      </c>
      <c r="H15">
        <f t="shared" si="1"/>
        <v>48252.17391304348</v>
      </c>
      <c r="I15">
        <v>2691</v>
      </c>
      <c r="J15">
        <v>1274.32</v>
      </c>
      <c r="K15" s="3">
        <f t="shared" si="0"/>
        <v>9.4412380952380942E-2</v>
      </c>
    </row>
    <row r="16" spans="1:16" x14ac:dyDescent="0.25">
      <c r="A16" t="s">
        <v>32</v>
      </c>
      <c r="B16" t="s">
        <v>94</v>
      </c>
      <c r="C16">
        <v>2025</v>
      </c>
      <c r="D16" t="s">
        <v>8</v>
      </c>
      <c r="E16" t="s">
        <v>9</v>
      </c>
      <c r="F16" t="s">
        <v>29</v>
      </c>
      <c r="G16">
        <v>70740</v>
      </c>
      <c r="H16">
        <f t="shared" si="1"/>
        <v>61513.043478260872</v>
      </c>
      <c r="I16">
        <v>1797</v>
      </c>
      <c r="J16">
        <v>2128</v>
      </c>
      <c r="K16" s="3">
        <f t="shared" si="0"/>
        <v>9.3452380952380953E-2</v>
      </c>
    </row>
    <row r="17" spans="1:11" x14ac:dyDescent="0.25">
      <c r="A17" t="s">
        <v>33</v>
      </c>
      <c r="B17" t="s">
        <v>94</v>
      </c>
      <c r="C17">
        <v>2025</v>
      </c>
      <c r="D17" t="s">
        <v>8</v>
      </c>
      <c r="E17" t="s">
        <v>9</v>
      </c>
      <c r="F17" t="s">
        <v>29</v>
      </c>
      <c r="G17">
        <v>82990</v>
      </c>
      <c r="H17">
        <f t="shared" si="1"/>
        <v>72165.217391304352</v>
      </c>
      <c r="I17">
        <v>2631</v>
      </c>
      <c r="J17">
        <v>1956</v>
      </c>
      <c r="K17" s="3">
        <f t="shared" si="0"/>
        <v>0.10921428571428571</v>
      </c>
    </row>
    <row r="18" spans="1:11" x14ac:dyDescent="0.25">
      <c r="A18" t="s">
        <v>34</v>
      </c>
      <c r="B18" t="s">
        <v>94</v>
      </c>
      <c r="C18">
        <v>2025</v>
      </c>
      <c r="D18" t="s">
        <v>12</v>
      </c>
      <c r="E18" t="s">
        <v>13</v>
      </c>
      <c r="F18" t="s">
        <v>26</v>
      </c>
      <c r="G18">
        <v>42990</v>
      </c>
      <c r="H18">
        <f t="shared" si="1"/>
        <v>37382.608695652176</v>
      </c>
      <c r="I18">
        <v>1192</v>
      </c>
      <c r="J18">
        <v>980.64</v>
      </c>
      <c r="K18" s="3">
        <f t="shared" si="0"/>
        <v>5.1729523809523809E-2</v>
      </c>
    </row>
    <row r="19" spans="1:11" x14ac:dyDescent="0.25">
      <c r="A19" t="s">
        <v>35</v>
      </c>
      <c r="B19" t="s">
        <v>94</v>
      </c>
      <c r="C19">
        <v>2025</v>
      </c>
      <c r="D19" t="s">
        <v>18</v>
      </c>
      <c r="E19" t="s">
        <v>13</v>
      </c>
      <c r="F19" t="s">
        <v>26</v>
      </c>
      <c r="G19">
        <v>37990</v>
      </c>
      <c r="H19">
        <f t="shared" si="1"/>
        <v>33034.782608695656</v>
      </c>
      <c r="I19">
        <v>915</v>
      </c>
      <c r="J19">
        <v>995.64</v>
      </c>
      <c r="K19" s="3">
        <f t="shared" si="0"/>
        <v>4.5491428571428572E-2</v>
      </c>
    </row>
    <row r="20" spans="1:11" x14ac:dyDescent="0.25">
      <c r="A20" t="s">
        <v>36</v>
      </c>
      <c r="B20" t="s">
        <v>94</v>
      </c>
      <c r="C20">
        <v>2025</v>
      </c>
      <c r="D20" t="s">
        <v>12</v>
      </c>
      <c r="E20" t="s">
        <v>13</v>
      </c>
      <c r="F20" t="s">
        <v>26</v>
      </c>
      <c r="G20">
        <v>49990</v>
      </c>
      <c r="H20">
        <f t="shared" si="1"/>
        <v>43469.565217391311</v>
      </c>
      <c r="I20">
        <v>644</v>
      </c>
      <c r="J20">
        <v>1630.72</v>
      </c>
      <c r="K20" s="3">
        <f t="shared" si="0"/>
        <v>5.4160000000000007E-2</v>
      </c>
    </row>
    <row r="21" spans="1:11" x14ac:dyDescent="0.25">
      <c r="A21" t="s">
        <v>37</v>
      </c>
      <c r="B21" t="s">
        <v>94</v>
      </c>
      <c r="C21">
        <v>2025</v>
      </c>
      <c r="D21" t="s">
        <v>12</v>
      </c>
      <c r="E21" t="s">
        <v>13</v>
      </c>
      <c r="F21" t="s">
        <v>29</v>
      </c>
      <c r="G21">
        <v>44990</v>
      </c>
      <c r="H21">
        <f t="shared" si="1"/>
        <v>39121.739130434784</v>
      </c>
      <c r="I21">
        <v>1806</v>
      </c>
      <c r="J21">
        <v>1460.64</v>
      </c>
      <c r="K21" s="3">
        <f t="shared" si="0"/>
        <v>7.7777142857142864E-2</v>
      </c>
    </row>
    <row r="22" spans="1:11" x14ac:dyDescent="0.25">
      <c r="A22" t="s">
        <v>38</v>
      </c>
      <c r="B22" t="s">
        <v>94</v>
      </c>
      <c r="C22">
        <v>2025</v>
      </c>
      <c r="D22" t="s">
        <v>12</v>
      </c>
      <c r="E22" t="s">
        <v>13</v>
      </c>
      <c r="F22" t="s">
        <v>26</v>
      </c>
      <c r="G22">
        <v>65990</v>
      </c>
      <c r="H22">
        <f t="shared" si="1"/>
        <v>57382.608695652176</v>
      </c>
      <c r="I22">
        <v>972</v>
      </c>
      <c r="J22">
        <v>3138.2</v>
      </c>
      <c r="K22" s="3">
        <f t="shared" si="0"/>
        <v>9.7861904761904761E-2</v>
      </c>
    </row>
    <row r="23" spans="1:11" x14ac:dyDescent="0.25">
      <c r="A23" t="s">
        <v>39</v>
      </c>
      <c r="B23" t="s">
        <v>94</v>
      </c>
      <c r="C23">
        <v>2025</v>
      </c>
      <c r="D23" t="s">
        <v>12</v>
      </c>
      <c r="E23" t="s">
        <v>13</v>
      </c>
      <c r="F23" t="s">
        <v>26</v>
      </c>
      <c r="G23">
        <v>67990</v>
      </c>
      <c r="H23">
        <f t="shared" si="1"/>
        <v>59121.739130434784</v>
      </c>
      <c r="I23">
        <v>1197</v>
      </c>
      <c r="J23">
        <v>1808</v>
      </c>
      <c r="K23" s="3">
        <f t="shared" si="0"/>
        <v>7.1547619047619054E-2</v>
      </c>
    </row>
    <row r="24" spans="1:11" x14ac:dyDescent="0.25">
      <c r="A24" t="s">
        <v>40</v>
      </c>
      <c r="B24" t="s">
        <v>94</v>
      </c>
      <c r="C24">
        <v>2025</v>
      </c>
      <c r="D24" t="s">
        <v>12</v>
      </c>
      <c r="E24" t="s">
        <v>13</v>
      </c>
      <c r="F24" t="s">
        <v>29</v>
      </c>
      <c r="G24">
        <v>55690</v>
      </c>
      <c r="H24">
        <f t="shared" si="1"/>
        <v>48426.086956521744</v>
      </c>
      <c r="I24">
        <v>2064</v>
      </c>
      <c r="J24">
        <v>1230.76</v>
      </c>
      <c r="K24" s="3">
        <f t="shared" si="0"/>
        <v>7.8446666666666678E-2</v>
      </c>
    </row>
    <row r="25" spans="1:11" x14ac:dyDescent="0.25">
      <c r="A25" t="s">
        <v>41</v>
      </c>
      <c r="B25" t="s">
        <v>94</v>
      </c>
      <c r="C25">
        <v>2025</v>
      </c>
      <c r="D25" t="s">
        <v>42</v>
      </c>
      <c r="E25" t="s">
        <v>9</v>
      </c>
      <c r="F25" t="s">
        <v>26</v>
      </c>
      <c r="G25">
        <v>69990</v>
      </c>
      <c r="H25">
        <f t="shared" si="1"/>
        <v>60860.869565217399</v>
      </c>
      <c r="I25">
        <v>1167</v>
      </c>
      <c r="J25">
        <v>897.36</v>
      </c>
      <c r="K25" s="3">
        <f t="shared" si="0"/>
        <v>4.9151428571428575E-2</v>
      </c>
    </row>
    <row r="26" spans="1:11" x14ac:dyDescent="0.25">
      <c r="A26" t="s">
        <v>43</v>
      </c>
      <c r="B26" t="s">
        <v>94</v>
      </c>
      <c r="C26">
        <v>2025</v>
      </c>
      <c r="D26" t="s">
        <v>42</v>
      </c>
      <c r="E26" t="s">
        <v>9</v>
      </c>
      <c r="F26" t="s">
        <v>26</v>
      </c>
      <c r="G26">
        <v>74990</v>
      </c>
      <c r="H26">
        <f t="shared" si="1"/>
        <v>65208.695652173919</v>
      </c>
      <c r="I26">
        <v>1101</v>
      </c>
      <c r="J26">
        <v>843.2</v>
      </c>
      <c r="K26" s="3">
        <f t="shared" si="0"/>
        <v>4.6290476190476194E-2</v>
      </c>
    </row>
    <row r="27" spans="1:11" x14ac:dyDescent="0.25">
      <c r="A27" t="s">
        <v>44</v>
      </c>
      <c r="B27" t="s">
        <v>94</v>
      </c>
      <c r="C27">
        <v>2025</v>
      </c>
      <c r="D27" t="s">
        <v>42</v>
      </c>
      <c r="E27" t="s">
        <v>9</v>
      </c>
      <c r="F27" t="s">
        <v>10</v>
      </c>
      <c r="G27">
        <v>55990</v>
      </c>
      <c r="H27">
        <f t="shared" si="1"/>
        <v>48686.956521739135</v>
      </c>
      <c r="I27">
        <v>2205</v>
      </c>
      <c r="J27">
        <v>860.52</v>
      </c>
      <c r="K27" s="3">
        <f t="shared" si="0"/>
        <v>7.298857142857143E-2</v>
      </c>
    </row>
    <row r="28" spans="1:11" x14ac:dyDescent="0.25">
      <c r="A28" t="s">
        <v>45</v>
      </c>
      <c r="B28" t="s">
        <v>94</v>
      </c>
      <c r="C28">
        <v>2025</v>
      </c>
      <c r="D28" t="s">
        <v>42</v>
      </c>
      <c r="E28" t="s">
        <v>9</v>
      </c>
      <c r="F28" t="s">
        <v>10</v>
      </c>
      <c r="G28">
        <v>55990</v>
      </c>
      <c r="H28">
        <f t="shared" si="1"/>
        <v>48686.956521739135</v>
      </c>
      <c r="I28">
        <v>1764</v>
      </c>
      <c r="J28">
        <v>897.36</v>
      </c>
      <c r="K28" s="3">
        <f t="shared" si="0"/>
        <v>6.3365714285714289E-2</v>
      </c>
    </row>
    <row r="29" spans="1:11" x14ac:dyDescent="0.25">
      <c r="A29" t="s">
        <v>46</v>
      </c>
      <c r="B29" t="s">
        <v>94</v>
      </c>
      <c r="C29">
        <v>2025</v>
      </c>
      <c r="D29" t="s">
        <v>12</v>
      </c>
      <c r="E29" t="s">
        <v>13</v>
      </c>
      <c r="F29" t="s">
        <v>10</v>
      </c>
      <c r="G29">
        <v>47290</v>
      </c>
      <c r="H29">
        <f t="shared" si="1"/>
        <v>41121.739130434784</v>
      </c>
      <c r="I29">
        <v>2367</v>
      </c>
      <c r="J29">
        <v>1140</v>
      </c>
      <c r="K29" s="3">
        <f t="shared" si="0"/>
        <v>8.3500000000000005E-2</v>
      </c>
    </row>
    <row r="30" spans="1:11" x14ac:dyDescent="0.25">
      <c r="A30" t="s">
        <v>47</v>
      </c>
      <c r="B30" t="s">
        <v>94</v>
      </c>
      <c r="C30">
        <v>2025</v>
      </c>
      <c r="D30" t="s">
        <v>12</v>
      </c>
      <c r="E30" t="s">
        <v>13</v>
      </c>
      <c r="F30" t="s">
        <v>10</v>
      </c>
      <c r="G30">
        <v>68990</v>
      </c>
      <c r="H30">
        <f t="shared" si="1"/>
        <v>59991.304347826095</v>
      </c>
      <c r="I30">
        <v>1803</v>
      </c>
      <c r="J30">
        <v>1686</v>
      </c>
      <c r="K30" s="3">
        <f t="shared" si="0"/>
        <v>8.3071428571428574E-2</v>
      </c>
    </row>
    <row r="31" spans="1:11" x14ac:dyDescent="0.25">
      <c r="A31" t="s">
        <v>48</v>
      </c>
      <c r="B31" t="s">
        <v>94</v>
      </c>
      <c r="C31">
        <v>2025</v>
      </c>
      <c r="D31" t="s">
        <v>12</v>
      </c>
      <c r="E31" t="s">
        <v>13</v>
      </c>
      <c r="F31" t="s">
        <v>10</v>
      </c>
      <c r="G31">
        <v>47990</v>
      </c>
      <c r="H31">
        <f t="shared" si="1"/>
        <v>41730.434782608696</v>
      </c>
      <c r="I31">
        <v>2175</v>
      </c>
      <c r="J31">
        <v>2320</v>
      </c>
      <c r="K31" s="3">
        <f t="shared" si="0"/>
        <v>0.10702380952380952</v>
      </c>
    </row>
    <row r="32" spans="1:11" x14ac:dyDescent="0.25">
      <c r="A32" t="s">
        <v>49</v>
      </c>
      <c r="B32" t="s">
        <v>94</v>
      </c>
      <c r="C32">
        <v>2025</v>
      </c>
      <c r="D32" t="s">
        <v>42</v>
      </c>
      <c r="E32" t="s">
        <v>9</v>
      </c>
      <c r="F32" t="s">
        <v>19</v>
      </c>
      <c r="G32">
        <v>55500</v>
      </c>
      <c r="H32">
        <f t="shared" si="1"/>
        <v>48260.869565217392</v>
      </c>
      <c r="I32">
        <v>587</v>
      </c>
      <c r="J32">
        <v>902.32</v>
      </c>
      <c r="K32" s="3">
        <f t="shared" si="0"/>
        <v>3.5460000000000005E-2</v>
      </c>
    </row>
    <row r="33" spans="1:11" x14ac:dyDescent="0.25">
      <c r="A33" t="s">
        <v>50</v>
      </c>
      <c r="B33" t="s">
        <v>94</v>
      </c>
      <c r="C33">
        <v>2025</v>
      </c>
      <c r="D33" t="s">
        <v>42</v>
      </c>
      <c r="E33" t="s">
        <v>9</v>
      </c>
      <c r="F33" t="s">
        <v>19</v>
      </c>
      <c r="G33">
        <v>85490</v>
      </c>
      <c r="H33">
        <f t="shared" si="1"/>
        <v>74339.130434782608</v>
      </c>
      <c r="I33">
        <v>1200</v>
      </c>
      <c r="J33">
        <v>1085.8800000000001</v>
      </c>
      <c r="K33" s="3">
        <f t="shared" si="0"/>
        <v>5.4425714285714286E-2</v>
      </c>
    </row>
    <row r="34" spans="1:11" x14ac:dyDescent="0.25">
      <c r="A34" t="s">
        <v>51</v>
      </c>
      <c r="B34" t="s">
        <v>94</v>
      </c>
      <c r="C34">
        <v>2025</v>
      </c>
      <c r="D34" t="s">
        <v>42</v>
      </c>
      <c r="E34" t="s">
        <v>9</v>
      </c>
      <c r="F34" t="s">
        <v>19</v>
      </c>
      <c r="G34">
        <v>44990</v>
      </c>
      <c r="H34">
        <f t="shared" si="1"/>
        <v>39121.739130434784</v>
      </c>
      <c r="I34">
        <v>1425</v>
      </c>
      <c r="J34">
        <v>860.52</v>
      </c>
      <c r="K34" s="3">
        <f t="shared" si="0"/>
        <v>5.4417142857142858E-2</v>
      </c>
    </row>
    <row r="35" spans="1:11" x14ac:dyDescent="0.25">
      <c r="A35" t="s">
        <v>52</v>
      </c>
      <c r="B35" t="s">
        <v>94</v>
      </c>
      <c r="C35">
        <v>2025</v>
      </c>
      <c r="D35" t="s">
        <v>53</v>
      </c>
      <c r="E35" t="s">
        <v>54</v>
      </c>
      <c r="F35" t="s">
        <v>55</v>
      </c>
      <c r="G35" s="2">
        <v>955000</v>
      </c>
      <c r="H35" s="2"/>
      <c r="K35" s="3"/>
    </row>
    <row r="36" spans="1:11" x14ac:dyDescent="0.25">
      <c r="A36" t="s">
        <v>56</v>
      </c>
      <c r="B36" t="s">
        <v>94</v>
      </c>
      <c r="C36">
        <v>2025</v>
      </c>
      <c r="D36" t="s">
        <v>53</v>
      </c>
      <c r="E36" t="s">
        <v>54</v>
      </c>
      <c r="F36" t="s">
        <v>55</v>
      </c>
      <c r="G36" s="2">
        <v>827000</v>
      </c>
      <c r="H36" s="2"/>
      <c r="K36" s="3"/>
    </row>
    <row r="37" spans="1:11" x14ac:dyDescent="0.25">
      <c r="A37" t="s">
        <v>57</v>
      </c>
      <c r="B37" t="s">
        <v>94</v>
      </c>
      <c r="C37">
        <v>2025</v>
      </c>
      <c r="D37" t="s">
        <v>53</v>
      </c>
      <c r="E37" t="s">
        <v>54</v>
      </c>
      <c r="F37" t="s">
        <v>26</v>
      </c>
      <c r="G37" s="2">
        <v>550000</v>
      </c>
      <c r="H37" s="2"/>
      <c r="K37" s="3"/>
    </row>
    <row r="38" spans="1:11" x14ac:dyDescent="0.25">
      <c r="A38" t="s">
        <v>58</v>
      </c>
      <c r="B38" t="s">
        <v>94</v>
      </c>
      <c r="C38">
        <v>2025</v>
      </c>
      <c r="D38" t="s">
        <v>53</v>
      </c>
      <c r="E38" t="s">
        <v>54</v>
      </c>
      <c r="F38" t="s">
        <v>26</v>
      </c>
      <c r="G38" s="2">
        <v>826000</v>
      </c>
      <c r="H38" s="2"/>
      <c r="K38" s="3"/>
    </row>
    <row r="39" spans="1:11" x14ac:dyDescent="0.25">
      <c r="A39" t="s">
        <v>59</v>
      </c>
      <c r="B39" t="s">
        <v>94</v>
      </c>
      <c r="C39">
        <v>2025</v>
      </c>
      <c r="D39" t="s">
        <v>60</v>
      </c>
      <c r="E39" t="s">
        <v>60</v>
      </c>
      <c r="F39" t="s">
        <v>26</v>
      </c>
      <c r="G39" s="2">
        <v>455000</v>
      </c>
      <c r="H39" s="2"/>
      <c r="K39" s="3"/>
    </row>
    <row r="40" spans="1:11" x14ac:dyDescent="0.25">
      <c r="A40" t="s">
        <v>61</v>
      </c>
      <c r="B40" t="s">
        <v>94</v>
      </c>
      <c r="C40">
        <v>2025</v>
      </c>
      <c r="D40" t="s">
        <v>53</v>
      </c>
      <c r="E40" t="s">
        <v>62</v>
      </c>
      <c r="F40" t="s">
        <v>26</v>
      </c>
      <c r="G40" s="2">
        <v>637320</v>
      </c>
      <c r="H40" s="2"/>
      <c r="K40" s="3"/>
    </row>
    <row r="41" spans="1:11" x14ac:dyDescent="0.25">
      <c r="A41" t="s">
        <v>63</v>
      </c>
      <c r="B41" t="s">
        <v>94</v>
      </c>
      <c r="C41">
        <v>2025</v>
      </c>
      <c r="D41" t="s">
        <v>53</v>
      </c>
      <c r="E41" t="s">
        <v>62</v>
      </c>
      <c r="F41" t="s">
        <v>26</v>
      </c>
      <c r="G41" s="2">
        <v>244000</v>
      </c>
      <c r="H41" s="2"/>
      <c r="K41" s="3"/>
    </row>
    <row r="42" spans="1:11" x14ac:dyDescent="0.25">
      <c r="A42" t="s">
        <v>95</v>
      </c>
      <c r="B42" t="s">
        <v>94</v>
      </c>
      <c r="C42">
        <v>2025</v>
      </c>
      <c r="D42" t="s">
        <v>53</v>
      </c>
      <c r="E42" t="s">
        <v>62</v>
      </c>
      <c r="F42" t="s">
        <v>26</v>
      </c>
      <c r="G42" s="2">
        <v>357000</v>
      </c>
      <c r="H42" s="2"/>
      <c r="K42" s="3"/>
    </row>
    <row r="43" spans="1:11" x14ac:dyDescent="0.25">
      <c r="A43" t="s">
        <v>96</v>
      </c>
      <c r="B43" t="s">
        <v>94</v>
      </c>
      <c r="C43">
        <v>2025</v>
      </c>
      <c r="D43" t="s">
        <v>53</v>
      </c>
      <c r="E43" t="s">
        <v>62</v>
      </c>
      <c r="F43" t="s">
        <v>26</v>
      </c>
      <c r="G43" s="2">
        <v>186300</v>
      </c>
      <c r="H43" s="2"/>
      <c r="K43" s="3"/>
    </row>
    <row r="44" spans="1:11" x14ac:dyDescent="0.25">
      <c r="A44" t="s">
        <v>97</v>
      </c>
      <c r="B44" t="s">
        <v>94</v>
      </c>
      <c r="C44">
        <v>2025</v>
      </c>
      <c r="D44" t="s">
        <v>53</v>
      </c>
      <c r="E44" t="s">
        <v>62</v>
      </c>
      <c r="F44" t="s">
        <v>26</v>
      </c>
      <c r="G44" s="2">
        <v>645000</v>
      </c>
      <c r="H44" s="2"/>
      <c r="K44" s="3"/>
    </row>
    <row r="45" spans="1:11" x14ac:dyDescent="0.25">
      <c r="A45" t="s">
        <v>98</v>
      </c>
      <c r="B45" t="s">
        <v>94</v>
      </c>
      <c r="C45">
        <v>2025</v>
      </c>
      <c r="D45" t="s">
        <v>53</v>
      </c>
      <c r="E45" t="s">
        <v>62</v>
      </c>
      <c r="F45" t="s">
        <v>26</v>
      </c>
      <c r="G45" s="2">
        <v>258000</v>
      </c>
      <c r="H45" s="2"/>
      <c r="K45" s="3"/>
    </row>
    <row r="46" spans="1:11" x14ac:dyDescent="0.25">
      <c r="A46" t="s">
        <v>64</v>
      </c>
      <c r="B46" t="s">
        <v>94</v>
      </c>
      <c r="C46">
        <v>2025</v>
      </c>
      <c r="D46" t="s">
        <v>53</v>
      </c>
      <c r="E46" t="s">
        <v>65</v>
      </c>
      <c r="F46" t="s">
        <v>26</v>
      </c>
      <c r="G46" s="2">
        <v>149900</v>
      </c>
      <c r="H46" s="2"/>
      <c r="K46" s="3"/>
    </row>
    <row r="47" spans="1:11" x14ac:dyDescent="0.25">
      <c r="A47" t="s">
        <v>66</v>
      </c>
      <c r="B47" t="s">
        <v>94</v>
      </c>
      <c r="C47">
        <v>2025</v>
      </c>
      <c r="D47" t="s">
        <v>53</v>
      </c>
      <c r="E47" t="s">
        <v>65</v>
      </c>
      <c r="F47" t="s">
        <v>26</v>
      </c>
      <c r="G47" s="2">
        <v>155000</v>
      </c>
      <c r="H47" s="2"/>
      <c r="K47" s="3"/>
    </row>
    <row r="48" spans="1:11" x14ac:dyDescent="0.25">
      <c r="A48" t="s">
        <v>67</v>
      </c>
      <c r="B48" t="s">
        <v>94</v>
      </c>
      <c r="C48">
        <v>2025</v>
      </c>
      <c r="D48" t="s">
        <v>53</v>
      </c>
      <c r="E48" t="s">
        <v>65</v>
      </c>
      <c r="F48" t="s">
        <v>26</v>
      </c>
      <c r="G48" s="2">
        <v>79995</v>
      </c>
      <c r="H48" s="2"/>
      <c r="K48" s="3"/>
    </row>
    <row r="49" spans="1:11" x14ac:dyDescent="0.25">
      <c r="A49" t="s">
        <v>68</v>
      </c>
      <c r="B49" t="s">
        <v>89</v>
      </c>
      <c r="C49">
        <v>2025</v>
      </c>
      <c r="D49" t="s">
        <v>53</v>
      </c>
      <c r="E49" t="s">
        <v>65</v>
      </c>
      <c r="F49" t="s">
        <v>10</v>
      </c>
      <c r="G49">
        <v>79500</v>
      </c>
      <c r="K49" s="3"/>
    </row>
    <row r="50" spans="1:11" x14ac:dyDescent="0.25">
      <c r="A50" t="s">
        <v>69</v>
      </c>
      <c r="B50" t="s">
        <v>90</v>
      </c>
      <c r="C50">
        <v>2025</v>
      </c>
      <c r="D50" t="s">
        <v>53</v>
      </c>
      <c r="E50" t="s">
        <v>65</v>
      </c>
      <c r="F50" t="s">
        <v>31</v>
      </c>
      <c r="G50">
        <f>G49*1.15</f>
        <v>91425</v>
      </c>
      <c r="K50" s="3"/>
    </row>
    <row r="51" spans="1:11" x14ac:dyDescent="0.25">
      <c r="A51" t="s">
        <v>70</v>
      </c>
      <c r="B51" t="s">
        <v>89</v>
      </c>
      <c r="C51">
        <v>2025</v>
      </c>
      <c r="D51" t="s">
        <v>53</v>
      </c>
      <c r="E51" t="s">
        <v>62</v>
      </c>
      <c r="F51" t="s">
        <v>10</v>
      </c>
      <c r="G51">
        <v>112000</v>
      </c>
      <c r="K51" s="3"/>
    </row>
    <row r="52" spans="1:11" x14ac:dyDescent="0.25">
      <c r="A52" t="s">
        <v>71</v>
      </c>
      <c r="B52" t="s">
        <v>91</v>
      </c>
      <c r="C52">
        <v>2025</v>
      </c>
      <c r="D52" t="s">
        <v>53</v>
      </c>
      <c r="E52" t="s">
        <v>54</v>
      </c>
      <c r="F52" t="s">
        <v>10</v>
      </c>
      <c r="G52">
        <v>350000</v>
      </c>
      <c r="K52" s="3"/>
    </row>
    <row r="53" spans="1:11" x14ac:dyDescent="0.25">
      <c r="A53" t="s">
        <v>72</v>
      </c>
      <c r="B53" t="s">
        <v>92</v>
      </c>
      <c r="C53">
        <v>2025</v>
      </c>
      <c r="D53" t="s">
        <v>53</v>
      </c>
      <c r="E53" t="s">
        <v>62</v>
      </c>
      <c r="F53" t="s">
        <v>10</v>
      </c>
      <c r="G53">
        <v>245000</v>
      </c>
      <c r="K53" s="3"/>
    </row>
    <row r="54" spans="1:11" x14ac:dyDescent="0.25">
      <c r="A54" t="s">
        <v>73</v>
      </c>
      <c r="B54" t="s">
        <v>93</v>
      </c>
      <c r="C54">
        <v>2025</v>
      </c>
      <c r="D54" t="s">
        <v>60</v>
      </c>
      <c r="E54" t="s">
        <v>60</v>
      </c>
      <c r="F54" t="s">
        <v>26</v>
      </c>
      <c r="G54">
        <v>716333</v>
      </c>
      <c r="K54" s="3">
        <v>0.49</v>
      </c>
    </row>
    <row r="55" spans="1:11" x14ac:dyDescent="0.25">
      <c r="A55" t="s">
        <v>74</v>
      </c>
      <c r="B55" t="s">
        <v>93</v>
      </c>
      <c r="C55">
        <v>2025</v>
      </c>
      <c r="D55" t="s">
        <v>60</v>
      </c>
      <c r="E55" t="s">
        <v>60</v>
      </c>
      <c r="F55" t="s">
        <v>55</v>
      </c>
      <c r="G55">
        <v>890000</v>
      </c>
      <c r="K55" s="3">
        <v>0.56999999999999995</v>
      </c>
    </row>
    <row r="56" spans="1:11" x14ac:dyDescent="0.25">
      <c r="A56" t="s">
        <v>75</v>
      </c>
      <c r="B56" t="s">
        <v>93</v>
      </c>
      <c r="C56">
        <v>2025</v>
      </c>
      <c r="D56" t="s">
        <v>60</v>
      </c>
      <c r="E56" t="s">
        <v>60</v>
      </c>
      <c r="F56" t="s">
        <v>10</v>
      </c>
      <c r="G56">
        <v>400000</v>
      </c>
      <c r="K56" s="3">
        <v>0.86</v>
      </c>
    </row>
    <row r="57" spans="1:11" x14ac:dyDescent="0.25">
      <c r="A57" t="s">
        <v>76</v>
      </c>
      <c r="B57" t="s">
        <v>94</v>
      </c>
      <c r="C57">
        <v>2025</v>
      </c>
      <c r="D57" t="s">
        <v>77</v>
      </c>
      <c r="E57" t="s">
        <v>77</v>
      </c>
      <c r="F57" t="s">
        <v>26</v>
      </c>
      <c r="G57">
        <v>8290</v>
      </c>
      <c r="K57" s="1"/>
    </row>
    <row r="58" spans="1:11" x14ac:dyDescent="0.25">
      <c r="A58" t="s">
        <v>78</v>
      </c>
      <c r="B58" t="s">
        <v>94</v>
      </c>
      <c r="C58">
        <v>2025</v>
      </c>
      <c r="D58" t="s">
        <v>77</v>
      </c>
      <c r="E58" t="s">
        <v>77</v>
      </c>
      <c r="F58" t="s">
        <v>19</v>
      </c>
      <c r="G58">
        <v>4999</v>
      </c>
      <c r="K58" s="1"/>
    </row>
    <row r="59" spans="1:11" x14ac:dyDescent="0.25">
      <c r="A59" t="s">
        <v>79</v>
      </c>
      <c r="B59" t="s">
        <v>94</v>
      </c>
      <c r="C59">
        <v>2025</v>
      </c>
      <c r="D59" t="s">
        <v>53</v>
      </c>
      <c r="E59" t="s">
        <v>54</v>
      </c>
      <c r="F59" t="s">
        <v>80</v>
      </c>
      <c r="G59">
        <v>500000</v>
      </c>
      <c r="K59" s="1"/>
    </row>
    <row r="60" spans="1:11" x14ac:dyDescent="0.25">
      <c r="A60" t="s">
        <v>99</v>
      </c>
      <c r="B60" t="s">
        <v>94</v>
      </c>
      <c r="C60">
        <v>2025</v>
      </c>
      <c r="D60" t="s">
        <v>53</v>
      </c>
      <c r="E60" t="s">
        <v>62</v>
      </c>
      <c r="F60" t="s">
        <v>55</v>
      </c>
      <c r="G60">
        <v>454410</v>
      </c>
    </row>
    <row r="61" spans="1:11" x14ac:dyDescent="0.25">
      <c r="B61" t="s">
        <v>100</v>
      </c>
      <c r="C61">
        <v>2025</v>
      </c>
      <c r="D61" t="s">
        <v>60</v>
      </c>
      <c r="E61" t="s">
        <v>60</v>
      </c>
      <c r="F61" t="s">
        <v>19</v>
      </c>
      <c r="G61">
        <v>400000</v>
      </c>
      <c r="K61" s="3">
        <v>0.86</v>
      </c>
    </row>
    <row r="62" spans="1:11" x14ac:dyDescent="0.25">
      <c r="B62" t="s">
        <v>100</v>
      </c>
      <c r="C62">
        <v>2025</v>
      </c>
      <c r="D62" t="s">
        <v>60</v>
      </c>
      <c r="E62" t="s">
        <v>60</v>
      </c>
      <c r="F62" t="s">
        <v>101</v>
      </c>
      <c r="G62">
        <v>400000</v>
      </c>
      <c r="K62" s="3">
        <v>0.86</v>
      </c>
    </row>
  </sheetData>
  <autoFilter ref="A1:K63" xr:uid="{00000000-0001-0000-0000-000000000000}"/>
  <dataValidations count="3">
    <dataValidation type="list" allowBlank="1" showInputMessage="1" showErrorMessage="1" sqref="D2:D58" xr:uid="{6A948511-6061-484C-8C56-4360A77F9759}">
      <formula1>$O$7:$O$12</formula1>
    </dataValidation>
    <dataValidation type="list" allowBlank="1" showInputMessage="1" showErrorMessage="1" sqref="F2:F58 F60" xr:uid="{21B794A5-446D-42C6-B17A-30E28E58723F}">
      <formula1>$R$7:$X$7</formula1>
    </dataValidation>
    <dataValidation type="list" allowBlank="1" showInputMessage="1" showErrorMessage="1" sqref="E2:E58 E60" xr:uid="{55E1A174-711C-4F6D-867E-FAA2D3B89B64}">
      <formula1>$Q$7:$Q$12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AG_costs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Achini Weerasinghe</dc:creator>
  <cp:lastModifiedBy>Achini Weerasinghe</cp:lastModifiedBy>
  <dcterms:created xsi:type="dcterms:W3CDTF">2015-06-05T18:17:20Z</dcterms:created>
  <dcterms:modified xsi:type="dcterms:W3CDTF">2025-12-01T02:47:49Z</dcterms:modified>
</cp:coreProperties>
</file>