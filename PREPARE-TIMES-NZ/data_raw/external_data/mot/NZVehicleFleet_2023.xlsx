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24226"/>
  <mc:AlternateContent xmlns:mc="http://schemas.openxmlformats.org/markup-compatibility/2006">
    <mc:Choice Requires="x15">
      <x15ac:absPath xmlns:x15ac="http://schemas.microsoft.com/office/spreadsheetml/2010/11/ac" url="https://eecagovtnz-my.sharepoint.com/personal/achini_weerasinghe_eeca_govt_nz/Documents/Tasks Completed/EEUD 2024_25/EEUD Transport Update/"/>
    </mc:Choice>
  </mc:AlternateContent>
  <xr:revisionPtr revIDLastSave="2" documentId="13_ncr:1_{0469CEC2-DEC8-4312-8ABE-6313D7B6E1BC}" xr6:coauthVersionLast="47" xr6:coauthVersionMax="47" xr10:uidLastSave="{58891BEC-6D79-408E-B4DE-3EDCEF64DB73}"/>
  <bookViews>
    <workbookView xWindow="9500" yWindow="-14400" windowWidth="17380" windowHeight="13770" tabRatio="875" firstSheet="17" activeTab="29" xr2:uid="{00000000-000D-0000-FFFF-FFFF00000000}"/>
  </bookViews>
  <sheets>
    <sheet name="Contents" sheetId="45" r:id="rId1"/>
    <sheet name="1.1, 1.2" sheetId="13" r:id="rId2"/>
    <sheet name="1.1extra" sheetId="57" r:id="rId3"/>
    <sheet name="1.3" sheetId="1" r:id="rId4"/>
    <sheet name="1.4 to 1.7" sheetId="7" r:id="rId5"/>
    <sheet name="1.4b" sheetId="95" r:id="rId6"/>
    <sheet name="1.5b" sheetId="84" r:id="rId7"/>
    <sheet name="2.1, 2.2, 2.3,2.4" sheetId="8" r:id="rId8"/>
    <sheet name="2.5a-2.8a" sheetId="3" r:id="rId9"/>
    <sheet name="2.9" sheetId="58" r:id="rId10"/>
    <sheet name="2.10" sheetId="73" r:id="rId11"/>
    <sheet name="3.1,3.2,3.4,8.3" sheetId="11" r:id="rId12"/>
    <sheet name="3.5" sheetId="12" r:id="rId13"/>
    <sheet name="3.6" sheetId="55" r:id="rId14"/>
    <sheet name="4.1, 4.2" sheetId="41" r:id="rId15"/>
    <sheet name="4.3a,b" sheetId="21" r:id="rId16"/>
    <sheet name="4.4" sheetId="64" r:id="rId17"/>
    <sheet name="5.1" sheetId="61" r:id="rId18"/>
    <sheet name="5.2abcd" sheetId="52" r:id="rId19"/>
    <sheet name="6.1,6.2c" sheetId="18" r:id="rId20"/>
    <sheet name="6.2b" sheetId="56" r:id="rId21"/>
    <sheet name="6.3" sheetId="42" r:id="rId22"/>
    <sheet name="6.4a,b" sheetId="23" r:id="rId23"/>
    <sheet name="6.5a,b" sheetId="60" r:id="rId24"/>
    <sheet name="6.7a, b" sheetId="59" r:id="rId25"/>
    <sheet name="7.1,7.2" sheetId="19" r:id="rId26"/>
    <sheet name="7.3abc" sheetId="74" r:id="rId27"/>
    <sheet name="7.3de" sheetId="75" r:id="rId28"/>
    <sheet name="8.1a,b" sheetId="53" r:id="rId29"/>
    <sheet name="8.2a,b" sheetId="25" r:id="rId30"/>
    <sheet name="8.4" sheetId="80" r:id="rId31"/>
    <sheet name="8.5" sheetId="93" r:id="rId32"/>
    <sheet name="9.1" sheetId="91" r:id="rId33"/>
    <sheet name="9.2" sheetId="82" r:id="rId34"/>
    <sheet name="10.1, 10.2" sheetId="22" r:id="rId35"/>
    <sheet name="11.1,11.2" sheetId="63" r:id="rId36"/>
  </sheets>
  <definedNames>
    <definedName name="_xlnm._FilterDatabase" localSheetId="32" hidden="1">'9.1'!$A$2:$J$65</definedName>
    <definedName name="_xlnm.Print_Area" localSheetId="34">'10.1, 10.2'!$A$31:$T$56</definedName>
    <definedName name="_xlnm.Print_Area" localSheetId="7">'2.1, 2.2, 2.3,2.4'!$L$17:$W$47</definedName>
    <definedName name="_xlnm.Print_Area" localSheetId="8">'2.5a-2.8a'!#REF!</definedName>
    <definedName name="_xlnm.Print_Area" localSheetId="9">'2.9'!$D$2:$M$27</definedName>
    <definedName name="_xlnm.Print_Area" localSheetId="11">'3.1,3.2,3.4,8.3'!$A$36:$J$61</definedName>
    <definedName name="_xlnm.Print_Area" localSheetId="14">'4.1, 4.2'!#REF!</definedName>
    <definedName name="_xlnm.Print_Area" localSheetId="15">'4.3a,b'!$L$3:$V$55</definedName>
    <definedName name="_xlnm.Print_Area" localSheetId="18">'5.2abcd'!$P$48:$Y$69</definedName>
    <definedName name="_xlnm.Print_Area" localSheetId="19">'6.1,6.2c'!#REF!</definedName>
    <definedName name="_xlnm.Print_Area" localSheetId="20">'6.2b'!$F$39:$S$48</definedName>
    <definedName name="_xlnm.Print_Area" localSheetId="21">'6.3'!$D$3:$O$32</definedName>
    <definedName name="_xlnm.Print_Area" localSheetId="22">'6.4a,b'!$A$10:$T$37</definedName>
    <definedName name="_xlnm.Print_Area" localSheetId="23">'6.5a,b'!$O$2:$X$62</definedName>
    <definedName name="_xlnm.Print_Area" localSheetId="24">'6.7a, b'!$M$85:$T$111</definedName>
    <definedName name="_xlnm.Print_Area" localSheetId="25">'7.1,7.2'!$V$28:$AF$75</definedName>
    <definedName name="_xlnm.Print_Area" localSheetId="28">'8.1a,b'!$A$53:$L$78</definedName>
    <definedName name="_xlnm.Print_Area" localSheetId="29">'8.2a,b'!$J$6:$V$25</definedName>
    <definedName name="_xlnm.Print_Area" localSheetId="0">Contents!$A$1:$E$61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 i="73" l="1"/>
  <c r="Y12" i="73" s="1"/>
  <c r="R26" i="80"/>
  <c r="Z25" i="25"/>
  <c r="AB25" i="25" s="1"/>
  <c r="AA25" i="25"/>
  <c r="AC25" i="25"/>
  <c r="U26" i="53"/>
  <c r="V26" i="53"/>
  <c r="W26" i="53"/>
  <c r="X26" i="53"/>
  <c r="Y26" i="53"/>
  <c r="Z26" i="53"/>
  <c r="AA26" i="53"/>
  <c r="H146" i="18"/>
  <c r="H122" i="18"/>
  <c r="H98" i="18"/>
  <c r="H74" i="18"/>
  <c r="H50" i="18"/>
  <c r="H26" i="18"/>
  <c r="H170" i="18"/>
  <c r="N71" i="61"/>
  <c r="M71" i="61"/>
  <c r="L71" i="61"/>
  <c r="L94" i="61"/>
  <c r="M94" i="61"/>
  <c r="N94" i="61"/>
  <c r="L117" i="61"/>
  <c r="M117" i="61"/>
  <c r="N117" i="61"/>
  <c r="L48" i="61"/>
  <c r="M48" i="61"/>
  <c r="N48" i="61"/>
  <c r="L25" i="61"/>
  <c r="M25" i="61"/>
  <c r="N25" i="61"/>
  <c r="L3" i="61"/>
  <c r="L4" i="61"/>
  <c r="L5" i="61"/>
  <c r="L6" i="61"/>
  <c r="L7" i="61"/>
  <c r="L8" i="61"/>
  <c r="L9" i="61"/>
  <c r="L10" i="61"/>
  <c r="L11" i="61"/>
  <c r="L12" i="61"/>
  <c r="L13" i="61"/>
  <c r="L14" i="61"/>
  <c r="L15" i="61"/>
  <c r="L16" i="61"/>
  <c r="L17" i="61"/>
  <c r="L18" i="61"/>
  <c r="L19" i="61"/>
  <c r="L20" i="61"/>
  <c r="L21" i="61"/>
  <c r="L22" i="61"/>
  <c r="L23" i="61"/>
  <c r="L24" i="61"/>
  <c r="L26" i="61"/>
  <c r="L27" i="61"/>
  <c r="L28" i="61"/>
  <c r="L29" i="61"/>
  <c r="L30" i="61"/>
  <c r="L31" i="61"/>
  <c r="L32" i="61"/>
  <c r="L33" i="61"/>
  <c r="L34" i="61"/>
  <c r="L35" i="61"/>
  <c r="L36" i="61"/>
  <c r="L37" i="61"/>
  <c r="L38" i="61"/>
  <c r="L39" i="61"/>
  <c r="L40" i="61"/>
  <c r="L41" i="61"/>
  <c r="L42" i="61"/>
  <c r="L43" i="61"/>
  <c r="L44" i="61"/>
  <c r="L45" i="61"/>
  <c r="L46" i="61"/>
  <c r="L47" i="61"/>
  <c r="L49" i="61"/>
  <c r="L50" i="61"/>
  <c r="L51" i="61"/>
  <c r="L52" i="61"/>
  <c r="L53" i="61"/>
  <c r="L54" i="61"/>
  <c r="L55" i="61"/>
  <c r="L56" i="61"/>
  <c r="L57" i="61"/>
  <c r="L58" i="61"/>
  <c r="L59" i="61"/>
  <c r="L60" i="61"/>
  <c r="L61" i="61"/>
  <c r="L62" i="61"/>
  <c r="L63" i="61"/>
  <c r="L64" i="61"/>
  <c r="L65" i="61"/>
  <c r="L66" i="61"/>
  <c r="L67" i="61"/>
  <c r="L68" i="61"/>
  <c r="L69" i="61"/>
  <c r="L70" i="61"/>
  <c r="L72" i="61"/>
  <c r="L73" i="61"/>
  <c r="L74" i="61"/>
  <c r="L75" i="61"/>
  <c r="L76" i="61"/>
  <c r="L77" i="61"/>
  <c r="L78" i="61"/>
  <c r="L79" i="61"/>
  <c r="L80" i="61"/>
  <c r="L81" i="61"/>
  <c r="L82" i="61"/>
  <c r="L83" i="61"/>
  <c r="L84" i="61"/>
  <c r="L85" i="61"/>
  <c r="L86" i="61"/>
  <c r="L87" i="61"/>
  <c r="L88" i="61"/>
  <c r="L89" i="61"/>
  <c r="L90" i="61"/>
  <c r="L91" i="61"/>
  <c r="L92" i="61"/>
  <c r="L93" i="61"/>
  <c r="L95" i="61"/>
  <c r="L96" i="61"/>
  <c r="L97" i="61"/>
  <c r="L98" i="61"/>
  <c r="L99" i="61"/>
  <c r="L100" i="61"/>
  <c r="L101" i="61"/>
  <c r="L102" i="61"/>
  <c r="L103" i="61"/>
  <c r="L104" i="61"/>
  <c r="L105" i="61"/>
  <c r="L106" i="61"/>
  <c r="L107" i="61"/>
  <c r="L108" i="61"/>
  <c r="L109" i="61"/>
  <c r="L110" i="61"/>
  <c r="L111" i="61"/>
  <c r="L112" i="61"/>
  <c r="L113" i="61"/>
  <c r="L114" i="61"/>
  <c r="L115" i="61"/>
  <c r="L116" i="61"/>
  <c r="M3" i="61"/>
  <c r="M4" i="61"/>
  <c r="M5" i="61"/>
  <c r="M6" i="61"/>
  <c r="M7" i="61"/>
  <c r="M8" i="61"/>
  <c r="M9" i="61"/>
  <c r="M10" i="61"/>
  <c r="M11" i="61"/>
  <c r="M12" i="61"/>
  <c r="M13" i="61"/>
  <c r="M14" i="61"/>
  <c r="M15" i="61"/>
  <c r="M16" i="61"/>
  <c r="M17" i="61"/>
  <c r="M18" i="61"/>
  <c r="M19" i="61"/>
  <c r="M20" i="61"/>
  <c r="M21" i="61"/>
  <c r="M22" i="61"/>
  <c r="M23" i="61"/>
  <c r="M24" i="61"/>
  <c r="M26" i="61"/>
  <c r="M27" i="61"/>
  <c r="M28" i="61"/>
  <c r="M29" i="61"/>
  <c r="M30" i="61"/>
  <c r="M31" i="61"/>
  <c r="M32" i="61"/>
  <c r="M33" i="61"/>
  <c r="M34" i="61"/>
  <c r="M35" i="61"/>
  <c r="M36" i="61"/>
  <c r="M37" i="61"/>
  <c r="M38" i="61"/>
  <c r="M39" i="61"/>
  <c r="M40" i="61"/>
  <c r="M41" i="61"/>
  <c r="M42" i="61"/>
  <c r="M43" i="61"/>
  <c r="M44" i="61"/>
  <c r="M45" i="61"/>
  <c r="M46" i="61"/>
  <c r="M47" i="61"/>
  <c r="M49" i="61"/>
  <c r="M50" i="61"/>
  <c r="M51" i="61"/>
  <c r="M52" i="61"/>
  <c r="M53" i="61"/>
  <c r="M54" i="61"/>
  <c r="M55" i="61"/>
  <c r="M56" i="61"/>
  <c r="M57" i="61"/>
  <c r="M58" i="61"/>
  <c r="M59" i="61"/>
  <c r="M60" i="61"/>
  <c r="M61" i="61"/>
  <c r="M62" i="61"/>
  <c r="M63" i="61"/>
  <c r="M64" i="61"/>
  <c r="M65" i="61"/>
  <c r="M66" i="61"/>
  <c r="M67" i="61"/>
  <c r="M68" i="61"/>
  <c r="M69" i="61"/>
  <c r="M70" i="61"/>
  <c r="M72" i="61"/>
  <c r="M73" i="61"/>
  <c r="M74" i="61"/>
  <c r="M75" i="61"/>
  <c r="M76" i="61"/>
  <c r="M77" i="61"/>
  <c r="M78" i="61"/>
  <c r="M79" i="61"/>
  <c r="M80" i="61"/>
  <c r="M81" i="61"/>
  <c r="M82" i="61"/>
  <c r="M83" i="61"/>
  <c r="M84" i="61"/>
  <c r="M85" i="61"/>
  <c r="M86" i="61"/>
  <c r="M87" i="61"/>
  <c r="M88" i="61"/>
  <c r="M89" i="61"/>
  <c r="M90" i="61"/>
  <c r="M91" i="61"/>
  <c r="M92" i="61"/>
  <c r="M93" i="61"/>
  <c r="M95" i="61"/>
  <c r="M96" i="61"/>
  <c r="M97" i="61"/>
  <c r="M98" i="61"/>
  <c r="M99" i="61"/>
  <c r="M100" i="61"/>
  <c r="M101" i="61"/>
  <c r="M102" i="61"/>
  <c r="M103" i="61"/>
  <c r="M104" i="61"/>
  <c r="M105" i="61"/>
  <c r="M106" i="61"/>
  <c r="M107" i="61"/>
  <c r="M108" i="61"/>
  <c r="M109" i="61"/>
  <c r="M110" i="61"/>
  <c r="M111" i="61"/>
  <c r="M112" i="61"/>
  <c r="M113" i="61"/>
  <c r="M114" i="61"/>
  <c r="M115" i="61"/>
  <c r="M116" i="61"/>
  <c r="P26" i="64"/>
  <c r="Q26" i="64"/>
  <c r="R26" i="64"/>
  <c r="S26" i="64"/>
  <c r="Y25" i="55"/>
  <c r="P25" i="55"/>
  <c r="Q25" i="55"/>
  <c r="R25" i="55"/>
  <c r="S25" i="55"/>
  <c r="T25" i="55"/>
  <c r="L58" i="3"/>
  <c r="AD27" i="8"/>
  <c r="AE27" i="8"/>
  <c r="AF27" i="8"/>
  <c r="AG27" i="8"/>
  <c r="AH27" i="8"/>
  <c r="AI27" i="8"/>
  <c r="AJ27" i="8"/>
  <c r="Z27" i="8"/>
  <c r="AA27" i="8"/>
  <c r="AB27" i="8"/>
  <c r="AC27" i="8"/>
  <c r="C78" i="84"/>
  <c r="D78" i="84"/>
  <c r="E78" i="84"/>
  <c r="F78" i="84"/>
  <c r="G78" i="84"/>
  <c r="H78" i="84"/>
  <c r="I78" i="84"/>
  <c r="J78" i="84"/>
  <c r="K78" i="84"/>
  <c r="L78" i="84"/>
  <c r="M78" i="84"/>
  <c r="N78" i="84"/>
  <c r="O78" i="84"/>
  <c r="P78" i="84"/>
  <c r="Q78" i="84"/>
  <c r="R78" i="84"/>
  <c r="C79" i="84"/>
  <c r="D79" i="84"/>
  <c r="E79" i="84"/>
  <c r="F79" i="84"/>
  <c r="G79" i="84"/>
  <c r="H79" i="84"/>
  <c r="I79" i="84"/>
  <c r="J79" i="84"/>
  <c r="K79" i="84"/>
  <c r="L79" i="84"/>
  <c r="M79" i="84"/>
  <c r="N79" i="84"/>
  <c r="O79" i="84"/>
  <c r="P79" i="84"/>
  <c r="Q79" i="84"/>
  <c r="R79" i="84"/>
  <c r="C80" i="84"/>
  <c r="D80" i="84"/>
  <c r="E80" i="84"/>
  <c r="F80" i="84"/>
  <c r="G80" i="84"/>
  <c r="H80" i="84"/>
  <c r="I80" i="84"/>
  <c r="J80" i="84"/>
  <c r="K80" i="84"/>
  <c r="L80" i="84"/>
  <c r="M80" i="84"/>
  <c r="N80" i="84"/>
  <c r="O80" i="84"/>
  <c r="P80" i="84"/>
  <c r="Q80" i="84"/>
  <c r="R80" i="84"/>
  <c r="C81" i="84"/>
  <c r="D81" i="84"/>
  <c r="E81" i="84"/>
  <c r="F81" i="84"/>
  <c r="G81" i="84"/>
  <c r="H81" i="84"/>
  <c r="I81" i="84"/>
  <c r="J81" i="84"/>
  <c r="K81" i="84"/>
  <c r="L81" i="84"/>
  <c r="M81" i="84"/>
  <c r="N81" i="84"/>
  <c r="O81" i="84"/>
  <c r="P81" i="84"/>
  <c r="Q81" i="84"/>
  <c r="R81" i="84"/>
  <c r="Q76" i="84"/>
  <c r="Q70" i="84"/>
  <c r="Q69" i="84"/>
  <c r="Q68" i="84"/>
  <c r="Q67" i="84"/>
  <c r="Q62" i="84"/>
  <c r="Q61" i="84"/>
  <c r="Q60" i="84"/>
  <c r="Q71" i="84"/>
  <c r="Q72" i="84"/>
  <c r="Q73" i="84"/>
  <c r="Q75" i="84"/>
  <c r="R60" i="84"/>
  <c r="R61" i="84"/>
  <c r="R62" i="84"/>
  <c r="R63" i="84"/>
  <c r="R64" i="84"/>
  <c r="R65" i="84"/>
  <c r="R66" i="84"/>
  <c r="R67" i="84"/>
  <c r="R68" i="84"/>
  <c r="R69" i="84"/>
  <c r="R70" i="84"/>
  <c r="R71" i="84"/>
  <c r="R72" i="84"/>
  <c r="R73" i="84"/>
  <c r="R74" i="84"/>
  <c r="R75" i="84"/>
  <c r="R76" i="84"/>
  <c r="R77" i="84"/>
  <c r="R59" i="84"/>
  <c r="V26" i="7"/>
  <c r="W26" i="7"/>
  <c r="F26" i="7"/>
  <c r="G26" i="7"/>
  <c r="H26" i="7"/>
  <c r="I26" i="7"/>
  <c r="J26" i="7"/>
  <c r="K26" i="7"/>
  <c r="T26" i="7"/>
  <c r="U26" i="7"/>
  <c r="B26" i="7"/>
  <c r="H26" i="13"/>
  <c r="I26" i="13"/>
  <c r="K26" i="13"/>
  <c r="L26" i="13"/>
  <c r="M26" i="13"/>
  <c r="N26" i="13"/>
  <c r="O26" i="13"/>
  <c r="P26" i="13"/>
  <c r="C26" i="63"/>
  <c r="G26" i="63"/>
  <c r="H26" i="63"/>
  <c r="R18" i="80"/>
  <c r="R19" i="80"/>
  <c r="R20" i="80"/>
  <c r="R21" i="80"/>
  <c r="R22" i="80"/>
  <c r="R23" i="80"/>
  <c r="R24" i="80"/>
  <c r="R25" i="80"/>
  <c r="Z24" i="25"/>
  <c r="AB24" i="25" s="1"/>
  <c r="AA24" i="25"/>
  <c r="AC24" i="25" s="1"/>
  <c r="W25" i="53"/>
  <c r="X25" i="53"/>
  <c r="Y25" i="53"/>
  <c r="Z25" i="53"/>
  <c r="AA25" i="53"/>
  <c r="U25" i="53"/>
  <c r="V25" i="53"/>
  <c r="H4" i="18"/>
  <c r="H5" i="18"/>
  <c r="H6" i="18"/>
  <c r="H7" i="18"/>
  <c r="H8" i="18"/>
  <c r="H9" i="18"/>
  <c r="H10" i="18"/>
  <c r="H11" i="18"/>
  <c r="H12" i="18"/>
  <c r="H13" i="18"/>
  <c r="H14" i="18"/>
  <c r="H15" i="18"/>
  <c r="H16" i="18"/>
  <c r="H17" i="18"/>
  <c r="H18" i="18"/>
  <c r="H19" i="18"/>
  <c r="H20" i="18"/>
  <c r="H21" i="18"/>
  <c r="H22" i="18"/>
  <c r="H23" i="18"/>
  <c r="H24" i="18"/>
  <c r="H25" i="18"/>
  <c r="H27" i="18"/>
  <c r="H28" i="18"/>
  <c r="H29" i="18"/>
  <c r="H30" i="18"/>
  <c r="H31" i="18"/>
  <c r="H32" i="18"/>
  <c r="H33" i="18"/>
  <c r="H34" i="18"/>
  <c r="H35" i="18"/>
  <c r="H36" i="18"/>
  <c r="H37" i="18"/>
  <c r="H38" i="18"/>
  <c r="H39" i="18"/>
  <c r="H40" i="18"/>
  <c r="H41" i="18"/>
  <c r="H42" i="18"/>
  <c r="H43" i="18"/>
  <c r="H44" i="18"/>
  <c r="H45" i="18"/>
  <c r="H46" i="18"/>
  <c r="H47" i="18"/>
  <c r="H48" i="18"/>
  <c r="H49" i="18"/>
  <c r="H51" i="18"/>
  <c r="H52" i="18"/>
  <c r="H53" i="18"/>
  <c r="H54" i="18"/>
  <c r="H55" i="18"/>
  <c r="H56" i="18"/>
  <c r="H57" i="18"/>
  <c r="H58" i="18"/>
  <c r="H59" i="18"/>
  <c r="H60" i="18"/>
  <c r="H61" i="18"/>
  <c r="H62" i="18"/>
  <c r="H63" i="18"/>
  <c r="H64" i="18"/>
  <c r="H65" i="18"/>
  <c r="H66" i="18"/>
  <c r="H67" i="18"/>
  <c r="H68" i="18"/>
  <c r="H69" i="18"/>
  <c r="H70" i="18"/>
  <c r="H71" i="18"/>
  <c r="H72" i="18"/>
  <c r="H73" i="18"/>
  <c r="H75" i="18"/>
  <c r="H76" i="18"/>
  <c r="H77" i="18"/>
  <c r="H78" i="18"/>
  <c r="H79" i="18"/>
  <c r="H80" i="18"/>
  <c r="H81" i="18"/>
  <c r="H82" i="18"/>
  <c r="H83" i="18"/>
  <c r="H84" i="18"/>
  <c r="H85" i="18"/>
  <c r="H86" i="18"/>
  <c r="H87" i="18"/>
  <c r="H88" i="18"/>
  <c r="H89" i="18"/>
  <c r="H90" i="18"/>
  <c r="H91" i="18"/>
  <c r="H92" i="18"/>
  <c r="H93" i="18"/>
  <c r="H94" i="18"/>
  <c r="H95" i="18"/>
  <c r="H96" i="18"/>
  <c r="H97"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N4" i="61"/>
  <c r="N5" i="61"/>
  <c r="N6" i="61"/>
  <c r="N7" i="61"/>
  <c r="N8" i="61"/>
  <c r="N9" i="61"/>
  <c r="N10" i="61"/>
  <c r="N11" i="61"/>
  <c r="N12" i="61"/>
  <c r="N13" i="61"/>
  <c r="N14" i="61"/>
  <c r="N15" i="61"/>
  <c r="N16" i="61"/>
  <c r="N17" i="61"/>
  <c r="N18" i="61"/>
  <c r="N19" i="61"/>
  <c r="N20" i="61"/>
  <c r="N21" i="61"/>
  <c r="N22" i="61"/>
  <c r="N23" i="61"/>
  <c r="N24" i="61"/>
  <c r="N26" i="61"/>
  <c r="N27" i="61"/>
  <c r="N28" i="61"/>
  <c r="N29" i="61"/>
  <c r="N30" i="61"/>
  <c r="N31" i="61"/>
  <c r="N32" i="61"/>
  <c r="N33" i="61"/>
  <c r="N34" i="61"/>
  <c r="N35" i="61"/>
  <c r="N36" i="61"/>
  <c r="N37" i="61"/>
  <c r="N38" i="61"/>
  <c r="N39" i="61"/>
  <c r="N40" i="61"/>
  <c r="N41" i="61"/>
  <c r="N42" i="61"/>
  <c r="N43" i="61"/>
  <c r="N44" i="61"/>
  <c r="N45" i="61"/>
  <c r="N46" i="61"/>
  <c r="N47" i="61"/>
  <c r="N49" i="61"/>
  <c r="N50" i="61"/>
  <c r="N51" i="61"/>
  <c r="N52" i="61"/>
  <c r="N53" i="61"/>
  <c r="N54" i="61"/>
  <c r="N55" i="61"/>
  <c r="N56" i="61"/>
  <c r="N57" i="61"/>
  <c r="N58" i="61"/>
  <c r="N59" i="61"/>
  <c r="N60" i="61"/>
  <c r="N61" i="61"/>
  <c r="N62" i="61"/>
  <c r="N63" i="61"/>
  <c r="N64" i="61"/>
  <c r="N65" i="61"/>
  <c r="N66" i="61"/>
  <c r="N67" i="61"/>
  <c r="N68" i="61"/>
  <c r="N69" i="61"/>
  <c r="N70" i="61"/>
  <c r="N72" i="61"/>
  <c r="N73" i="61"/>
  <c r="N74" i="61"/>
  <c r="N75" i="61"/>
  <c r="N76" i="61"/>
  <c r="N77" i="61"/>
  <c r="N78" i="61"/>
  <c r="N79" i="61"/>
  <c r="N80" i="61"/>
  <c r="N81" i="61"/>
  <c r="N82" i="61"/>
  <c r="N83" i="61"/>
  <c r="N84" i="61"/>
  <c r="N85" i="61"/>
  <c r="N86" i="61"/>
  <c r="N87" i="61"/>
  <c r="N88" i="61"/>
  <c r="N89" i="61"/>
  <c r="N90" i="61"/>
  <c r="N91" i="61"/>
  <c r="N92" i="61"/>
  <c r="N93" i="61"/>
  <c r="N95" i="61"/>
  <c r="N96" i="61"/>
  <c r="N97" i="61"/>
  <c r="N98" i="61"/>
  <c r="N99" i="61"/>
  <c r="N100" i="61"/>
  <c r="N101" i="61"/>
  <c r="N102" i="61"/>
  <c r="N103" i="61"/>
  <c r="N104" i="61"/>
  <c r="N105" i="61"/>
  <c r="N106" i="61"/>
  <c r="N107" i="61"/>
  <c r="N108" i="61"/>
  <c r="N109" i="61"/>
  <c r="N110" i="61"/>
  <c r="N111" i="61"/>
  <c r="N112" i="61"/>
  <c r="N113" i="61"/>
  <c r="N114" i="61"/>
  <c r="N115" i="61"/>
  <c r="N116" i="61"/>
  <c r="P25" i="64"/>
  <c r="Q25" i="64"/>
  <c r="R25" i="64"/>
  <c r="S25" i="64"/>
  <c r="P24" i="64"/>
  <c r="Q24" i="64"/>
  <c r="R24" i="64"/>
  <c r="S24" i="64"/>
  <c r="P24" i="55"/>
  <c r="Q24" i="55"/>
  <c r="R24" i="55"/>
  <c r="S24" i="55"/>
  <c r="T24" i="55"/>
  <c r="Y24" i="55"/>
  <c r="X15" i="73"/>
  <c r="X8" i="73"/>
  <c r="X14" i="73" s="1"/>
  <c r="L57" i="3"/>
  <c r="AJ26" i="8"/>
  <c r="AI26" i="8"/>
  <c r="AH26" i="8"/>
  <c r="AG26" i="8"/>
  <c r="AF26" i="8"/>
  <c r="AE26" i="8"/>
  <c r="AD26" i="8"/>
  <c r="AC26" i="8"/>
  <c r="AB26" i="8"/>
  <c r="AA26" i="8"/>
  <c r="Z26" i="8"/>
  <c r="AJ25" i="8"/>
  <c r="AI25" i="8"/>
  <c r="AH25" i="8"/>
  <c r="AG25" i="8"/>
  <c r="AF25" i="8"/>
  <c r="AE25" i="8"/>
  <c r="AD25" i="8"/>
  <c r="AC25" i="8"/>
  <c r="AB25" i="8"/>
  <c r="AA25" i="8"/>
  <c r="Z25" i="8"/>
  <c r="Q63" i="84"/>
  <c r="Q64" i="84"/>
  <c r="Q65" i="84"/>
  <c r="Q66" i="84"/>
  <c r="Q74" i="84"/>
  <c r="Q77" i="84"/>
  <c r="Q59" i="84"/>
  <c r="W24" i="55" l="1"/>
  <c r="W25" i="55"/>
  <c r="V25" i="55"/>
  <c r="Y11" i="73"/>
  <c r="Y15" i="73"/>
  <c r="Y14" i="73"/>
  <c r="Y13" i="73"/>
  <c r="V24" i="55"/>
  <c r="X24" i="55" s="1"/>
  <c r="X12" i="73"/>
  <c r="X13" i="73"/>
  <c r="X11" i="73"/>
  <c r="K25" i="7"/>
  <c r="I25" i="7"/>
  <c r="B25" i="7"/>
  <c r="G25" i="7"/>
  <c r="H25" i="7"/>
  <c r="T25" i="7"/>
  <c r="U25" i="7" s="1"/>
  <c r="V25" i="7"/>
  <c r="W25" i="7"/>
  <c r="K25" i="13"/>
  <c r="L25" i="13"/>
  <c r="M25" i="13"/>
  <c r="N25" i="13"/>
  <c r="O25" i="13"/>
  <c r="P25" i="13"/>
  <c r="I25" i="13"/>
  <c r="H25" i="13"/>
  <c r="C25" i="63"/>
  <c r="G25" i="63"/>
  <c r="H25" i="63"/>
  <c r="R4" i="80"/>
  <c r="R5" i="80"/>
  <c r="R6" i="80"/>
  <c r="R7" i="80"/>
  <c r="R8" i="80"/>
  <c r="R9" i="80"/>
  <c r="R10" i="80"/>
  <c r="R11" i="80"/>
  <c r="R12" i="80"/>
  <c r="R13" i="80"/>
  <c r="R14" i="80"/>
  <c r="R15" i="80"/>
  <c r="R16" i="80"/>
  <c r="R17" i="80"/>
  <c r="R3" i="80"/>
  <c r="Z23" i="25"/>
  <c r="AB23" i="25" s="1"/>
  <c r="AA23" i="25"/>
  <c r="AC23" i="25" s="1"/>
  <c r="F25" i="7" l="1"/>
  <c r="L26" i="7"/>
  <c r="X25" i="55"/>
  <c r="J25" i="7"/>
  <c r="AA24" i="53"/>
  <c r="Z24" i="53"/>
  <c r="Y24" i="53"/>
  <c r="X24" i="53"/>
  <c r="W24" i="53"/>
  <c r="V24" i="53"/>
  <c r="U24" i="53"/>
  <c r="X15" i="53"/>
  <c r="H3" i="18"/>
  <c r="N3" i="61"/>
  <c r="Q11" i="64"/>
  <c r="Q23" i="55" l="1"/>
  <c r="P23" i="55"/>
  <c r="Y23" i="55"/>
  <c r="T23" i="55"/>
  <c r="S23" i="55"/>
  <c r="R23" i="55"/>
  <c r="P22" i="55"/>
  <c r="V23" i="55" l="1"/>
  <c r="W23" i="55"/>
  <c r="Q15" i="55"/>
  <c r="B32" i="11"/>
  <c r="U30" i="11"/>
  <c r="B26" i="11"/>
  <c r="B21" i="11"/>
  <c r="C21" i="11"/>
  <c r="D21" i="11"/>
  <c r="E21" i="11"/>
  <c r="F21" i="11"/>
  <c r="B22" i="11"/>
  <c r="C22" i="11"/>
  <c r="D22" i="11"/>
  <c r="E22" i="11"/>
  <c r="F22" i="11"/>
  <c r="B23" i="11"/>
  <c r="C23" i="11"/>
  <c r="D23" i="11"/>
  <c r="E23" i="11"/>
  <c r="F23" i="11"/>
  <c r="B24" i="11"/>
  <c r="C24" i="11"/>
  <c r="D24" i="11"/>
  <c r="E24" i="11"/>
  <c r="F24" i="11"/>
  <c r="I24" i="11"/>
  <c r="J24" i="11"/>
  <c r="K24" i="11"/>
  <c r="L24" i="11"/>
  <c r="M24" i="11"/>
  <c r="N24" i="11"/>
  <c r="O24" i="11"/>
  <c r="P24" i="11"/>
  <c r="Q24" i="11"/>
  <c r="R24" i="11"/>
  <c r="S24" i="11"/>
  <c r="T24" i="11"/>
  <c r="U24" i="11"/>
  <c r="B25" i="11"/>
  <c r="C25" i="11"/>
  <c r="D25" i="11"/>
  <c r="E25" i="11"/>
  <c r="F25" i="11"/>
  <c r="I25" i="11"/>
  <c r="J25" i="11"/>
  <c r="K25" i="11"/>
  <c r="L25" i="11"/>
  <c r="M25" i="11"/>
  <c r="N25" i="11"/>
  <c r="O25" i="11"/>
  <c r="P25" i="11"/>
  <c r="Q25" i="11"/>
  <c r="R25" i="11"/>
  <c r="S25" i="11"/>
  <c r="T25" i="11"/>
  <c r="U25" i="11"/>
  <c r="C26" i="11"/>
  <c r="D26" i="11"/>
  <c r="E26" i="11"/>
  <c r="F26" i="11"/>
  <c r="I26" i="11"/>
  <c r="J26" i="11"/>
  <c r="K26" i="11"/>
  <c r="L26" i="11"/>
  <c r="M26" i="11"/>
  <c r="N26" i="11"/>
  <c r="O26" i="11"/>
  <c r="P26" i="11"/>
  <c r="Q26" i="11"/>
  <c r="R26" i="11"/>
  <c r="S26" i="11"/>
  <c r="T26" i="11"/>
  <c r="U26" i="11"/>
  <c r="B27" i="11"/>
  <c r="C27" i="11"/>
  <c r="D27" i="11"/>
  <c r="E27" i="11"/>
  <c r="F27" i="11"/>
  <c r="I27" i="11"/>
  <c r="J27" i="11"/>
  <c r="K27" i="11"/>
  <c r="L27" i="11"/>
  <c r="M27" i="11"/>
  <c r="N27" i="11"/>
  <c r="O27" i="11"/>
  <c r="P27" i="11"/>
  <c r="Q27" i="11"/>
  <c r="R27" i="11"/>
  <c r="S27" i="11"/>
  <c r="T27" i="11"/>
  <c r="U27" i="11"/>
  <c r="W8" i="73"/>
  <c r="W15" i="73" s="1"/>
  <c r="D9" i="58"/>
  <c r="L56" i="3"/>
  <c r="AB15" i="8"/>
  <c r="E62" i="84"/>
  <c r="C69" i="84"/>
  <c r="E67" i="84"/>
  <c r="F73" i="84"/>
  <c r="K74" i="84"/>
  <c r="W24" i="7"/>
  <c r="V24" i="7"/>
  <c r="T24" i="7"/>
  <c r="U24" i="7" s="1"/>
  <c r="K24" i="7"/>
  <c r="H22" i="7"/>
  <c r="H24" i="7"/>
  <c r="G24" i="7"/>
  <c r="I24" i="7"/>
  <c r="K22" i="7"/>
  <c r="H3" i="1"/>
  <c r="B4" i="1" s="1"/>
  <c r="P24" i="13"/>
  <c r="O24" i="13"/>
  <c r="N24" i="13"/>
  <c r="N23" i="13"/>
  <c r="M24" i="13"/>
  <c r="L24" i="13"/>
  <c r="K24" i="13"/>
  <c r="L23" i="13"/>
  <c r="I24" i="13"/>
  <c r="B24" i="7" s="1"/>
  <c r="H24" i="13"/>
  <c r="G24" i="63"/>
  <c r="H24" i="63"/>
  <c r="C24" i="63"/>
  <c r="X23" i="55" l="1"/>
  <c r="F24" i="7"/>
  <c r="L25" i="7"/>
  <c r="W11" i="73"/>
  <c r="W12" i="73"/>
  <c r="W13" i="73"/>
  <c r="W14" i="73"/>
  <c r="J24" i="7"/>
  <c r="Y4" i="53"/>
  <c r="Z4" i="53"/>
  <c r="Y5" i="53"/>
  <c r="Z5" i="53"/>
  <c r="Y6" i="53"/>
  <c r="Z6" i="53"/>
  <c r="Y7" i="53"/>
  <c r="Z7" i="53"/>
  <c r="Y8" i="53"/>
  <c r="Z8" i="53"/>
  <c r="Y9" i="53"/>
  <c r="Z9" i="53"/>
  <c r="Y10" i="53"/>
  <c r="Z10" i="53"/>
  <c r="Y11" i="53"/>
  <c r="Z11" i="53"/>
  <c r="Y12" i="53"/>
  <c r="Z12" i="53"/>
  <c r="Y13" i="53"/>
  <c r="Z13" i="53"/>
  <c r="Y14" i="53"/>
  <c r="Z14" i="53"/>
  <c r="Y15" i="53"/>
  <c r="Z15" i="53"/>
  <c r="Y16" i="53"/>
  <c r="Z16" i="53"/>
  <c r="Y17" i="53"/>
  <c r="Z17" i="53"/>
  <c r="Y18" i="53"/>
  <c r="Z18" i="53"/>
  <c r="Y19" i="53"/>
  <c r="Z19" i="53"/>
  <c r="Y20" i="53"/>
  <c r="Z20" i="53"/>
  <c r="Y21" i="53"/>
  <c r="Z21" i="53"/>
  <c r="Y22" i="53"/>
  <c r="Z22" i="53"/>
  <c r="Y23" i="53"/>
  <c r="Z23" i="53"/>
  <c r="Z3" i="53"/>
  <c r="Y3" i="53"/>
  <c r="C23" i="63" l="1"/>
  <c r="G23" i="63"/>
  <c r="H23" i="63"/>
  <c r="AA22" i="25" l="1"/>
  <c r="AC22" i="25" s="1"/>
  <c r="Z22" i="25"/>
  <c r="AB22" i="25" s="1"/>
  <c r="AA23" i="53"/>
  <c r="X23" i="53"/>
  <c r="W23" i="53"/>
  <c r="V23" i="53"/>
  <c r="U23" i="53"/>
  <c r="S23" i="64"/>
  <c r="R23" i="64"/>
  <c r="Q23" i="64"/>
  <c r="P23" i="64"/>
  <c r="P21" i="55"/>
  <c r="Q21" i="55"/>
  <c r="R21" i="55"/>
  <c r="S21" i="55"/>
  <c r="T21" i="55"/>
  <c r="Y21" i="55"/>
  <c r="Q22" i="55"/>
  <c r="R22" i="55"/>
  <c r="S22" i="55"/>
  <c r="T22" i="55"/>
  <c r="W22" i="55" s="1"/>
  <c r="Y22" i="55"/>
  <c r="V8" i="73"/>
  <c r="V12" i="73" s="1"/>
  <c r="L55" i="3"/>
  <c r="AJ24" i="8"/>
  <c r="AI24" i="8"/>
  <c r="AH24" i="8"/>
  <c r="AG24" i="8"/>
  <c r="AF24" i="8"/>
  <c r="AE24" i="8"/>
  <c r="AD24" i="8"/>
  <c r="AC24" i="8"/>
  <c r="AB24" i="8"/>
  <c r="AA24" i="8"/>
  <c r="Z24" i="8"/>
  <c r="W23" i="7"/>
  <c r="V23" i="7"/>
  <c r="T23" i="7"/>
  <c r="U23" i="7" s="1"/>
  <c r="K23" i="7"/>
  <c r="I23" i="7"/>
  <c r="H23" i="7"/>
  <c r="G23" i="7"/>
  <c r="P23" i="13"/>
  <c r="O23" i="13"/>
  <c r="M23" i="13"/>
  <c r="K23" i="13"/>
  <c r="I23" i="13"/>
  <c r="B23" i="7" s="1"/>
  <c r="H23" i="13"/>
  <c r="V21" i="55" l="1"/>
  <c r="J23" i="7"/>
  <c r="L24" i="7"/>
  <c r="W21" i="55"/>
  <c r="X21" i="55" s="1"/>
  <c r="V11" i="73"/>
  <c r="V15" i="73"/>
  <c r="V14" i="73"/>
  <c r="V13" i="73"/>
  <c r="V22" i="55"/>
  <c r="X22" i="55" s="1"/>
  <c r="F23" i="7"/>
  <c r="L54" i="3" l="1"/>
  <c r="K5" i="7" l="1"/>
  <c r="U22" i="53" l="1"/>
  <c r="V22" i="53"/>
  <c r="W22" i="53"/>
  <c r="X22" i="53"/>
  <c r="AA22" i="53"/>
  <c r="A3" i="19"/>
  <c r="A4" i="19" s="1"/>
  <c r="A5" i="19" s="1"/>
  <c r="A6" i="19" s="1"/>
  <c r="A7" i="19" s="1"/>
  <c r="A8" i="19" s="1"/>
  <c r="A9" i="19" s="1"/>
  <c r="A10" i="19" s="1"/>
  <c r="A11" i="19" s="1"/>
  <c r="A12" i="19" s="1"/>
  <c r="A13" i="19" s="1"/>
  <c r="A14" i="19" s="1"/>
  <c r="A15" i="19" s="1"/>
  <c r="A16" i="19" s="1"/>
  <c r="A17" i="19" s="1"/>
  <c r="A18" i="19" s="1"/>
  <c r="A19" i="19" s="1"/>
  <c r="A20" i="19" s="1"/>
  <c r="A21" i="19" s="1"/>
  <c r="A22" i="19" s="1"/>
  <c r="A23"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A133" i="19" s="1"/>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 r="A202" i="19" s="1"/>
  <c r="A203" i="19" s="1"/>
  <c r="A204" i="19" s="1"/>
  <c r="A205" i="19" s="1"/>
  <c r="A206" i="19" s="1"/>
  <c r="A207" i="19" s="1"/>
  <c r="A208" i="19" s="1"/>
  <c r="A209" i="19" s="1"/>
  <c r="A210" i="19" s="1"/>
  <c r="A211" i="19" s="1"/>
  <c r="A212" i="19" s="1"/>
  <c r="A213" i="19" s="1"/>
  <c r="A214" i="19" s="1"/>
  <c r="A215" i="19" s="1"/>
  <c r="A216" i="19" s="1"/>
  <c r="A217" i="19" s="1"/>
  <c r="A218" i="19" s="1"/>
  <c r="A219" i="19" s="1"/>
  <c r="A220" i="19" s="1"/>
  <c r="A221" i="19" s="1"/>
  <c r="A222" i="19" s="1"/>
  <c r="A223" i="19" s="1"/>
  <c r="A224" i="19" s="1"/>
  <c r="A225" i="19" s="1"/>
  <c r="A226" i="19" s="1"/>
  <c r="A227" i="19" s="1"/>
  <c r="A228" i="19" s="1"/>
  <c r="A229" i="19" s="1"/>
  <c r="A230" i="19" s="1"/>
  <c r="A231" i="19" s="1"/>
  <c r="A232" i="19" s="1"/>
  <c r="A233" i="19" s="1"/>
  <c r="A234" i="19" s="1"/>
  <c r="A235" i="19" s="1"/>
  <c r="A236" i="19" s="1"/>
  <c r="A237" i="19" s="1"/>
  <c r="A238" i="19" s="1"/>
  <c r="A239" i="19" s="1"/>
  <c r="A240" i="19" s="1"/>
  <c r="A241" i="19" s="1"/>
  <c r="A242" i="19" s="1"/>
  <c r="A243" i="19" s="1"/>
  <c r="A244" i="19" s="1"/>
  <c r="A245" i="19" s="1"/>
  <c r="A246" i="19" s="1"/>
  <c r="A247" i="19" s="1"/>
  <c r="A248" i="19" s="1"/>
  <c r="A249" i="19" s="1"/>
  <c r="A250" i="19" s="1"/>
  <c r="A251" i="19" s="1"/>
  <c r="A252" i="19" s="1"/>
  <c r="A253" i="19" s="1"/>
  <c r="A254" i="19" s="1"/>
  <c r="A255" i="19" s="1"/>
  <c r="A256" i="19" s="1"/>
  <c r="A257" i="19" s="1"/>
  <c r="A258" i="19" s="1"/>
  <c r="A259" i="19" s="1"/>
  <c r="A260" i="19" s="1"/>
  <c r="A261" i="19" s="1"/>
  <c r="A262" i="19" s="1"/>
  <c r="A263" i="19" s="1"/>
  <c r="A264" i="19" s="1"/>
  <c r="A265" i="19" s="1"/>
  <c r="A266" i="19" s="1"/>
  <c r="A267" i="19" s="1"/>
  <c r="A268" i="19" s="1"/>
  <c r="A269" i="19" s="1"/>
  <c r="A270" i="19" s="1"/>
  <c r="A271" i="19" s="1"/>
  <c r="A272" i="19" s="1"/>
  <c r="A273" i="19" s="1"/>
  <c r="A274" i="19" s="1"/>
  <c r="A275" i="19" s="1"/>
  <c r="A276" i="19" s="1"/>
  <c r="A277" i="19" s="1"/>
  <c r="A278" i="19" s="1"/>
  <c r="A279" i="19" s="1"/>
  <c r="A280" i="19" s="1"/>
  <c r="A281" i="19" s="1"/>
  <c r="A282" i="19" s="1"/>
  <c r="A283" i="19" s="1"/>
  <c r="A284" i="19" s="1"/>
  <c r="A285" i="19" s="1"/>
  <c r="A286" i="19" s="1"/>
  <c r="A287" i="19" s="1"/>
  <c r="A288" i="19" s="1"/>
  <c r="A289" i="19" s="1"/>
  <c r="A290" i="19" s="1"/>
  <c r="A291" i="19" s="1"/>
  <c r="A292" i="19" s="1"/>
  <c r="A293" i="19" s="1"/>
  <c r="A294" i="19" s="1"/>
  <c r="A295" i="19" s="1"/>
  <c r="A296" i="19" s="1"/>
  <c r="A297" i="19" s="1"/>
  <c r="A298" i="19" s="1"/>
  <c r="A299" i="19" s="1"/>
  <c r="A300" i="19" s="1"/>
  <c r="A301" i="19" s="1"/>
  <c r="A302" i="19" s="1"/>
  <c r="A303" i="19" s="1"/>
  <c r="A304" i="19" s="1"/>
  <c r="A305" i="19" s="1"/>
  <c r="A306" i="19" s="1"/>
  <c r="A307" i="19" s="1"/>
  <c r="A308" i="19" s="1"/>
  <c r="A309" i="19" s="1"/>
  <c r="A310" i="19" s="1"/>
  <c r="A311" i="19" s="1"/>
  <c r="A312" i="19" s="1"/>
  <c r="A313" i="19" s="1"/>
  <c r="A314" i="19" s="1"/>
  <c r="A315" i="19" s="1"/>
  <c r="A316" i="19" s="1"/>
  <c r="A317" i="19" s="1"/>
  <c r="A318" i="19" s="1"/>
  <c r="A319" i="19" s="1"/>
  <c r="A320" i="19" s="1"/>
  <c r="A321" i="19" s="1"/>
  <c r="A322" i="19" s="1"/>
  <c r="A323" i="19" s="1"/>
  <c r="A324" i="19" s="1"/>
  <c r="A325" i="19" s="1"/>
  <c r="A326" i="19" s="1"/>
  <c r="A327" i="19" s="1"/>
  <c r="A328" i="19" s="1"/>
  <c r="A329" i="19" s="1"/>
  <c r="A330" i="19" s="1"/>
  <c r="A331" i="19" s="1"/>
  <c r="A332" i="19" s="1"/>
  <c r="A333" i="19" s="1"/>
  <c r="A334" i="19" s="1"/>
  <c r="A335" i="19" s="1"/>
  <c r="A336" i="19" s="1"/>
  <c r="A337" i="19" s="1"/>
  <c r="A338" i="19" s="1"/>
  <c r="A339" i="19" s="1"/>
  <c r="A340" i="19" s="1"/>
  <c r="A341" i="19" s="1"/>
  <c r="A342" i="19" s="1"/>
  <c r="A343" i="19" s="1"/>
  <c r="A344" i="19" s="1"/>
  <c r="A345" i="19" s="1"/>
  <c r="A346" i="19" s="1"/>
  <c r="A347" i="19" s="1"/>
  <c r="A348" i="19" s="1"/>
  <c r="A349" i="19" s="1"/>
  <c r="A350" i="19" s="1"/>
  <c r="A351" i="19" s="1"/>
  <c r="A352" i="19" s="1"/>
  <c r="A353" i="19" s="1"/>
  <c r="A354" i="19" s="1"/>
  <c r="A355" i="19" s="1"/>
  <c r="A356" i="19" s="1"/>
  <c r="A357" i="19" s="1"/>
  <c r="A358" i="19" s="1"/>
  <c r="A359" i="19" s="1"/>
  <c r="A360" i="19" s="1"/>
  <c r="A361" i="19" s="1"/>
  <c r="A362" i="19" s="1"/>
  <c r="A363" i="19" s="1"/>
  <c r="A364" i="19" s="1"/>
  <c r="A365" i="19" s="1"/>
  <c r="A366" i="19" s="1"/>
  <c r="A367" i="19" s="1"/>
  <c r="A368" i="19" s="1"/>
  <c r="A369" i="19" s="1"/>
  <c r="A370" i="19" s="1"/>
  <c r="A371" i="19" s="1"/>
  <c r="A372" i="19" s="1"/>
  <c r="A373" i="19" s="1"/>
  <c r="A374" i="19" s="1"/>
  <c r="A375" i="19" s="1"/>
  <c r="A376" i="19" s="1"/>
  <c r="A377" i="19" s="1"/>
  <c r="A378" i="19" s="1"/>
  <c r="A379" i="19" s="1"/>
  <c r="A380" i="19" s="1"/>
  <c r="A381" i="19" s="1"/>
  <c r="A382" i="19" s="1"/>
  <c r="A383" i="19" s="1"/>
  <c r="A384" i="19" s="1"/>
  <c r="A385" i="19" s="1"/>
  <c r="A386" i="19" s="1"/>
  <c r="A387" i="19" s="1"/>
  <c r="A388" i="19" s="1"/>
  <c r="A389" i="19" s="1"/>
  <c r="A390" i="19" s="1"/>
  <c r="A391" i="19" s="1"/>
  <c r="A392" i="19" s="1"/>
  <c r="A393" i="19" s="1"/>
  <c r="A394" i="19" s="1"/>
  <c r="A395" i="19" s="1"/>
  <c r="A396" i="19" s="1"/>
  <c r="A397" i="19" s="1"/>
  <c r="A398" i="19" s="1"/>
  <c r="A399" i="19" s="1"/>
  <c r="A400" i="19" s="1"/>
  <c r="A401" i="19" s="1"/>
  <c r="A402" i="19" s="1"/>
  <c r="A403" i="19" s="1"/>
  <c r="A404" i="19" s="1"/>
  <c r="A405" i="19" s="1"/>
  <c r="A406" i="19" s="1"/>
  <c r="A407" i="19" s="1"/>
  <c r="A408" i="19" s="1"/>
  <c r="A409" i="19" s="1"/>
  <c r="A410" i="19" s="1"/>
  <c r="A411" i="19" s="1"/>
  <c r="A412" i="19" s="1"/>
  <c r="A413" i="19" s="1"/>
  <c r="A414" i="19" s="1"/>
  <c r="A415" i="19" s="1"/>
  <c r="A416" i="19" s="1"/>
  <c r="A417" i="19" s="1"/>
  <c r="A418" i="19" s="1"/>
  <c r="A419" i="19" s="1"/>
  <c r="A420" i="19" s="1"/>
  <c r="A421" i="19" s="1"/>
  <c r="A422" i="19" s="1"/>
  <c r="A423" i="19" s="1"/>
  <c r="A424" i="19" s="1"/>
  <c r="A425" i="19" s="1"/>
  <c r="A426" i="19" s="1"/>
  <c r="A427" i="19" s="1"/>
  <c r="A428" i="19" s="1"/>
  <c r="A429" i="19" s="1"/>
  <c r="A430" i="19" s="1"/>
  <c r="A431" i="19" s="1"/>
  <c r="A432" i="19" s="1"/>
  <c r="A433" i="19" s="1"/>
  <c r="A434" i="19" s="1"/>
  <c r="A435" i="19" s="1"/>
  <c r="A436" i="19" s="1"/>
  <c r="A437" i="19" s="1"/>
  <c r="A438" i="19" s="1"/>
  <c r="A439" i="19" s="1"/>
  <c r="A440" i="19" s="1"/>
  <c r="A441" i="19" s="1"/>
  <c r="A442" i="19" s="1"/>
  <c r="A443" i="19" s="1"/>
  <c r="A444" i="19" s="1"/>
  <c r="A445" i="19" s="1"/>
  <c r="A446" i="19" s="1"/>
  <c r="A447" i="19" s="1"/>
  <c r="A448" i="19" s="1"/>
  <c r="A449" i="19" s="1"/>
  <c r="A450" i="19" s="1"/>
  <c r="A451" i="19" s="1"/>
  <c r="A452" i="19" s="1"/>
  <c r="A453" i="19" s="1"/>
  <c r="A454" i="19" s="1"/>
  <c r="A455" i="19" s="1"/>
  <c r="A456" i="19" s="1"/>
  <c r="A457" i="19" s="1"/>
  <c r="A458" i="19" s="1"/>
  <c r="A459" i="19" s="1"/>
  <c r="A460" i="19" s="1"/>
  <c r="A461" i="19" s="1"/>
  <c r="A462" i="19" s="1"/>
  <c r="A463" i="19" s="1"/>
  <c r="A464" i="19" s="1"/>
  <c r="A465" i="19" s="1"/>
  <c r="A466" i="19" s="1"/>
  <c r="A467" i="19" s="1"/>
  <c r="A468" i="19" s="1"/>
  <c r="A469" i="19" s="1"/>
  <c r="A470" i="19" s="1"/>
  <c r="A471" i="19" s="1"/>
  <c r="A472" i="19" s="1"/>
  <c r="A473" i="19" s="1"/>
  <c r="A474" i="19" s="1"/>
  <c r="A475" i="19" s="1"/>
  <c r="A476" i="19" s="1"/>
  <c r="A477" i="19" s="1"/>
  <c r="A478" i="19" s="1"/>
  <c r="A479" i="19" s="1"/>
  <c r="A480" i="19" s="1"/>
  <c r="A481" i="19" s="1"/>
  <c r="A482" i="19" s="1"/>
  <c r="A483" i="19" s="1"/>
  <c r="A484" i="19" s="1"/>
  <c r="A485" i="19" s="1"/>
  <c r="A486" i="19" s="1"/>
  <c r="A487" i="19" s="1"/>
  <c r="A488" i="19" s="1"/>
  <c r="A489" i="19" s="1"/>
  <c r="A490" i="19" s="1"/>
  <c r="A491" i="19" s="1"/>
  <c r="A492" i="19" s="1"/>
  <c r="A493" i="19" s="1"/>
  <c r="A494" i="19" s="1"/>
  <c r="A495" i="19" s="1"/>
  <c r="A496" i="19" s="1"/>
  <c r="A497" i="19" s="1"/>
  <c r="A498" i="19" s="1"/>
  <c r="A499" i="19" s="1"/>
  <c r="A500" i="19" s="1"/>
  <c r="A501" i="19" s="1"/>
  <c r="A502" i="19" s="1"/>
  <c r="A503" i="19" s="1"/>
  <c r="A504" i="19" s="1"/>
  <c r="A505" i="19" s="1"/>
  <c r="A506" i="19" s="1"/>
  <c r="A507" i="19" s="1"/>
  <c r="A508" i="19" s="1"/>
  <c r="A509" i="19" s="1"/>
  <c r="A510" i="19" s="1"/>
  <c r="A511" i="19" s="1"/>
  <c r="A512" i="19" s="1"/>
  <c r="A513" i="19" s="1"/>
  <c r="A514" i="19" s="1"/>
  <c r="A515" i="19" s="1"/>
  <c r="A516" i="19" s="1"/>
  <c r="A517" i="19" s="1"/>
  <c r="A518" i="19" s="1"/>
  <c r="A519" i="19" s="1"/>
  <c r="A520" i="19" s="1"/>
  <c r="A521" i="19" s="1"/>
  <c r="A522" i="19" s="1"/>
  <c r="A523" i="19" s="1"/>
  <c r="A524" i="19" s="1"/>
  <c r="A525" i="19" s="1"/>
  <c r="A526" i="19" s="1"/>
  <c r="A527" i="19" s="1"/>
  <c r="A528" i="19" s="1"/>
  <c r="A529" i="19" s="1"/>
  <c r="A530" i="19" s="1"/>
  <c r="A531" i="19" s="1"/>
  <c r="A532" i="19" s="1"/>
  <c r="A533" i="19" s="1"/>
  <c r="A534" i="19" s="1"/>
  <c r="A535" i="19" s="1"/>
  <c r="A536" i="19" s="1"/>
  <c r="A537" i="19" s="1"/>
  <c r="A538" i="19" s="1"/>
  <c r="A539" i="19" s="1"/>
  <c r="A540" i="19" s="1"/>
  <c r="A541" i="19" s="1"/>
  <c r="A542" i="19" s="1"/>
  <c r="A543" i="19" s="1"/>
  <c r="A544" i="19" s="1"/>
  <c r="A545" i="19" s="1"/>
  <c r="A546" i="19" s="1"/>
  <c r="A547" i="19" s="1"/>
  <c r="A548" i="19" s="1"/>
  <c r="A549" i="19" s="1"/>
  <c r="A550" i="19" s="1"/>
  <c r="A551" i="19" s="1"/>
  <c r="A552" i="19" s="1"/>
  <c r="A553" i="19" s="1"/>
  <c r="A554" i="19" s="1"/>
  <c r="A555" i="19" s="1"/>
  <c r="A556" i="19" s="1"/>
  <c r="A557" i="19" s="1"/>
  <c r="A558" i="19" s="1"/>
  <c r="A559" i="19" s="1"/>
  <c r="A560" i="19" s="1"/>
  <c r="A561" i="19" s="1"/>
  <c r="A562" i="19" s="1"/>
  <c r="A563" i="19" s="1"/>
  <c r="A564" i="19" s="1"/>
  <c r="A565" i="19" s="1"/>
  <c r="A566" i="19" s="1"/>
  <c r="A567" i="19" s="1"/>
  <c r="A568" i="19" s="1"/>
  <c r="A569" i="19" s="1"/>
  <c r="A570" i="19" s="1"/>
  <c r="A571" i="19" s="1"/>
  <c r="A572" i="19" s="1"/>
  <c r="A573" i="19" s="1"/>
  <c r="A574" i="19" s="1"/>
  <c r="A575" i="19" s="1"/>
  <c r="A576" i="19" s="1"/>
  <c r="A577" i="19" s="1"/>
  <c r="A578" i="19" s="1"/>
  <c r="A579" i="19" s="1"/>
  <c r="A580" i="19" s="1"/>
  <c r="A581" i="19" s="1"/>
  <c r="A582" i="19" s="1"/>
  <c r="A583" i="19" s="1"/>
  <c r="A584" i="19" s="1"/>
  <c r="A585" i="19" s="1"/>
  <c r="A586" i="19" s="1"/>
  <c r="A587" i="19" s="1"/>
  <c r="A588" i="19" s="1"/>
  <c r="A589" i="19" s="1"/>
  <c r="A590" i="19" s="1"/>
  <c r="A591" i="19" s="1"/>
  <c r="A592" i="19" s="1"/>
  <c r="A593" i="19" s="1"/>
  <c r="A594" i="19" s="1"/>
  <c r="A595" i="19" s="1"/>
  <c r="A596" i="19" s="1"/>
  <c r="A597" i="19" s="1"/>
  <c r="A598" i="19" s="1"/>
  <c r="A599" i="19" s="1"/>
  <c r="A600" i="19" s="1"/>
  <c r="A601" i="19" s="1"/>
  <c r="A602" i="19" s="1"/>
  <c r="A603" i="19" s="1"/>
  <c r="A604" i="19" s="1"/>
  <c r="A605" i="19" s="1"/>
  <c r="A606" i="19" s="1"/>
  <c r="A607" i="19" s="1"/>
  <c r="A608" i="19" s="1"/>
  <c r="A609" i="19" s="1"/>
  <c r="A610" i="19" s="1"/>
  <c r="A611" i="19" s="1"/>
  <c r="A612" i="19" s="1"/>
  <c r="A613" i="19" s="1"/>
  <c r="A614" i="19" s="1"/>
  <c r="A615" i="19" s="1"/>
  <c r="A616" i="19" s="1"/>
  <c r="A617" i="19" s="1"/>
  <c r="A618" i="19" s="1"/>
  <c r="A619" i="19" s="1"/>
  <c r="A620" i="19" s="1"/>
  <c r="A621" i="19" s="1"/>
  <c r="A622" i="19" s="1"/>
  <c r="A623" i="19" s="1"/>
  <c r="A624" i="19" s="1"/>
  <c r="A625" i="19" s="1"/>
  <c r="A626" i="19" s="1"/>
  <c r="A627" i="19" s="1"/>
  <c r="A628" i="19" s="1"/>
  <c r="A629" i="19" s="1"/>
  <c r="A630" i="19" s="1"/>
  <c r="A631" i="19" s="1"/>
  <c r="A632" i="19" s="1"/>
  <c r="A633" i="19" s="1"/>
  <c r="A634" i="19" s="1"/>
  <c r="A635" i="19" s="1"/>
  <c r="A636" i="19" s="1"/>
  <c r="A637" i="19" s="1"/>
  <c r="A638" i="19" s="1"/>
  <c r="A639" i="19" s="1"/>
  <c r="A640" i="19" s="1"/>
  <c r="A641" i="19" s="1"/>
  <c r="A642" i="19" s="1"/>
  <c r="A643" i="19" s="1"/>
  <c r="A644" i="19" s="1"/>
  <c r="A645" i="19" s="1"/>
  <c r="A646" i="19" s="1"/>
  <c r="A647" i="19" s="1"/>
  <c r="A648" i="19" s="1"/>
  <c r="A649" i="19" s="1"/>
  <c r="A650" i="19" s="1"/>
  <c r="A651" i="19" s="1"/>
  <c r="A652" i="19" s="1"/>
  <c r="A653" i="19" s="1"/>
  <c r="A654" i="19" s="1"/>
  <c r="A655" i="19" s="1"/>
  <c r="A656" i="19" s="1"/>
  <c r="A657" i="19" s="1"/>
  <c r="A658" i="19" s="1"/>
  <c r="A659" i="19" s="1"/>
  <c r="A660" i="19" s="1"/>
  <c r="A661" i="19" s="1"/>
  <c r="A662" i="19" s="1"/>
  <c r="A663" i="19" s="1"/>
  <c r="A664" i="19" s="1"/>
  <c r="A665" i="19" s="1"/>
  <c r="A666" i="19" s="1"/>
  <c r="A667" i="19" s="1"/>
  <c r="A668" i="19" s="1"/>
  <c r="A669" i="19" s="1"/>
  <c r="A670" i="19" s="1"/>
  <c r="A671" i="19" s="1"/>
  <c r="A672" i="19" s="1"/>
  <c r="A673" i="19" s="1"/>
  <c r="A674" i="19" s="1"/>
  <c r="A675" i="19" s="1"/>
  <c r="A676" i="19" s="1"/>
  <c r="A677" i="19" s="1"/>
  <c r="A678" i="19" s="1"/>
  <c r="A679" i="19" s="1"/>
  <c r="A680" i="19" s="1"/>
  <c r="A681" i="19" s="1"/>
  <c r="A682" i="19" s="1"/>
  <c r="A683" i="19" s="1"/>
  <c r="A684" i="19" s="1"/>
  <c r="A685" i="19" s="1"/>
  <c r="A686" i="19" s="1"/>
  <c r="A687" i="19" s="1"/>
  <c r="A688" i="19" s="1"/>
  <c r="A689" i="19" s="1"/>
  <c r="A690" i="19" s="1"/>
  <c r="A691" i="19" s="1"/>
  <c r="A692" i="19" s="1"/>
  <c r="A693" i="19" s="1"/>
  <c r="A694" i="19" s="1"/>
  <c r="A695" i="19" s="1"/>
  <c r="A696" i="19" s="1"/>
  <c r="A697" i="19" s="1"/>
  <c r="A698" i="19" s="1"/>
  <c r="A699" i="19" s="1"/>
  <c r="A700" i="19" s="1"/>
  <c r="A701" i="19" s="1"/>
  <c r="A702" i="19" s="1"/>
  <c r="A703" i="19" s="1"/>
  <c r="A3" i="59"/>
  <c r="A4" i="59" s="1"/>
  <c r="A5" i="59" s="1"/>
  <c r="A6" i="59" s="1"/>
  <c r="A7" i="59" s="1"/>
  <c r="A8" i="59" s="1"/>
  <c r="A9" i="59" s="1"/>
  <c r="A10" i="59" s="1"/>
  <c r="A11" i="59" s="1"/>
  <c r="A12" i="59" s="1"/>
  <c r="A13" i="59" s="1"/>
  <c r="A14" i="59" s="1"/>
  <c r="A15" i="59" s="1"/>
  <c r="A16" i="59" s="1"/>
  <c r="A17" i="59" s="1"/>
  <c r="A18" i="59" s="1"/>
  <c r="A19" i="59" s="1"/>
  <c r="A20" i="59" s="1"/>
  <c r="A21" i="59" s="1"/>
  <c r="A22" i="59" s="1"/>
  <c r="A23" i="59" s="1"/>
  <c r="A24"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A117" i="59" s="1"/>
  <c r="A118" i="59" s="1"/>
  <c r="A119" i="59" s="1"/>
  <c r="A120"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7" i="59" s="1"/>
  <c r="A148" i="59" s="1"/>
  <c r="A149" i="59" s="1"/>
  <c r="A150" i="59" s="1"/>
  <c r="A151" i="59" s="1"/>
  <c r="A152" i="59" s="1"/>
  <c r="A153" i="59" s="1"/>
  <c r="A154" i="59" s="1"/>
  <c r="A155" i="59" s="1"/>
  <c r="A156" i="59" s="1"/>
  <c r="A157" i="59" s="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A246" i="59" s="1"/>
  <c r="A247" i="59" s="1"/>
  <c r="A248" i="59" s="1"/>
  <c r="A249" i="59" s="1"/>
  <c r="A250" i="59" s="1"/>
  <c r="A251" i="59" s="1"/>
  <c r="A252" i="59" s="1"/>
  <c r="A253" i="59" s="1"/>
  <c r="A254" i="59" s="1"/>
  <c r="A255" i="59" s="1"/>
  <c r="A256" i="59" s="1"/>
  <c r="A257" i="59" s="1"/>
  <c r="A258" i="59" s="1"/>
  <c r="A259" i="59" s="1"/>
  <c r="A260" i="59" s="1"/>
  <c r="A261" i="59" s="1"/>
  <c r="A262" i="59" s="1"/>
  <c r="A263" i="59" s="1"/>
  <c r="A264" i="59" s="1"/>
  <c r="A265" i="59" s="1"/>
  <c r="A266" i="59" s="1"/>
  <c r="A267" i="59" s="1"/>
  <c r="A268" i="59" s="1"/>
  <c r="A269" i="59" s="1"/>
  <c r="A270" i="59" s="1"/>
  <c r="A271" i="59" s="1"/>
  <c r="A272" i="59" s="1"/>
  <c r="A273" i="59" s="1"/>
  <c r="A274" i="59" s="1"/>
  <c r="A275" i="59" s="1"/>
  <c r="A276" i="59" s="1"/>
  <c r="A277" i="59" s="1"/>
  <c r="A278" i="59" s="1"/>
  <c r="A279" i="59" s="1"/>
  <c r="A280" i="59" s="1"/>
  <c r="A281" i="59" s="1"/>
  <c r="A282" i="59" s="1"/>
  <c r="A283" i="59" s="1"/>
  <c r="A284" i="59" s="1"/>
  <c r="A285" i="59" s="1"/>
  <c r="A286" i="59" s="1"/>
  <c r="A287" i="59" s="1"/>
  <c r="A288" i="59" s="1"/>
  <c r="A289" i="59" s="1"/>
  <c r="A290" i="59" s="1"/>
  <c r="A291" i="59" s="1"/>
  <c r="A292" i="59" s="1"/>
  <c r="A293" i="59" s="1"/>
  <c r="A294" i="59" s="1"/>
  <c r="A295" i="59" s="1"/>
  <c r="A296" i="59" s="1"/>
  <c r="A297" i="59" s="1"/>
  <c r="A298" i="59" s="1"/>
  <c r="A299" i="59" s="1"/>
  <c r="A300" i="59" s="1"/>
  <c r="A301" i="59" s="1"/>
  <c r="A302" i="59" s="1"/>
  <c r="A303" i="59" s="1"/>
  <c r="A304" i="59" s="1"/>
  <c r="A305" i="59" s="1"/>
  <c r="A306" i="59" s="1"/>
  <c r="A307" i="59" s="1"/>
  <c r="A308" i="59" s="1"/>
  <c r="A309" i="59" s="1"/>
  <c r="A310" i="59" s="1"/>
  <c r="A311" i="59" s="1"/>
  <c r="A312" i="59" s="1"/>
  <c r="A313" i="59" s="1"/>
  <c r="A314" i="59" s="1"/>
  <c r="A315" i="59" s="1"/>
  <c r="A316" i="59" s="1"/>
  <c r="A317" i="59" s="1"/>
  <c r="A318" i="59" s="1"/>
  <c r="A319" i="59" s="1"/>
  <c r="A320" i="59" s="1"/>
  <c r="A321" i="59" s="1"/>
  <c r="A322" i="59" s="1"/>
  <c r="A323" i="59" s="1"/>
  <c r="A324" i="59" s="1"/>
  <c r="A325" i="59" s="1"/>
  <c r="A326" i="59" s="1"/>
  <c r="A327" i="59" s="1"/>
  <c r="A328" i="59" s="1"/>
  <c r="A329" i="59" s="1"/>
  <c r="A330" i="59" s="1"/>
  <c r="A331" i="59" s="1"/>
  <c r="A332" i="59" s="1"/>
  <c r="A333" i="59" s="1"/>
  <c r="A334" i="59" s="1"/>
  <c r="A335" i="59" s="1"/>
  <c r="A336" i="59" s="1"/>
  <c r="A337" i="59" s="1"/>
  <c r="A338" i="59" s="1"/>
  <c r="A339" i="59" s="1"/>
  <c r="A340" i="59" s="1"/>
  <c r="A341" i="59" s="1"/>
  <c r="A342" i="59" s="1"/>
  <c r="A343" i="59" s="1"/>
  <c r="A344" i="59" s="1"/>
  <c r="A345" i="59" s="1"/>
  <c r="A346" i="59" s="1"/>
  <c r="A347" i="59" s="1"/>
  <c r="A348" i="59" s="1"/>
  <c r="A349" i="59" s="1"/>
  <c r="A350" i="59" s="1"/>
  <c r="A351" i="59" s="1"/>
  <c r="A352" i="59" s="1"/>
  <c r="A353" i="59" s="1"/>
  <c r="A354" i="59" s="1"/>
  <c r="A355" i="59" s="1"/>
  <c r="A356" i="59" s="1"/>
  <c r="A357" i="59" s="1"/>
  <c r="A358" i="59" s="1"/>
  <c r="A359" i="59" s="1"/>
  <c r="A360" i="59" s="1"/>
  <c r="A361" i="59" s="1"/>
  <c r="A362" i="59" s="1"/>
  <c r="A363" i="59" s="1"/>
  <c r="A364" i="59" s="1"/>
  <c r="A365" i="59" s="1"/>
  <c r="A366" i="59" s="1"/>
  <c r="A367" i="59" s="1"/>
  <c r="A368" i="59" s="1"/>
  <c r="A369" i="59" s="1"/>
  <c r="A370" i="59" s="1"/>
  <c r="A371" i="59" s="1"/>
  <c r="A372" i="59" s="1"/>
  <c r="A373" i="59" s="1"/>
  <c r="A374" i="59" s="1"/>
  <c r="A375" i="59" s="1"/>
  <c r="A376" i="59" s="1"/>
  <c r="A377" i="59" s="1"/>
  <c r="A378" i="59" s="1"/>
  <c r="A379" i="59" s="1"/>
  <c r="A380" i="59" s="1"/>
  <c r="A381" i="59" s="1"/>
  <c r="A382" i="59" s="1"/>
  <c r="A383" i="59" s="1"/>
  <c r="A384" i="59" s="1"/>
  <c r="A385" i="59" s="1"/>
  <c r="A386" i="59" s="1"/>
  <c r="A387" i="59" s="1"/>
  <c r="A388" i="59" s="1"/>
  <c r="A389" i="59" s="1"/>
  <c r="A390" i="59" s="1"/>
  <c r="A391" i="59" s="1"/>
  <c r="A392" i="59" s="1"/>
  <c r="A393" i="59" s="1"/>
  <c r="A394" i="59" s="1"/>
  <c r="A395" i="59" s="1"/>
  <c r="A396" i="59" s="1"/>
  <c r="A397" i="59" s="1"/>
  <c r="A398" i="59" s="1"/>
  <c r="A399" i="59" s="1"/>
  <c r="A400" i="59" s="1"/>
  <c r="A401" i="59" s="1"/>
  <c r="A402" i="59" s="1"/>
  <c r="A403" i="59" s="1"/>
  <c r="A404" i="59" s="1"/>
  <c r="A405" i="59" s="1"/>
  <c r="A406" i="59" s="1"/>
  <c r="A407" i="59" s="1"/>
  <c r="A408" i="59" s="1"/>
  <c r="A409" i="59" s="1"/>
  <c r="A410" i="59" s="1"/>
  <c r="A411" i="59" s="1"/>
  <c r="A412" i="59" s="1"/>
  <c r="A413" i="59" s="1"/>
  <c r="A414" i="59" s="1"/>
  <c r="A415" i="59" s="1"/>
  <c r="A416" i="59" s="1"/>
  <c r="A417" i="59" s="1"/>
  <c r="A418" i="59" s="1"/>
  <c r="A419" i="59" s="1"/>
  <c r="A420" i="59" s="1"/>
  <c r="A421" i="59" s="1"/>
  <c r="A422" i="59" s="1"/>
  <c r="A423" i="59" s="1"/>
  <c r="A424" i="59" s="1"/>
  <c r="A425" i="59" s="1"/>
  <c r="A426" i="59" s="1"/>
  <c r="A427" i="59" s="1"/>
  <c r="A428" i="59" s="1"/>
  <c r="A429" i="59" s="1"/>
  <c r="A430" i="59" s="1"/>
  <c r="A431" i="59" s="1"/>
  <c r="A432" i="59" s="1"/>
  <c r="A433" i="59" s="1"/>
  <c r="A434" i="59" s="1"/>
  <c r="A435" i="59" s="1"/>
  <c r="A436" i="59" s="1"/>
  <c r="A437" i="59" s="1"/>
  <c r="A438" i="59" s="1"/>
  <c r="A439" i="59" s="1"/>
  <c r="A440" i="59" s="1"/>
  <c r="A441" i="59" s="1"/>
  <c r="A442" i="59" s="1"/>
  <c r="A443" i="59" s="1"/>
  <c r="A444" i="59" s="1"/>
  <c r="A445" i="59" s="1"/>
  <c r="A446" i="59" s="1"/>
  <c r="A447" i="59" s="1"/>
  <c r="A448" i="59" s="1"/>
  <c r="A449" i="59" s="1"/>
  <c r="A450" i="59" s="1"/>
  <c r="A451" i="59" s="1"/>
  <c r="A452" i="59" s="1"/>
  <c r="A453" i="59" s="1"/>
  <c r="A454" i="59" s="1"/>
  <c r="A455" i="59" s="1"/>
  <c r="A456" i="59" s="1"/>
  <c r="A457" i="59" s="1"/>
  <c r="A458" i="59" s="1"/>
  <c r="A459" i="59" s="1"/>
  <c r="A460" i="59" s="1"/>
  <c r="A461" i="59" s="1"/>
  <c r="A462" i="59" s="1"/>
  <c r="A463" i="59" s="1"/>
  <c r="A464" i="59" s="1"/>
  <c r="A465" i="59" s="1"/>
  <c r="A466" i="59" s="1"/>
  <c r="A467" i="59" s="1"/>
  <c r="A468" i="59" s="1"/>
  <c r="A469" i="59" s="1"/>
  <c r="A470" i="59" s="1"/>
  <c r="A471" i="59" s="1"/>
  <c r="A472" i="59" s="1"/>
  <c r="A473" i="59" s="1"/>
  <c r="A474" i="59" s="1"/>
  <c r="A475" i="59" s="1"/>
  <c r="A476" i="59" s="1"/>
  <c r="A477" i="59" s="1"/>
  <c r="A478" i="59" s="1"/>
  <c r="A479" i="59" s="1"/>
  <c r="A480" i="59" s="1"/>
  <c r="A481" i="59" s="1"/>
  <c r="A482" i="59" s="1"/>
  <c r="A483" i="59" s="1"/>
  <c r="A484" i="59" s="1"/>
  <c r="A485" i="59" s="1"/>
  <c r="A486" i="59" s="1"/>
  <c r="A487" i="59" s="1"/>
  <c r="A488" i="59" s="1"/>
  <c r="A489" i="59" s="1"/>
  <c r="A490" i="59" s="1"/>
  <c r="A491" i="59" s="1"/>
  <c r="A492" i="59" s="1"/>
  <c r="A493" i="59" s="1"/>
  <c r="A494" i="59" s="1"/>
  <c r="A495" i="59" s="1"/>
  <c r="A496" i="59" s="1"/>
  <c r="A497" i="59" s="1"/>
  <c r="A498" i="59" s="1"/>
  <c r="A499" i="59" s="1"/>
  <c r="A500" i="59" s="1"/>
  <c r="A501" i="59" s="1"/>
  <c r="A502" i="59" s="1"/>
  <c r="A503" i="59" s="1"/>
  <c r="A504" i="59" s="1"/>
  <c r="A505" i="59" s="1"/>
  <c r="A506" i="59" s="1"/>
  <c r="A507" i="59" s="1"/>
  <c r="A508" i="59" s="1"/>
  <c r="A509" i="59" s="1"/>
  <c r="A510" i="59" s="1"/>
  <c r="A511" i="59" s="1"/>
  <c r="A512" i="59" s="1"/>
  <c r="A513" i="59" s="1"/>
  <c r="A514" i="59" s="1"/>
  <c r="A515" i="59" s="1"/>
  <c r="A516" i="59" s="1"/>
  <c r="A517" i="59" s="1"/>
  <c r="A518" i="59" s="1"/>
  <c r="A519" i="59" s="1"/>
  <c r="A520" i="59" s="1"/>
  <c r="A521" i="59" s="1"/>
  <c r="A522" i="59" s="1"/>
  <c r="A523" i="59" s="1"/>
  <c r="A524" i="59" s="1"/>
  <c r="A525" i="59" s="1"/>
  <c r="A526" i="59" s="1"/>
  <c r="A527" i="59" s="1"/>
  <c r="A528" i="59" s="1"/>
  <c r="A529" i="59" s="1"/>
  <c r="A530" i="59" s="1"/>
  <c r="A531" i="59" s="1"/>
  <c r="A532" i="59" s="1"/>
  <c r="A533" i="59" s="1"/>
  <c r="A534" i="59" s="1"/>
  <c r="A535" i="59" s="1"/>
  <c r="A536" i="59" s="1"/>
  <c r="A537" i="59" s="1"/>
  <c r="A538" i="59" s="1"/>
  <c r="A539" i="59" s="1"/>
  <c r="A540" i="59" s="1"/>
  <c r="A541" i="59" s="1"/>
  <c r="A542" i="59" s="1"/>
  <c r="A543" i="59" s="1"/>
  <c r="A544" i="59" s="1"/>
  <c r="A545" i="59" s="1"/>
  <c r="A546" i="59" s="1"/>
  <c r="A547" i="59" s="1"/>
  <c r="A548" i="59" s="1"/>
  <c r="A549" i="59" s="1"/>
  <c r="A550" i="59" s="1"/>
  <c r="A551" i="59" s="1"/>
  <c r="A552" i="59" s="1"/>
  <c r="A553" i="59" s="1"/>
  <c r="A554" i="59" s="1"/>
  <c r="A555" i="59" s="1"/>
  <c r="A556" i="59" s="1"/>
  <c r="A557" i="59" s="1"/>
  <c r="A558" i="59" s="1"/>
  <c r="A559" i="59" s="1"/>
  <c r="A560" i="59" s="1"/>
  <c r="A561" i="59" s="1"/>
  <c r="A562" i="59" s="1"/>
  <c r="A563" i="59" s="1"/>
  <c r="A564" i="59" s="1"/>
  <c r="A565" i="59" s="1"/>
  <c r="A566" i="59" s="1"/>
  <c r="A567" i="59" s="1"/>
  <c r="A568" i="59" s="1"/>
  <c r="A569" i="59" s="1"/>
  <c r="A570" i="59" s="1"/>
  <c r="A571" i="59" s="1"/>
  <c r="A572" i="59" s="1"/>
  <c r="A573" i="59" s="1"/>
  <c r="A574" i="59" s="1"/>
  <c r="A575" i="59" s="1"/>
  <c r="A576" i="59" s="1"/>
  <c r="A577" i="59" s="1"/>
  <c r="A578" i="59" s="1"/>
  <c r="A579" i="59" s="1"/>
  <c r="A580" i="59" s="1"/>
  <c r="A581" i="59" s="1"/>
  <c r="A582" i="59" s="1"/>
  <c r="A583" i="59" s="1"/>
  <c r="A584" i="59" s="1"/>
  <c r="A585" i="59" s="1"/>
  <c r="A586" i="59" s="1"/>
  <c r="A587" i="59" s="1"/>
  <c r="A588" i="59" s="1"/>
  <c r="A589" i="59" s="1"/>
  <c r="A590" i="59" s="1"/>
  <c r="A591" i="59" s="1"/>
  <c r="A592" i="59" s="1"/>
  <c r="A593" i="59" s="1"/>
  <c r="A594" i="59" s="1"/>
  <c r="A595" i="59" s="1"/>
  <c r="A596" i="59" s="1"/>
  <c r="A597" i="59" s="1"/>
  <c r="A598" i="59" s="1"/>
  <c r="A599" i="59" s="1"/>
  <c r="A600" i="59" s="1"/>
  <c r="A601" i="59" s="1"/>
  <c r="A602" i="59" s="1"/>
  <c r="A603" i="59" s="1"/>
  <c r="A604" i="59" s="1"/>
  <c r="A605" i="59" s="1"/>
  <c r="A606" i="59" s="1"/>
  <c r="A607" i="59" s="1"/>
  <c r="A3" i="18"/>
  <c r="A4" i="18" s="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476" i="18" s="1"/>
  <c r="A477" i="18" s="1"/>
  <c r="A478" i="18" s="1"/>
  <c r="A479" i="18" s="1"/>
  <c r="A480" i="18" s="1"/>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2" i="18" s="1"/>
  <c r="A503"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547" i="18" s="1"/>
  <c r="A548" i="18" s="1"/>
  <c r="A549" i="18" s="1"/>
  <c r="A550" i="18" s="1"/>
  <c r="A551" i="18" s="1"/>
  <c r="A552" i="18" s="1"/>
  <c r="A553" i="18" s="1"/>
  <c r="A554" i="18" s="1"/>
  <c r="A555" i="18" s="1"/>
  <c r="A556" i="18" s="1"/>
  <c r="A557" i="18" s="1"/>
  <c r="A558" i="18" s="1"/>
  <c r="A559" i="18" s="1"/>
  <c r="A560" i="18" s="1"/>
  <c r="A561" i="18" s="1"/>
  <c r="A562" i="18" s="1"/>
  <c r="A563" i="18" s="1"/>
  <c r="A564" i="18" s="1"/>
  <c r="A565" i="18" s="1"/>
  <c r="A566" i="18" s="1"/>
  <c r="A567" i="18" s="1"/>
  <c r="A568" i="18" s="1"/>
  <c r="A569" i="18" s="1"/>
  <c r="A570" i="18" s="1"/>
  <c r="A571" i="18" s="1"/>
  <c r="A572" i="18" s="1"/>
  <c r="A573" i="18" s="1"/>
  <c r="A574" i="18" s="1"/>
  <c r="A575" i="18" s="1"/>
  <c r="A576" i="18" s="1"/>
  <c r="A577" i="18" s="1"/>
  <c r="A578" i="18" s="1"/>
  <c r="A579" i="18" s="1"/>
  <c r="A580" i="18" s="1"/>
  <c r="A581" i="18" s="1"/>
  <c r="A582" i="18" s="1"/>
  <c r="A583" i="18" s="1"/>
  <c r="A584" i="18" s="1"/>
  <c r="A585" i="18" s="1"/>
  <c r="A586" i="18" s="1"/>
  <c r="A587" i="18" s="1"/>
  <c r="A588" i="18" s="1"/>
  <c r="A589" i="18" s="1"/>
  <c r="A590" i="18" s="1"/>
  <c r="A591" i="18" s="1"/>
  <c r="A592" i="18" s="1"/>
  <c r="A593" i="18" s="1"/>
  <c r="A594" i="18" s="1"/>
  <c r="A595" i="18" s="1"/>
  <c r="A596" i="18" s="1"/>
  <c r="A597" i="18" s="1"/>
  <c r="A598" i="18" s="1"/>
  <c r="A599" i="18" s="1"/>
  <c r="A600" i="18" s="1"/>
  <c r="A601" i="18" s="1"/>
  <c r="A602" i="18" s="1"/>
  <c r="A603" i="18" s="1"/>
  <c r="A604" i="18" s="1"/>
  <c r="A605" i="18" s="1"/>
  <c r="A606" i="18" s="1"/>
  <c r="A607" i="18" s="1"/>
  <c r="A608" i="18" s="1"/>
  <c r="A609" i="18" s="1"/>
  <c r="A610" i="18" s="1"/>
  <c r="A611" i="18" s="1"/>
  <c r="A612" i="18" s="1"/>
  <c r="A613" i="18" s="1"/>
  <c r="A614" i="18" s="1"/>
  <c r="A615" i="18" s="1"/>
  <c r="A616" i="18" s="1"/>
  <c r="A617" i="18" s="1"/>
  <c r="A618" i="18" s="1"/>
  <c r="A619" i="18" s="1"/>
  <c r="A620" i="18" s="1"/>
  <c r="A621" i="18" s="1"/>
  <c r="A622" i="18" s="1"/>
  <c r="A623" i="18" s="1"/>
  <c r="A624" i="18" s="1"/>
  <c r="A625" i="18" s="1"/>
  <c r="A626" i="18" s="1"/>
  <c r="A627" i="18" s="1"/>
  <c r="A628" i="18" s="1"/>
  <c r="A629" i="18" s="1"/>
  <c r="A630" i="18" s="1"/>
  <c r="A631" i="18" s="1"/>
  <c r="A632" i="18" s="1"/>
  <c r="A633" i="18" s="1"/>
  <c r="A634" i="18" s="1"/>
  <c r="A635" i="18" s="1"/>
  <c r="A636" i="18" s="1"/>
  <c r="A637" i="18" s="1"/>
  <c r="A638" i="18" s="1"/>
  <c r="A639" i="18" s="1"/>
  <c r="A640" i="18" s="1"/>
  <c r="A641" i="18" s="1"/>
  <c r="A642" i="18" s="1"/>
  <c r="A643" i="18" s="1"/>
  <c r="A644" i="18" s="1"/>
  <c r="A645" i="18" s="1"/>
  <c r="A646" i="18" s="1"/>
  <c r="A647" i="18" s="1"/>
  <c r="A648" i="18" s="1"/>
  <c r="A649" i="18" s="1"/>
  <c r="A650" i="18" s="1"/>
  <c r="A651" i="18" s="1"/>
  <c r="A652" i="18" s="1"/>
  <c r="A653" i="18" s="1"/>
  <c r="A654" i="18" s="1"/>
  <c r="A655" i="18" s="1"/>
  <c r="A656" i="18" s="1"/>
  <c r="A657" i="18" s="1"/>
  <c r="A658" i="18" s="1"/>
  <c r="A659" i="18" s="1"/>
  <c r="A660" i="18" s="1"/>
  <c r="A661" i="18" s="1"/>
  <c r="A662" i="18" s="1"/>
  <c r="A663" i="18" s="1"/>
  <c r="A664" i="18" s="1"/>
  <c r="A665" i="18" s="1"/>
  <c r="A666" i="18" s="1"/>
  <c r="A667" i="18" s="1"/>
  <c r="A668" i="18" s="1"/>
  <c r="A669" i="18" s="1"/>
  <c r="A670" i="18" s="1"/>
  <c r="A671" i="18" s="1"/>
  <c r="A672" i="18" s="1"/>
  <c r="A673" i="18" s="1"/>
  <c r="A674" i="18" s="1"/>
  <c r="A675" i="18" s="1"/>
  <c r="A676" i="18" s="1"/>
  <c r="A677" i="18" s="1"/>
  <c r="A678" i="18" s="1"/>
  <c r="A679" i="18" s="1"/>
  <c r="A680" i="18" s="1"/>
  <c r="A681" i="18" s="1"/>
  <c r="A682" i="18" s="1"/>
  <c r="A683" i="18" s="1"/>
  <c r="A684" i="18" s="1"/>
  <c r="A685" i="18" s="1"/>
  <c r="A686" i="18" s="1"/>
  <c r="A687" i="18" s="1"/>
  <c r="A688" i="18" s="1"/>
  <c r="A689" i="18" s="1"/>
  <c r="A690" i="18" s="1"/>
  <c r="A691" i="18" s="1"/>
  <c r="A692" i="18" s="1"/>
  <c r="A693" i="18" s="1"/>
  <c r="A694" i="18" s="1"/>
  <c r="A695" i="18" s="1"/>
  <c r="A696" i="18" s="1"/>
  <c r="A697" i="18" s="1"/>
  <c r="A698" i="18" s="1"/>
  <c r="A699" i="18" s="1"/>
  <c r="A700" i="18" s="1"/>
  <c r="A701" i="18" s="1"/>
  <c r="A702" i="18" s="1"/>
  <c r="A703" i="18" s="1"/>
  <c r="A704" i="18" s="1"/>
  <c r="A705" i="18" s="1"/>
  <c r="A706" i="18" s="1"/>
  <c r="A707" i="18" s="1"/>
  <c r="A708" i="18" s="1"/>
  <c r="A709" i="18" s="1"/>
  <c r="A710" i="18" s="1"/>
  <c r="A711" i="18" s="1"/>
  <c r="A712" i="18" s="1"/>
  <c r="A713" i="18" s="1"/>
  <c r="A714" i="18" s="1"/>
  <c r="A715" i="18" s="1"/>
  <c r="A716" i="18" s="1"/>
  <c r="A717" i="18" s="1"/>
  <c r="A718" i="18" s="1"/>
  <c r="A719" i="18" s="1"/>
  <c r="A720" i="18" s="1"/>
  <c r="A721" i="18" s="1"/>
  <c r="A722" i="18" s="1"/>
  <c r="A723" i="18" s="1"/>
  <c r="A724" i="18" s="1"/>
  <c r="A725" i="18" s="1"/>
  <c r="A726" i="18" s="1"/>
  <c r="A727" i="18" s="1"/>
  <c r="A728" i="18" s="1"/>
  <c r="A729" i="18" s="1"/>
  <c r="A730" i="18" s="1"/>
  <c r="A731" i="18" s="1"/>
  <c r="A732" i="18" s="1"/>
  <c r="A733" i="18" s="1"/>
  <c r="A734" i="18" s="1"/>
  <c r="A735" i="18" s="1"/>
  <c r="A736" i="18" s="1"/>
  <c r="A737" i="18" s="1"/>
  <c r="A738" i="18" s="1"/>
  <c r="A739" i="18" s="1"/>
  <c r="A740" i="18" s="1"/>
  <c r="A741" i="18" s="1"/>
  <c r="A742" i="18" s="1"/>
  <c r="A743" i="18" s="1"/>
  <c r="A744" i="18" s="1"/>
  <c r="A745" i="18" s="1"/>
  <c r="A746" i="18" s="1"/>
  <c r="A747" i="18" s="1"/>
  <c r="A748" i="18" s="1"/>
  <c r="A749" i="18" s="1"/>
  <c r="A750" i="18" s="1"/>
  <c r="A3" i="61"/>
  <c r="A4" i="61" s="1"/>
  <c r="A5" i="61" s="1"/>
  <c r="A6" i="61" s="1"/>
  <c r="A7" i="61" s="1"/>
  <c r="A8" i="61" s="1"/>
  <c r="A9" i="61" s="1"/>
  <c r="A10" i="61" s="1"/>
  <c r="A11" i="61" s="1"/>
  <c r="A12" i="61" s="1"/>
  <c r="A13" i="61" s="1"/>
  <c r="A14" i="61" s="1"/>
  <c r="A15" i="61" s="1"/>
  <c r="A16" i="61" s="1"/>
  <c r="A17" i="61" s="1"/>
  <c r="A18" i="61" s="1"/>
  <c r="A19" i="61" s="1"/>
  <c r="A20" i="61" s="1"/>
  <c r="A21" i="61" s="1"/>
  <c r="A22" i="61" s="1"/>
  <c r="A23" i="61" s="1"/>
  <c r="A26" i="61" s="1"/>
  <c r="A27" i="61" s="1"/>
  <c r="A28" i="61" s="1"/>
  <c r="A29" i="61" s="1"/>
  <c r="A30" i="61" s="1"/>
  <c r="A31" i="61" s="1"/>
  <c r="A32" i="61" s="1"/>
  <c r="A33" i="61" s="1"/>
  <c r="A34" i="61" s="1"/>
  <c r="A35" i="61" s="1"/>
  <c r="A36" i="61" s="1"/>
  <c r="A37" i="61" s="1"/>
  <c r="A38" i="61" s="1"/>
  <c r="A39" i="61" s="1"/>
  <c r="A40" i="61" s="1"/>
  <c r="A41" i="61" s="1"/>
  <c r="A42" i="61" s="1"/>
  <c r="A43" i="61" s="1"/>
  <c r="A44" i="61" s="1"/>
  <c r="A45" i="61" s="1"/>
  <c r="A46" i="61" s="1"/>
  <c r="A49" i="61" s="1"/>
  <c r="A50" i="61" s="1"/>
  <c r="A51" i="61" s="1"/>
  <c r="A52" i="61" s="1"/>
  <c r="A53" i="61" s="1"/>
  <c r="A54" i="61" s="1"/>
  <c r="A55" i="61" s="1"/>
  <c r="A56" i="61" s="1"/>
  <c r="A57" i="61" s="1"/>
  <c r="A58" i="61" s="1"/>
  <c r="A59" i="61" s="1"/>
  <c r="A60" i="61" s="1"/>
  <c r="A61" i="61" s="1"/>
  <c r="A62" i="61" s="1"/>
  <c r="A63" i="61" s="1"/>
  <c r="A64" i="61" s="1"/>
  <c r="A65" i="61" s="1"/>
  <c r="A66" i="61" s="1"/>
  <c r="A67" i="61" s="1"/>
  <c r="A68" i="61" s="1"/>
  <c r="A69" i="61" s="1"/>
  <c r="A72" i="61" s="1"/>
  <c r="A73" i="61" s="1"/>
  <c r="A74" i="61" s="1"/>
  <c r="A75" i="61" s="1"/>
  <c r="A76" i="61" s="1"/>
  <c r="A77" i="61" s="1"/>
  <c r="A78" i="61" s="1"/>
  <c r="A79" i="61" s="1"/>
  <c r="A80" i="61" s="1"/>
  <c r="A81" i="61" s="1"/>
  <c r="A82" i="61" s="1"/>
  <c r="A83" i="61" s="1"/>
  <c r="A84" i="61" s="1"/>
  <c r="A85" i="61" s="1"/>
  <c r="A86" i="61" s="1"/>
  <c r="A87" i="61" s="1"/>
  <c r="A88" i="61" s="1"/>
  <c r="A89" i="61" s="1"/>
  <c r="A90" i="61" s="1"/>
  <c r="A91" i="61" s="1"/>
  <c r="A92" i="61" s="1"/>
  <c r="A95" i="61" s="1"/>
  <c r="A96" i="61" s="1"/>
  <c r="A97" i="61" s="1"/>
  <c r="A98" i="61" s="1"/>
  <c r="A99" i="61" s="1"/>
  <c r="A100" i="61" s="1"/>
  <c r="A101" i="61" s="1"/>
  <c r="A102" i="61" s="1"/>
  <c r="A103" i="61" s="1"/>
  <c r="A104" i="61" s="1"/>
  <c r="A105" i="61" s="1"/>
  <c r="A106" i="61" s="1"/>
  <c r="A107" i="61" s="1"/>
  <c r="A108" i="61" s="1"/>
  <c r="A109" i="61" s="1"/>
  <c r="A110" i="61" s="1"/>
  <c r="A111" i="61" s="1"/>
  <c r="A112" i="61" s="1"/>
  <c r="A113" i="61" s="1"/>
  <c r="A114" i="61" s="1"/>
  <c r="A115" i="61" s="1"/>
  <c r="A116" i="61" s="1"/>
  <c r="A117" i="61" s="1"/>
  <c r="A118" i="61" s="1"/>
  <c r="A119" i="61" s="1"/>
  <c r="A120" i="61" s="1"/>
  <c r="A121" i="61" s="1"/>
  <c r="A122" i="61" s="1"/>
  <c r="A123" i="61" s="1"/>
  <c r="A124" i="61" s="1"/>
  <c r="A125" i="61" s="1"/>
  <c r="A126" i="61" s="1"/>
  <c r="A127" i="61" s="1"/>
  <c r="A128" i="61" s="1"/>
  <c r="A129" i="61" s="1"/>
  <c r="A130" i="61" s="1"/>
  <c r="A131" i="61" s="1"/>
  <c r="A132" i="61" s="1"/>
  <c r="A133" i="61" s="1"/>
  <c r="A134" i="61" s="1"/>
  <c r="A135" i="61" s="1"/>
  <c r="A136" i="61" s="1"/>
  <c r="A137" i="61" s="1"/>
  <c r="A138" i="61" s="1"/>
  <c r="A139" i="61" s="1"/>
  <c r="A140" i="61" s="1"/>
  <c r="A141" i="61" s="1"/>
  <c r="A142" i="61" s="1"/>
  <c r="A143" i="61" s="1"/>
  <c r="A144" i="61" s="1"/>
  <c r="A145" i="61" s="1"/>
  <c r="A146" i="61" s="1"/>
  <c r="A147" i="61" s="1"/>
  <c r="A148" i="61" s="1"/>
  <c r="A149" i="61" s="1"/>
  <c r="A150" i="61" s="1"/>
  <c r="A151" i="61" s="1"/>
  <c r="A152" i="61" s="1"/>
  <c r="A153" i="61" s="1"/>
  <c r="A154" i="61" s="1"/>
  <c r="A155" i="61" s="1"/>
  <c r="A156" i="61" s="1"/>
  <c r="A157" i="61" s="1"/>
  <c r="A158" i="61" s="1"/>
  <c r="A159" i="61" s="1"/>
  <c r="A160" i="61" s="1"/>
  <c r="A161" i="61" s="1"/>
  <c r="A162" i="61" s="1"/>
  <c r="A163" i="61" s="1"/>
  <c r="A164" i="61" s="1"/>
  <c r="A165" i="61" s="1"/>
  <c r="A166" i="61" s="1"/>
  <c r="A167" i="61" s="1"/>
  <c r="A168" i="61" s="1"/>
  <c r="A169" i="61" s="1"/>
  <c r="A170" i="61" s="1"/>
  <c r="A171" i="61" s="1"/>
  <c r="A172" i="61" s="1"/>
  <c r="A173" i="61" s="1"/>
  <c r="A174" i="61" s="1"/>
  <c r="A175" i="61" s="1"/>
  <c r="A176" i="61" s="1"/>
  <c r="A177" i="61" s="1"/>
  <c r="A178" i="61" s="1"/>
  <c r="A179" i="61" s="1"/>
  <c r="A180" i="61" s="1"/>
  <c r="A181" i="61" s="1"/>
  <c r="A182" i="61" s="1"/>
  <c r="A183" i="61" s="1"/>
  <c r="A184" i="61" s="1"/>
  <c r="A185" i="61" s="1"/>
  <c r="A186" i="61" s="1"/>
  <c r="A187" i="61" s="1"/>
  <c r="A188" i="61" s="1"/>
  <c r="A189" i="61" s="1"/>
  <c r="A190" i="61" s="1"/>
  <c r="A191" i="61" s="1"/>
  <c r="A192" i="61" s="1"/>
  <c r="A193" i="61" s="1"/>
  <c r="A194" i="61" s="1"/>
  <c r="A195" i="61" s="1"/>
  <c r="A196" i="61" s="1"/>
  <c r="A197" i="61" s="1"/>
  <c r="A198" i="61" s="1"/>
  <c r="A199" i="61" s="1"/>
  <c r="A200" i="61" s="1"/>
  <c r="A201" i="61" s="1"/>
  <c r="A202" i="61" s="1"/>
  <c r="A203" i="61" s="1"/>
  <c r="A204" i="61" s="1"/>
  <c r="A205" i="61" s="1"/>
  <c r="A206" i="61" s="1"/>
  <c r="A207" i="61" s="1"/>
  <c r="A208" i="61" s="1"/>
  <c r="A209" i="61" s="1"/>
  <c r="A210" i="61" s="1"/>
  <c r="A211" i="61" s="1"/>
  <c r="A212" i="61" s="1"/>
  <c r="A213" i="61" s="1"/>
  <c r="A214" i="61" s="1"/>
  <c r="A215" i="61" s="1"/>
  <c r="A216" i="61" s="1"/>
  <c r="A217" i="61" s="1"/>
  <c r="A218" i="61" s="1"/>
  <c r="A219" i="61" s="1"/>
  <c r="A220" i="61" s="1"/>
  <c r="A221" i="61" s="1"/>
  <c r="A222" i="61" s="1"/>
  <c r="A223" i="61" s="1"/>
  <c r="A224" i="61" s="1"/>
  <c r="A225" i="61" s="1"/>
  <c r="A226" i="61" s="1"/>
  <c r="A227" i="61" s="1"/>
  <c r="A228" i="61" s="1"/>
  <c r="A229" i="61" s="1"/>
  <c r="A230" i="61" s="1"/>
  <c r="A231" i="61" s="1"/>
  <c r="A232" i="61" s="1"/>
  <c r="A233" i="61" s="1"/>
  <c r="A234" i="61" s="1"/>
  <c r="A235" i="61" s="1"/>
  <c r="A236" i="61" s="1"/>
  <c r="A237" i="61" s="1"/>
  <c r="A238" i="61" s="1"/>
  <c r="A239" i="61" s="1"/>
  <c r="A240" i="61" s="1"/>
  <c r="A241" i="61" s="1"/>
  <c r="A242" i="61" s="1"/>
  <c r="A243" i="61" s="1"/>
  <c r="A244" i="61" s="1"/>
  <c r="A245" i="61" s="1"/>
  <c r="A246" i="61" s="1"/>
  <c r="A247" i="61" s="1"/>
  <c r="A248" i="61" s="1"/>
  <c r="A249" i="61" s="1"/>
  <c r="A250" i="61" s="1"/>
  <c r="A251" i="61" s="1"/>
  <c r="A252" i="61" s="1"/>
  <c r="A253" i="61" s="1"/>
  <c r="A254" i="61" s="1"/>
  <c r="A255" i="61" s="1"/>
  <c r="A256" i="61" s="1"/>
  <c r="A257" i="61" s="1"/>
  <c r="A258" i="61" s="1"/>
  <c r="A259" i="61" s="1"/>
  <c r="A260" i="61" s="1"/>
  <c r="A261" i="61" s="1"/>
  <c r="A262" i="61" s="1"/>
  <c r="A263" i="61" s="1"/>
  <c r="A264" i="61" s="1"/>
  <c r="A265" i="61" s="1"/>
  <c r="A266" i="61" s="1"/>
  <c r="A267" i="61" s="1"/>
  <c r="A268" i="61" s="1"/>
  <c r="A269" i="61" s="1"/>
  <c r="A270" i="61" s="1"/>
  <c r="A271" i="61" s="1"/>
  <c r="A272" i="61" s="1"/>
  <c r="A273" i="61" s="1"/>
  <c r="A274" i="61" s="1"/>
  <c r="A275" i="61" s="1"/>
  <c r="A276" i="61" s="1"/>
  <c r="A277" i="61" s="1"/>
  <c r="A278" i="61" s="1"/>
  <c r="A279" i="61" s="1"/>
  <c r="A280" i="61" s="1"/>
  <c r="A281" i="61" s="1"/>
  <c r="A282" i="61" s="1"/>
  <c r="A283" i="61" s="1"/>
  <c r="A284" i="61" s="1"/>
  <c r="A285" i="61" s="1"/>
  <c r="A286" i="61" s="1"/>
  <c r="A287" i="61" s="1"/>
  <c r="A288" i="61" s="1"/>
  <c r="A289" i="61" s="1"/>
  <c r="A290" i="61" s="1"/>
  <c r="A291" i="61" s="1"/>
  <c r="A292" i="61" s="1"/>
  <c r="A293" i="61" s="1"/>
  <c r="A294" i="61" s="1"/>
  <c r="A295" i="61" s="1"/>
  <c r="A296" i="61" s="1"/>
  <c r="A297" i="61" s="1"/>
  <c r="A298" i="61" s="1"/>
  <c r="A299" i="61" s="1"/>
  <c r="A300" i="61" s="1"/>
  <c r="A301" i="61" s="1"/>
  <c r="A302" i="61" s="1"/>
  <c r="A303" i="61" s="1"/>
  <c r="A304" i="61" s="1"/>
  <c r="A305" i="61" s="1"/>
  <c r="A306" i="61" s="1"/>
  <c r="A307" i="61" s="1"/>
  <c r="A308" i="61" s="1"/>
  <c r="A309" i="61" s="1"/>
  <c r="A310" i="61" s="1"/>
  <c r="A311" i="61" s="1"/>
  <c r="A312" i="61" s="1"/>
  <c r="A313" i="61" s="1"/>
  <c r="A314" i="61" s="1"/>
  <c r="A315" i="61" s="1"/>
  <c r="A316" i="61" s="1"/>
  <c r="A317" i="61" s="1"/>
  <c r="A318" i="61" s="1"/>
  <c r="A319" i="61" s="1"/>
  <c r="A320" i="61" s="1"/>
  <c r="A321" i="61" s="1"/>
  <c r="A322" i="61" s="1"/>
  <c r="A323" i="61" s="1"/>
  <c r="A324" i="61" s="1"/>
  <c r="A325" i="61" s="1"/>
  <c r="A326" i="61" s="1"/>
  <c r="A327" i="61" s="1"/>
  <c r="A328" i="61" s="1"/>
  <c r="A329" i="61" s="1"/>
  <c r="A330" i="61" s="1"/>
  <c r="A331" i="61" s="1"/>
  <c r="A332" i="61" s="1"/>
  <c r="A333" i="61" s="1"/>
  <c r="A334" i="61" s="1"/>
  <c r="A335" i="61" s="1"/>
  <c r="A336" i="61" s="1"/>
  <c r="A337" i="61" s="1"/>
  <c r="A338" i="61" s="1"/>
  <c r="A339" i="61" s="1"/>
  <c r="A340" i="61" s="1"/>
  <c r="A341" i="61" s="1"/>
  <c r="A342" i="61" s="1"/>
  <c r="A343" i="61" s="1"/>
  <c r="A344" i="61" s="1"/>
  <c r="A345" i="61" s="1"/>
  <c r="A346" i="61" s="1"/>
  <c r="A347" i="61" s="1"/>
  <c r="A348" i="61" s="1"/>
  <c r="A349" i="61" s="1"/>
  <c r="A350" i="61" s="1"/>
  <c r="A351" i="61" s="1"/>
  <c r="A352" i="61" s="1"/>
  <c r="A353" i="61" s="1"/>
  <c r="A354" i="61" s="1"/>
  <c r="A355" i="61" s="1"/>
  <c r="A356" i="61" s="1"/>
  <c r="A357" i="61" s="1"/>
  <c r="A358" i="61" s="1"/>
  <c r="A359" i="61" s="1"/>
  <c r="A360" i="61" s="1"/>
  <c r="A361" i="61" s="1"/>
  <c r="A362" i="61" s="1"/>
  <c r="A363" i="61" s="1"/>
  <c r="A364" i="61" s="1"/>
  <c r="A365" i="61" s="1"/>
  <c r="A366" i="61" s="1"/>
  <c r="A367" i="61" s="1"/>
  <c r="A368" i="61" s="1"/>
  <c r="A369" i="61" s="1"/>
  <c r="A370" i="61" s="1"/>
  <c r="A371" i="61" s="1"/>
  <c r="A372" i="61" s="1"/>
  <c r="A373" i="61" s="1"/>
  <c r="A374" i="61" s="1"/>
  <c r="A375" i="61" s="1"/>
  <c r="A376" i="61" s="1"/>
  <c r="A377" i="61" s="1"/>
  <c r="A378" i="61" s="1"/>
  <c r="A379" i="61" s="1"/>
  <c r="A380" i="61" s="1"/>
  <c r="A381" i="61" s="1"/>
  <c r="A382" i="61" s="1"/>
  <c r="A383" i="61" s="1"/>
  <c r="A384" i="61" s="1"/>
  <c r="A385" i="61" s="1"/>
  <c r="A386" i="61" s="1"/>
  <c r="A387" i="61" s="1"/>
  <c r="A388" i="61" s="1"/>
  <c r="A389" i="61" s="1"/>
  <c r="A390" i="61" s="1"/>
  <c r="A391" i="61" s="1"/>
  <c r="A392" i="61" s="1"/>
  <c r="A393" i="61" s="1"/>
  <c r="A394" i="61" s="1"/>
  <c r="A395" i="61" s="1"/>
  <c r="A396" i="61" s="1"/>
  <c r="A397" i="61" s="1"/>
  <c r="A398" i="61" s="1"/>
  <c r="A399" i="61" s="1"/>
  <c r="A400" i="61" s="1"/>
  <c r="A401" i="61" s="1"/>
  <c r="A402" i="61" s="1"/>
  <c r="A403" i="61" s="1"/>
  <c r="A404" i="61" s="1"/>
  <c r="A405" i="61" s="1"/>
  <c r="A406" i="61" s="1"/>
  <c r="A407" i="61" s="1"/>
  <c r="A408" i="61" s="1"/>
  <c r="A409" i="61" s="1"/>
  <c r="A410" i="61" s="1"/>
  <c r="A411" i="61" s="1"/>
  <c r="A412" i="61" s="1"/>
  <c r="A413" i="61" s="1"/>
  <c r="A414" i="61" s="1"/>
  <c r="A415" i="61" s="1"/>
  <c r="A416" i="61" s="1"/>
  <c r="A417" i="61" s="1"/>
  <c r="A418" i="61" s="1"/>
  <c r="A419" i="61" s="1"/>
  <c r="A420" i="61" s="1"/>
  <c r="A421" i="61" s="1"/>
  <c r="A422" i="61" s="1"/>
  <c r="A423" i="61" s="1"/>
  <c r="A424" i="61" s="1"/>
  <c r="A425" i="61" s="1"/>
  <c r="A426" i="61" s="1"/>
  <c r="A427" i="61" s="1"/>
  <c r="A428" i="61" s="1"/>
  <c r="A429" i="61" s="1"/>
  <c r="A430" i="61" s="1"/>
  <c r="A431" i="61" s="1"/>
  <c r="A432" i="61" s="1"/>
  <c r="A433" i="61" s="1"/>
  <c r="A434" i="61" s="1"/>
  <c r="A435" i="61" s="1"/>
  <c r="A436" i="61" s="1"/>
  <c r="A437" i="61" s="1"/>
  <c r="A438" i="61" s="1"/>
  <c r="A439" i="61" s="1"/>
  <c r="A440" i="61" s="1"/>
  <c r="A441" i="61" s="1"/>
  <c r="A442" i="61" s="1"/>
  <c r="A443" i="61" s="1"/>
  <c r="A444" i="61" s="1"/>
  <c r="A445" i="61" s="1"/>
  <c r="A446" i="61" s="1"/>
  <c r="A447" i="61" s="1"/>
  <c r="A448" i="61" s="1"/>
  <c r="A449" i="61" s="1"/>
  <c r="A450" i="61" s="1"/>
  <c r="A451" i="61" s="1"/>
  <c r="A452" i="61" s="1"/>
  <c r="A453" i="61" s="1"/>
  <c r="A454" i="61" s="1"/>
  <c r="A455" i="61" s="1"/>
  <c r="A456" i="61" s="1"/>
  <c r="A457" i="61" s="1"/>
  <c r="A458" i="61" s="1"/>
  <c r="A459" i="61" s="1"/>
  <c r="A460" i="61" s="1"/>
  <c r="A461" i="61" s="1"/>
  <c r="A462" i="61" s="1"/>
  <c r="A463" i="61" s="1"/>
  <c r="A464" i="61" s="1"/>
  <c r="A465" i="61" s="1"/>
  <c r="A466" i="61" s="1"/>
  <c r="A467" i="61" s="1"/>
  <c r="A468" i="61" s="1"/>
  <c r="A469" i="61" s="1"/>
  <c r="A470" i="61" s="1"/>
  <c r="A471" i="61" s="1"/>
  <c r="A472" i="61" s="1"/>
  <c r="A473" i="61" s="1"/>
  <c r="A474" i="61" s="1"/>
  <c r="A475" i="61" s="1"/>
  <c r="A476" i="61" s="1"/>
  <c r="A477" i="61" s="1"/>
  <c r="A478" i="61" s="1"/>
  <c r="A479" i="61" s="1"/>
  <c r="A480" i="61" s="1"/>
  <c r="A481" i="61" s="1"/>
  <c r="A482" i="61" s="1"/>
  <c r="A483" i="61" s="1"/>
  <c r="A484" i="61" s="1"/>
  <c r="A485" i="61" s="1"/>
  <c r="A486" i="61" s="1"/>
  <c r="A487" i="61" s="1"/>
  <c r="A488" i="61" s="1"/>
  <c r="A489" i="61" s="1"/>
  <c r="A490" i="61" s="1"/>
  <c r="A491" i="61" s="1"/>
  <c r="A492" i="61" s="1"/>
  <c r="A493" i="61" s="1"/>
  <c r="A494" i="61" s="1"/>
  <c r="A495" i="61" s="1"/>
  <c r="A496" i="61" s="1"/>
  <c r="A497" i="61" s="1"/>
  <c r="A498" i="61" s="1"/>
  <c r="A499" i="61" s="1"/>
  <c r="A500" i="61" s="1"/>
  <c r="A501" i="61" s="1"/>
  <c r="A502" i="61" s="1"/>
  <c r="A503" i="61" s="1"/>
  <c r="A504" i="61" s="1"/>
  <c r="A505" i="61" s="1"/>
  <c r="P22" i="64"/>
  <c r="Q22" i="64"/>
  <c r="R22" i="64"/>
  <c r="S22" i="64"/>
  <c r="U8" i="73"/>
  <c r="U12" i="73" s="1"/>
  <c r="Z23" i="8"/>
  <c r="AA23" i="8"/>
  <c r="AB23" i="8"/>
  <c r="AC23" i="8"/>
  <c r="AD23" i="8"/>
  <c r="AE23" i="8"/>
  <c r="AF23" i="8"/>
  <c r="AG23" i="8"/>
  <c r="AH23" i="8"/>
  <c r="AI23" i="8"/>
  <c r="AJ23" i="8"/>
  <c r="C60" i="84"/>
  <c r="C59" i="84"/>
  <c r="K64" i="84"/>
  <c r="P77" i="84"/>
  <c r="O77" i="84"/>
  <c r="N77" i="84"/>
  <c r="M77" i="84"/>
  <c r="L77" i="84"/>
  <c r="K77" i="84"/>
  <c r="J77" i="84"/>
  <c r="I77" i="84"/>
  <c r="H77" i="84"/>
  <c r="G77" i="84"/>
  <c r="F77" i="84"/>
  <c r="E77" i="84"/>
  <c r="D77" i="84"/>
  <c r="C77" i="84"/>
  <c r="P76" i="84"/>
  <c r="O76" i="84"/>
  <c r="N76" i="84"/>
  <c r="M76" i="84"/>
  <c r="L76" i="84"/>
  <c r="K76" i="84"/>
  <c r="J76" i="84"/>
  <c r="I76" i="84"/>
  <c r="H76" i="84"/>
  <c r="G76" i="84"/>
  <c r="F76" i="84"/>
  <c r="E76" i="84"/>
  <c r="D76" i="84"/>
  <c r="C76" i="84"/>
  <c r="P75" i="84"/>
  <c r="O75" i="84"/>
  <c r="N75" i="84"/>
  <c r="M75" i="84"/>
  <c r="L75" i="84"/>
  <c r="K75" i="84"/>
  <c r="J75" i="84"/>
  <c r="I75" i="84"/>
  <c r="H75" i="84"/>
  <c r="G75" i="84"/>
  <c r="F75" i="84"/>
  <c r="E75" i="84"/>
  <c r="D75" i="84"/>
  <c r="C75" i="84"/>
  <c r="P74" i="84"/>
  <c r="O74" i="84"/>
  <c r="N74" i="84"/>
  <c r="M74" i="84"/>
  <c r="L74" i="84"/>
  <c r="J74" i="84"/>
  <c r="I74" i="84"/>
  <c r="H74" i="84"/>
  <c r="G74" i="84"/>
  <c r="F74" i="84"/>
  <c r="E74" i="84"/>
  <c r="D74" i="84"/>
  <c r="C74" i="84"/>
  <c r="P73" i="84"/>
  <c r="O73" i="84"/>
  <c r="N73" i="84"/>
  <c r="M73" i="84"/>
  <c r="L73" i="84"/>
  <c r="K73" i="84"/>
  <c r="J73" i="84"/>
  <c r="I73" i="84"/>
  <c r="H73" i="84"/>
  <c r="G73" i="84"/>
  <c r="E73" i="84"/>
  <c r="D73" i="84"/>
  <c r="C73" i="84"/>
  <c r="P72" i="84"/>
  <c r="O72" i="84"/>
  <c r="N72" i="84"/>
  <c r="M72" i="84"/>
  <c r="L72" i="84"/>
  <c r="K72" i="84"/>
  <c r="J72" i="84"/>
  <c r="I72" i="84"/>
  <c r="H72" i="84"/>
  <c r="G72" i="84"/>
  <c r="F72" i="84"/>
  <c r="E72" i="84"/>
  <c r="D72" i="84"/>
  <c r="C72" i="84"/>
  <c r="P71" i="84"/>
  <c r="O71" i="84"/>
  <c r="N71" i="84"/>
  <c r="M71" i="84"/>
  <c r="L71" i="84"/>
  <c r="K71" i="84"/>
  <c r="J71" i="84"/>
  <c r="I71" i="84"/>
  <c r="H71" i="84"/>
  <c r="G71" i="84"/>
  <c r="F71" i="84"/>
  <c r="E71" i="84"/>
  <c r="D71" i="84"/>
  <c r="C71" i="84"/>
  <c r="P70" i="84"/>
  <c r="O70" i="84"/>
  <c r="N70" i="84"/>
  <c r="M70" i="84"/>
  <c r="L70" i="84"/>
  <c r="K70" i="84"/>
  <c r="J70" i="84"/>
  <c r="I70" i="84"/>
  <c r="H70" i="84"/>
  <c r="G70" i="84"/>
  <c r="F70" i="84"/>
  <c r="E70" i="84"/>
  <c r="D70" i="84"/>
  <c r="C70" i="84"/>
  <c r="P69" i="84"/>
  <c r="O69" i="84"/>
  <c r="N69" i="84"/>
  <c r="M69" i="84"/>
  <c r="L69" i="84"/>
  <c r="K69" i="84"/>
  <c r="J69" i="84"/>
  <c r="I69" i="84"/>
  <c r="H69" i="84"/>
  <c r="G69" i="84"/>
  <c r="F69" i="84"/>
  <c r="E69" i="84"/>
  <c r="D69" i="84"/>
  <c r="P68" i="84"/>
  <c r="O68" i="84"/>
  <c r="N68" i="84"/>
  <c r="M68" i="84"/>
  <c r="L68" i="84"/>
  <c r="K68" i="84"/>
  <c r="J68" i="84"/>
  <c r="I68" i="84"/>
  <c r="H68" i="84"/>
  <c r="G68" i="84"/>
  <c r="F68" i="84"/>
  <c r="E68" i="84"/>
  <c r="D68" i="84"/>
  <c r="C68" i="84"/>
  <c r="P67" i="84"/>
  <c r="O67" i="84"/>
  <c r="N67" i="84"/>
  <c r="M67" i="84"/>
  <c r="L67" i="84"/>
  <c r="K67" i="84"/>
  <c r="J67" i="84"/>
  <c r="I67" i="84"/>
  <c r="H67" i="84"/>
  <c r="G67" i="84"/>
  <c r="F67" i="84"/>
  <c r="D67" i="84"/>
  <c r="C67" i="84"/>
  <c r="P66" i="84"/>
  <c r="O66" i="84"/>
  <c r="N66" i="84"/>
  <c r="M66" i="84"/>
  <c r="L66" i="84"/>
  <c r="K66" i="84"/>
  <c r="J66" i="84"/>
  <c r="I66" i="84"/>
  <c r="H66" i="84"/>
  <c r="G66" i="84"/>
  <c r="F66" i="84"/>
  <c r="E66" i="84"/>
  <c r="D66" i="84"/>
  <c r="C66" i="84"/>
  <c r="P65" i="84"/>
  <c r="O65" i="84"/>
  <c r="N65" i="84"/>
  <c r="M65" i="84"/>
  <c r="L65" i="84"/>
  <c r="K65" i="84"/>
  <c r="J65" i="84"/>
  <c r="I65" i="84"/>
  <c r="H65" i="84"/>
  <c r="G65" i="84"/>
  <c r="F65" i="84"/>
  <c r="E65" i="84"/>
  <c r="D65" i="84"/>
  <c r="C65" i="84"/>
  <c r="P64" i="84"/>
  <c r="O64" i="84"/>
  <c r="N64" i="84"/>
  <c r="M64" i="84"/>
  <c r="L64" i="84"/>
  <c r="J64" i="84"/>
  <c r="I64" i="84"/>
  <c r="H64" i="84"/>
  <c r="G64" i="84"/>
  <c r="F64" i="84"/>
  <c r="E64" i="84"/>
  <c r="D64" i="84"/>
  <c r="C64" i="84"/>
  <c r="P63" i="84"/>
  <c r="O63" i="84"/>
  <c r="N63" i="84"/>
  <c r="M63" i="84"/>
  <c r="L63" i="84"/>
  <c r="K63" i="84"/>
  <c r="J63" i="84"/>
  <c r="I63" i="84"/>
  <c r="H63" i="84"/>
  <c r="G63" i="84"/>
  <c r="F63" i="84"/>
  <c r="E63" i="84"/>
  <c r="D63" i="84"/>
  <c r="C63" i="84"/>
  <c r="P62" i="84"/>
  <c r="O62" i="84"/>
  <c r="N62" i="84"/>
  <c r="M62" i="84"/>
  <c r="L62" i="84"/>
  <c r="K62" i="84"/>
  <c r="J62" i="84"/>
  <c r="I62" i="84"/>
  <c r="H62" i="84"/>
  <c r="G62" i="84"/>
  <c r="F62" i="84"/>
  <c r="D62" i="84"/>
  <c r="C62" i="84"/>
  <c r="P61" i="84"/>
  <c r="O61" i="84"/>
  <c r="N61" i="84"/>
  <c r="M61" i="84"/>
  <c r="L61" i="84"/>
  <c r="K61" i="84"/>
  <c r="J61" i="84"/>
  <c r="I61" i="84"/>
  <c r="H61" i="84"/>
  <c r="G61" i="84"/>
  <c r="F61" i="84"/>
  <c r="E61" i="84"/>
  <c r="D61" i="84"/>
  <c r="C61" i="84"/>
  <c r="P60" i="84"/>
  <c r="O60" i="84"/>
  <c r="N60" i="84"/>
  <c r="M60" i="84"/>
  <c r="L60" i="84"/>
  <c r="K60" i="84"/>
  <c r="J60" i="84"/>
  <c r="I60" i="84"/>
  <c r="H60" i="84"/>
  <c r="G60" i="84"/>
  <c r="F60" i="84"/>
  <c r="E60" i="84"/>
  <c r="D60" i="84"/>
  <c r="P59" i="84"/>
  <c r="O59" i="84"/>
  <c r="N59" i="84"/>
  <c r="M59" i="84"/>
  <c r="L59" i="84"/>
  <c r="K59" i="84"/>
  <c r="J59" i="84"/>
  <c r="I59" i="84"/>
  <c r="H59" i="84"/>
  <c r="G59" i="84"/>
  <c r="F59" i="84"/>
  <c r="E59" i="84"/>
  <c r="D59" i="84"/>
  <c r="U15" i="73" l="1"/>
  <c r="U14" i="73"/>
  <c r="U13" i="73"/>
  <c r="U11" i="73"/>
  <c r="G3" i="7" l="1"/>
  <c r="H3" i="7"/>
  <c r="C4" i="1"/>
  <c r="L2" i="13"/>
  <c r="M2" i="13"/>
  <c r="N2" i="13"/>
  <c r="O2" i="13"/>
  <c r="P2" i="13"/>
  <c r="Q2" i="13"/>
  <c r="R2" i="13"/>
  <c r="K2" i="13"/>
  <c r="I3" i="13"/>
  <c r="B3" i="7" s="1"/>
  <c r="I4" i="13"/>
  <c r="I5" i="13"/>
  <c r="I6" i="13"/>
  <c r="I7" i="13"/>
  <c r="I8" i="13"/>
  <c r="I9" i="13"/>
  <c r="I10" i="13"/>
  <c r="I11" i="13"/>
  <c r="I12" i="13"/>
  <c r="I13" i="13"/>
  <c r="I14" i="13"/>
  <c r="I15" i="13"/>
  <c r="I16" i="13"/>
  <c r="B16" i="7" s="1"/>
  <c r="I17" i="13"/>
  <c r="I18" i="13"/>
  <c r="I19" i="13"/>
  <c r="I20" i="13"/>
  <c r="I21" i="13"/>
  <c r="I22" i="13"/>
  <c r="B22" i="7" s="1"/>
  <c r="D4" i="1" l="1"/>
  <c r="F4" i="1"/>
  <c r="E4" i="1"/>
  <c r="G4" i="1"/>
  <c r="Z21" i="25"/>
  <c r="AB21" i="25" s="1"/>
  <c r="AA21" i="25"/>
  <c r="AC21" i="25" s="1"/>
  <c r="G22" i="63" l="1"/>
  <c r="H22" i="63"/>
  <c r="C22" i="63"/>
  <c r="I4" i="7" l="1"/>
  <c r="G22" i="7"/>
  <c r="I22" i="7"/>
  <c r="T22" i="7"/>
  <c r="U22" i="7" s="1"/>
  <c r="V22" i="7"/>
  <c r="W22" i="7"/>
  <c r="K22" i="13"/>
  <c r="L22" i="13"/>
  <c r="M22" i="13"/>
  <c r="N22" i="13"/>
  <c r="O22" i="13"/>
  <c r="P22" i="13"/>
  <c r="H22" i="13"/>
  <c r="F22" i="7" l="1"/>
  <c r="L23" i="7"/>
  <c r="J22" i="7"/>
  <c r="C21" i="63"/>
  <c r="G21" i="63"/>
  <c r="H21" i="63"/>
  <c r="O21" i="13" l="1"/>
  <c r="P21" i="64" l="1"/>
  <c r="Q21" i="64"/>
  <c r="R21" i="64"/>
  <c r="S21" i="64"/>
  <c r="Y19" i="55"/>
  <c r="Y20" i="55"/>
  <c r="P20" i="55"/>
  <c r="Q20" i="55"/>
  <c r="R20" i="55"/>
  <c r="S20" i="55"/>
  <c r="T20" i="55"/>
  <c r="Z20" i="25"/>
  <c r="AB20" i="25" s="1"/>
  <c r="AA20" i="25"/>
  <c r="AC20" i="25" s="1"/>
  <c r="W20" i="55" l="1"/>
  <c r="V20" i="55"/>
  <c r="X20" i="55" l="1"/>
  <c r="K21" i="7"/>
  <c r="G21" i="7"/>
  <c r="H21" i="7"/>
  <c r="I21" i="7"/>
  <c r="V21" i="7"/>
  <c r="W21" i="7"/>
  <c r="T21" i="7"/>
  <c r="U21" i="7" s="1"/>
  <c r="U21" i="53"/>
  <c r="V21" i="53"/>
  <c r="W21" i="53"/>
  <c r="X21" i="53"/>
  <c r="AA21" i="53"/>
  <c r="S8" i="73"/>
  <c r="S12" i="73" s="1"/>
  <c r="L53" i="3"/>
  <c r="Z22" i="8"/>
  <c r="AA22" i="8"/>
  <c r="AB22" i="8"/>
  <c r="AC22" i="8"/>
  <c r="AD22" i="8"/>
  <c r="AE22" i="8"/>
  <c r="AF22" i="8"/>
  <c r="AG22" i="8"/>
  <c r="AH22" i="8"/>
  <c r="AI22" i="8"/>
  <c r="AJ22" i="8"/>
  <c r="S15" i="73" l="1"/>
  <c r="S13" i="73"/>
  <c r="S11" i="73"/>
  <c r="S14" i="73"/>
  <c r="B21" i="7"/>
  <c r="L22" i="7" s="1"/>
  <c r="K21" i="13"/>
  <c r="L21" i="13"/>
  <c r="M21" i="13"/>
  <c r="N21" i="13"/>
  <c r="P21" i="13"/>
  <c r="H21" i="13"/>
  <c r="J21" i="7" l="1"/>
  <c r="F21" i="7"/>
  <c r="AJ7" i="8"/>
  <c r="AJ8" i="8"/>
  <c r="AJ9" i="8"/>
  <c r="AJ10" i="8"/>
  <c r="AJ11" i="8"/>
  <c r="AJ12" i="8"/>
  <c r="AJ13" i="8"/>
  <c r="AJ14" i="8"/>
  <c r="AJ15" i="8"/>
  <c r="AJ16" i="8"/>
  <c r="AJ17" i="8"/>
  <c r="AJ18" i="8"/>
  <c r="AJ19" i="8"/>
  <c r="AJ20" i="8"/>
  <c r="AJ21" i="8"/>
  <c r="AJ5" i="8"/>
  <c r="AJ6" i="8"/>
  <c r="AJ4" i="8"/>
  <c r="G20" i="63" l="1"/>
  <c r="H20" i="63"/>
  <c r="C6" i="63"/>
  <c r="C7" i="63"/>
  <c r="C8" i="63"/>
  <c r="C9" i="63"/>
  <c r="C10" i="63"/>
  <c r="C11" i="63"/>
  <c r="C12" i="63"/>
  <c r="C13" i="63"/>
  <c r="C14" i="63"/>
  <c r="C15" i="63"/>
  <c r="C16" i="63"/>
  <c r="C17" i="63"/>
  <c r="C18" i="63"/>
  <c r="C19" i="63"/>
  <c r="C20" i="63"/>
  <c r="H19" i="63" l="1"/>
  <c r="G19" i="63"/>
  <c r="P20" i="64" l="1"/>
  <c r="Q20" i="64"/>
  <c r="R20" i="64"/>
  <c r="S20" i="64"/>
  <c r="Z19" i="25" l="1"/>
  <c r="AB19" i="25" s="1"/>
  <c r="AA19" i="25"/>
  <c r="AC19" i="25" s="1"/>
  <c r="Y18" i="55"/>
  <c r="P19" i="55"/>
  <c r="Q19" i="55"/>
  <c r="R19" i="55"/>
  <c r="S19" i="55"/>
  <c r="T19" i="55"/>
  <c r="P18" i="55"/>
  <c r="Q18" i="55"/>
  <c r="R18" i="55"/>
  <c r="S18" i="55"/>
  <c r="T18" i="55"/>
  <c r="V19" i="55" l="1"/>
  <c r="W19" i="55"/>
  <c r="V18" i="55"/>
  <c r="W18" i="55"/>
  <c r="G20" i="7"/>
  <c r="H20" i="7"/>
  <c r="I20" i="7"/>
  <c r="K20" i="7"/>
  <c r="V20" i="7"/>
  <c r="W20" i="7"/>
  <c r="T20" i="7"/>
  <c r="X18" i="55" l="1"/>
  <c r="X19" i="55"/>
  <c r="U20" i="7"/>
  <c r="U20" i="53" l="1"/>
  <c r="V20" i="53"/>
  <c r="W20" i="53"/>
  <c r="X20" i="53"/>
  <c r="AA20" i="53"/>
  <c r="R8" i="73"/>
  <c r="L52" i="3"/>
  <c r="Z21" i="8"/>
  <c r="AA21" i="8"/>
  <c r="AB21" i="8"/>
  <c r="AC21" i="8"/>
  <c r="AD21" i="8"/>
  <c r="AE21" i="8"/>
  <c r="AF21" i="8"/>
  <c r="AG21" i="8"/>
  <c r="AH21" i="8"/>
  <c r="AI21" i="8"/>
  <c r="R11" i="73" l="1"/>
  <c r="R13" i="73"/>
  <c r="R15" i="73"/>
  <c r="R12" i="73"/>
  <c r="R14" i="73"/>
  <c r="B20" i="7" l="1"/>
  <c r="L21" i="7" s="1"/>
  <c r="K20" i="13"/>
  <c r="L20" i="13"/>
  <c r="M20" i="13"/>
  <c r="N20" i="13"/>
  <c r="O20" i="13"/>
  <c r="P20" i="13"/>
  <c r="H20" i="13"/>
  <c r="F20" i="7" l="1"/>
  <c r="J20" i="7"/>
  <c r="T19" i="7"/>
  <c r="T18" i="7"/>
  <c r="T17" i="7"/>
  <c r="T16" i="7"/>
  <c r="T15" i="7"/>
  <c r="T14" i="7"/>
  <c r="T13" i="7"/>
  <c r="T12" i="7"/>
  <c r="T11" i="7"/>
  <c r="T10" i="7"/>
  <c r="T9" i="7"/>
  <c r="T8" i="7"/>
  <c r="T7" i="7"/>
  <c r="T6" i="7"/>
  <c r="T5" i="7"/>
  <c r="T4" i="7"/>
  <c r="G18" i="63"/>
  <c r="C5" i="63"/>
  <c r="H18" i="63"/>
  <c r="AA18" i="25" l="1"/>
  <c r="AC18" i="25" s="1"/>
  <c r="Z18" i="25"/>
  <c r="AB18" i="25" s="1"/>
  <c r="AA19" i="53"/>
  <c r="X19" i="53"/>
  <c r="W19" i="53"/>
  <c r="V19" i="53"/>
  <c r="U19" i="53"/>
  <c r="S19" i="64"/>
  <c r="R19" i="64"/>
  <c r="Q19" i="64"/>
  <c r="P19" i="64"/>
  <c r="T8" i="73"/>
  <c r="L51" i="3"/>
  <c r="AI20" i="8"/>
  <c r="AH20" i="8"/>
  <c r="AG20" i="8"/>
  <c r="AF20" i="8"/>
  <c r="AE20" i="8"/>
  <c r="AD20" i="8"/>
  <c r="AC20" i="8"/>
  <c r="AB20" i="8"/>
  <c r="AA20" i="8"/>
  <c r="Z20" i="8"/>
  <c r="U19" i="7"/>
  <c r="W19" i="7"/>
  <c r="V19" i="7"/>
  <c r="K19" i="7"/>
  <c r="I19" i="7"/>
  <c r="H19" i="7"/>
  <c r="G19" i="7"/>
  <c r="P19" i="13"/>
  <c r="O19" i="13"/>
  <c r="N19" i="13"/>
  <c r="M19" i="13"/>
  <c r="L19" i="13"/>
  <c r="K19" i="13"/>
  <c r="H19" i="13"/>
  <c r="T12" i="73" l="1"/>
  <c r="T14" i="73"/>
  <c r="T11" i="73"/>
  <c r="T13" i="73"/>
  <c r="T15" i="73"/>
  <c r="B19" i="7"/>
  <c r="L20" i="7" s="1"/>
  <c r="J19" i="7" l="1"/>
  <c r="F19" i="7"/>
  <c r="D3" i="58"/>
  <c r="D4" i="58"/>
  <c r="D5" i="58"/>
  <c r="D6" i="58"/>
  <c r="D7" i="58"/>
  <c r="D8" i="58"/>
  <c r="D10" i="58"/>
  <c r="D11" i="58"/>
  <c r="D12" i="58"/>
  <c r="D13" i="58"/>
  <c r="D14" i="58"/>
  <c r="K18" i="7" l="1"/>
  <c r="K17" i="7"/>
  <c r="K16" i="7"/>
  <c r="K15" i="7"/>
  <c r="K14" i="7"/>
  <c r="K13" i="7"/>
  <c r="K12" i="7"/>
  <c r="K11" i="7"/>
  <c r="K10" i="7"/>
  <c r="K9" i="7"/>
  <c r="K8" i="7"/>
  <c r="K7" i="7"/>
  <c r="K6" i="7"/>
  <c r="P18" i="13" l="1"/>
  <c r="O18" i="13"/>
  <c r="N18" i="13"/>
  <c r="M18" i="13"/>
  <c r="L18" i="13"/>
  <c r="K18" i="13"/>
  <c r="P17" i="13"/>
  <c r="O17" i="13"/>
  <c r="N17" i="13"/>
  <c r="M17" i="13"/>
  <c r="L17" i="13"/>
  <c r="K17" i="13"/>
  <c r="P16" i="13"/>
  <c r="O16" i="13"/>
  <c r="N16" i="13"/>
  <c r="M16" i="13"/>
  <c r="L16" i="13"/>
  <c r="K16" i="13"/>
  <c r="P15" i="13"/>
  <c r="O15" i="13"/>
  <c r="N15" i="13"/>
  <c r="M15" i="13"/>
  <c r="L15" i="13"/>
  <c r="K15" i="13"/>
  <c r="P14" i="13"/>
  <c r="O14" i="13"/>
  <c r="N14" i="13"/>
  <c r="M14" i="13"/>
  <c r="L14" i="13"/>
  <c r="K14" i="13"/>
  <c r="P13" i="13"/>
  <c r="O13" i="13"/>
  <c r="N13" i="13"/>
  <c r="M13" i="13"/>
  <c r="L13" i="13"/>
  <c r="K13" i="13"/>
  <c r="P12" i="13"/>
  <c r="O12" i="13"/>
  <c r="N12" i="13"/>
  <c r="M12" i="13"/>
  <c r="L12" i="13"/>
  <c r="K12" i="13"/>
  <c r="P11" i="13"/>
  <c r="O11" i="13"/>
  <c r="N11" i="13"/>
  <c r="M11" i="13"/>
  <c r="L11" i="13"/>
  <c r="K11" i="13"/>
  <c r="P10" i="13"/>
  <c r="O10" i="13"/>
  <c r="N10" i="13"/>
  <c r="M10" i="13"/>
  <c r="L10" i="13"/>
  <c r="K10" i="13"/>
  <c r="P9" i="13"/>
  <c r="O9" i="13"/>
  <c r="N9" i="13"/>
  <c r="M9" i="13"/>
  <c r="L9" i="13"/>
  <c r="K9" i="13"/>
  <c r="P8" i="13"/>
  <c r="O8" i="13"/>
  <c r="N8" i="13"/>
  <c r="M8" i="13"/>
  <c r="L8" i="13"/>
  <c r="K8" i="13"/>
  <c r="P7" i="13"/>
  <c r="O7" i="13"/>
  <c r="N7" i="13"/>
  <c r="M7" i="13"/>
  <c r="L7" i="13"/>
  <c r="K7" i="13"/>
  <c r="P6" i="13"/>
  <c r="O6" i="13"/>
  <c r="N6" i="13"/>
  <c r="M6" i="13"/>
  <c r="L6" i="13"/>
  <c r="K6" i="13"/>
  <c r="P5" i="13"/>
  <c r="O5" i="13"/>
  <c r="N5" i="13"/>
  <c r="M5" i="13"/>
  <c r="L5" i="13"/>
  <c r="K5" i="13"/>
  <c r="P4" i="13"/>
  <c r="O4" i="13"/>
  <c r="N4" i="13"/>
  <c r="M4" i="13"/>
  <c r="L4" i="13"/>
  <c r="K4" i="13"/>
  <c r="AA17" i="25" l="1"/>
  <c r="AC17" i="25" s="1"/>
  <c r="Z17" i="25"/>
  <c r="AB17" i="25" s="1"/>
  <c r="Y17" i="55"/>
  <c r="T17" i="55"/>
  <c r="S17" i="55"/>
  <c r="R17" i="55"/>
  <c r="Q17" i="55"/>
  <c r="P17" i="55"/>
  <c r="U32" i="11"/>
  <c r="T32" i="11"/>
  <c r="S32" i="11"/>
  <c r="R32" i="11"/>
  <c r="Q32" i="11"/>
  <c r="P32" i="11"/>
  <c r="O32" i="11"/>
  <c r="N32" i="11"/>
  <c r="M32" i="11"/>
  <c r="L32" i="11"/>
  <c r="K32" i="11"/>
  <c r="F32" i="11"/>
  <c r="E32" i="11"/>
  <c r="D32" i="11"/>
  <c r="C32" i="11"/>
  <c r="W18" i="7"/>
  <c r="V18" i="7"/>
  <c r="U18" i="7"/>
  <c r="H18" i="7"/>
  <c r="G18" i="7"/>
  <c r="I18" i="7"/>
  <c r="S18" i="64"/>
  <c r="R18" i="64"/>
  <c r="Q18" i="64"/>
  <c r="P18" i="64"/>
  <c r="W17" i="55" l="1"/>
  <c r="V17" i="55"/>
  <c r="X17" i="55" l="1"/>
  <c r="AA18" i="53"/>
  <c r="X18" i="53"/>
  <c r="W18" i="53"/>
  <c r="V18" i="53"/>
  <c r="U18" i="53"/>
  <c r="Q8" i="73"/>
  <c r="L50" i="3"/>
  <c r="AI19" i="8"/>
  <c r="AH19" i="8"/>
  <c r="AG19" i="8"/>
  <c r="AF19" i="8"/>
  <c r="AE19" i="8"/>
  <c r="AD19" i="8"/>
  <c r="AC19" i="8"/>
  <c r="AB19" i="8"/>
  <c r="AA19" i="8"/>
  <c r="Z19" i="8"/>
  <c r="H18" i="13"/>
  <c r="Q11" i="73" l="1"/>
  <c r="Q13" i="73"/>
  <c r="Q15" i="73"/>
  <c r="Q12" i="73"/>
  <c r="Q14" i="73"/>
  <c r="B18" i="7"/>
  <c r="L19" i="7" s="1"/>
  <c r="F18" i="7" l="1"/>
  <c r="J18" i="7"/>
  <c r="G17" i="63"/>
  <c r="Y16" i="55" l="1"/>
  <c r="Y15" i="55"/>
  <c r="Y14" i="55"/>
  <c r="Y13" i="55"/>
  <c r="Y12" i="55"/>
  <c r="Y11" i="55"/>
  <c r="Y10" i="55"/>
  <c r="Y9" i="55"/>
  <c r="Y8" i="55"/>
  <c r="Y7" i="55"/>
  <c r="Y6" i="55"/>
  <c r="Y5" i="55"/>
  <c r="Y4" i="55"/>
  <c r="Y3" i="55"/>
  <c r="H17" i="63" l="1"/>
  <c r="G16" i="63"/>
  <c r="G15" i="63"/>
  <c r="G14" i="63"/>
  <c r="G13" i="63"/>
  <c r="G12" i="63"/>
  <c r="G11" i="63"/>
  <c r="G10" i="63"/>
  <c r="G9" i="63"/>
  <c r="G8" i="63"/>
  <c r="G7" i="63"/>
  <c r="G6" i="63"/>
  <c r="G5" i="63"/>
  <c r="G4" i="63"/>
  <c r="S17" i="64" l="1"/>
  <c r="R17" i="64"/>
  <c r="Q17" i="64"/>
  <c r="P17" i="64"/>
  <c r="AA17" i="53"/>
  <c r="X17" i="53"/>
  <c r="W17" i="53"/>
  <c r="V17" i="53"/>
  <c r="U17" i="53"/>
  <c r="AA16" i="25"/>
  <c r="AC16" i="25" s="1"/>
  <c r="Z16" i="25"/>
  <c r="AB16" i="25" s="1"/>
  <c r="T16" i="55"/>
  <c r="S16" i="55"/>
  <c r="R16" i="55"/>
  <c r="Q16" i="55"/>
  <c r="P16" i="55"/>
  <c r="P8" i="73"/>
  <c r="L49" i="3"/>
  <c r="P12" i="73" l="1"/>
  <c r="P14" i="73"/>
  <c r="P11" i="73"/>
  <c r="P13" i="73"/>
  <c r="P15" i="73"/>
  <c r="W16" i="55"/>
  <c r="V16" i="55"/>
  <c r="W17" i="7"/>
  <c r="V17" i="7"/>
  <c r="I17" i="7"/>
  <c r="AI18" i="8"/>
  <c r="AH18" i="8"/>
  <c r="AG18" i="8"/>
  <c r="AF18" i="8"/>
  <c r="AE18" i="8"/>
  <c r="AD18" i="8"/>
  <c r="AC18" i="8"/>
  <c r="AB18" i="8"/>
  <c r="AA18" i="8"/>
  <c r="Z18" i="8"/>
  <c r="H17" i="7"/>
  <c r="G17" i="7"/>
  <c r="X16" i="55" l="1"/>
  <c r="U17" i="7"/>
  <c r="H17" i="13"/>
  <c r="B17" i="7" l="1"/>
  <c r="L18" i="7" s="1"/>
  <c r="W16" i="7"/>
  <c r="W15" i="7"/>
  <c r="W14" i="7"/>
  <c r="W13" i="7"/>
  <c r="W12" i="7"/>
  <c r="W11" i="7"/>
  <c r="W10" i="7"/>
  <c r="W9" i="7"/>
  <c r="W8" i="7"/>
  <c r="W7" i="7"/>
  <c r="W6" i="7"/>
  <c r="W5" i="7"/>
  <c r="W4" i="7"/>
  <c r="V16" i="7"/>
  <c r="V15" i="7"/>
  <c r="V14" i="7"/>
  <c r="V13" i="7"/>
  <c r="V12" i="7"/>
  <c r="V11" i="7"/>
  <c r="V10" i="7"/>
  <c r="V9" i="7"/>
  <c r="V8" i="7"/>
  <c r="V7" i="7"/>
  <c r="V6" i="7"/>
  <c r="V5" i="7"/>
  <c r="V4" i="7"/>
  <c r="F17" i="7" l="1"/>
  <c r="J17" i="7"/>
  <c r="H16" i="63" l="1"/>
  <c r="H15" i="63"/>
  <c r="H14" i="63"/>
  <c r="H13" i="63"/>
  <c r="H12" i="63"/>
  <c r="H11" i="63"/>
  <c r="H10" i="63"/>
  <c r="H9" i="63"/>
  <c r="H8" i="63"/>
  <c r="H7" i="63"/>
  <c r="H6" i="63"/>
  <c r="H5" i="63"/>
  <c r="H4" i="63"/>
  <c r="AA15" i="25" l="1"/>
  <c r="AC15" i="25" s="1"/>
  <c r="Z15" i="25"/>
  <c r="AB15" i="25" s="1"/>
  <c r="T15" i="55"/>
  <c r="S15" i="55"/>
  <c r="R15" i="55"/>
  <c r="P15" i="55"/>
  <c r="I16" i="7"/>
  <c r="H16" i="7"/>
  <c r="G16" i="7"/>
  <c r="AA16" i="53"/>
  <c r="X16" i="53"/>
  <c r="W16" i="53"/>
  <c r="V16" i="53"/>
  <c r="U16" i="53"/>
  <c r="AA15" i="53"/>
  <c r="W15" i="53"/>
  <c r="V15" i="53"/>
  <c r="U15" i="53"/>
  <c r="AA14" i="53"/>
  <c r="X14" i="53"/>
  <c r="W14" i="53"/>
  <c r="V14" i="53"/>
  <c r="U14" i="53"/>
  <c r="AA13" i="53"/>
  <c r="X13" i="53"/>
  <c r="W13" i="53"/>
  <c r="V13" i="53"/>
  <c r="U13" i="53"/>
  <c r="AA12" i="53"/>
  <c r="X12" i="53"/>
  <c r="W12" i="53"/>
  <c r="V12" i="53"/>
  <c r="U12" i="53"/>
  <c r="AA11" i="53"/>
  <c r="X11" i="53"/>
  <c r="W11" i="53"/>
  <c r="V11" i="53"/>
  <c r="U11" i="53"/>
  <c r="AA10" i="53"/>
  <c r="X10" i="53"/>
  <c r="W10" i="53"/>
  <c r="V10" i="53"/>
  <c r="U10" i="53"/>
  <c r="AA9" i="53"/>
  <c r="X9" i="53"/>
  <c r="W9" i="53"/>
  <c r="V9" i="53"/>
  <c r="U9" i="53"/>
  <c r="AA8" i="53"/>
  <c r="X8" i="53"/>
  <c r="W8" i="53"/>
  <c r="V8" i="53"/>
  <c r="U8" i="53"/>
  <c r="AA7" i="53"/>
  <c r="X7" i="53"/>
  <c r="W7" i="53"/>
  <c r="V7" i="53"/>
  <c r="U7" i="53"/>
  <c r="AA6" i="53"/>
  <c r="X6" i="53"/>
  <c r="W6" i="53"/>
  <c r="V6" i="53"/>
  <c r="U6" i="53"/>
  <c r="AA5" i="53"/>
  <c r="X5" i="53"/>
  <c r="W5" i="53"/>
  <c r="V5" i="53"/>
  <c r="U5" i="53"/>
  <c r="AA4" i="53"/>
  <c r="X4" i="53"/>
  <c r="W4" i="53"/>
  <c r="V4" i="53"/>
  <c r="U4" i="53"/>
  <c r="AA3" i="53"/>
  <c r="X3" i="53"/>
  <c r="W3" i="53"/>
  <c r="V3" i="53"/>
  <c r="U3" i="53"/>
  <c r="AA14" i="25"/>
  <c r="AC14" i="25" s="1"/>
  <c r="Z14" i="25"/>
  <c r="AB14" i="25" s="1"/>
  <c r="AA13" i="25"/>
  <c r="AC13" i="25" s="1"/>
  <c r="Z13" i="25"/>
  <c r="AB13" i="25" s="1"/>
  <c r="AA12" i="25"/>
  <c r="AC12" i="25" s="1"/>
  <c r="Z12" i="25"/>
  <c r="AB12" i="25" s="1"/>
  <c r="AA11" i="25"/>
  <c r="AC11" i="25" s="1"/>
  <c r="Z11" i="25"/>
  <c r="AB11" i="25" s="1"/>
  <c r="AA10" i="25"/>
  <c r="AC10" i="25" s="1"/>
  <c r="Z10" i="25"/>
  <c r="AB10" i="25" s="1"/>
  <c r="AA9" i="25"/>
  <c r="AC9" i="25" s="1"/>
  <c r="Z9" i="25"/>
  <c r="AB9" i="25" s="1"/>
  <c r="AA8" i="25"/>
  <c r="AC8" i="25" s="1"/>
  <c r="Z8" i="25"/>
  <c r="AB8" i="25" s="1"/>
  <c r="AA7" i="25"/>
  <c r="AC7" i="25" s="1"/>
  <c r="Z7" i="25"/>
  <c r="AB7" i="25" s="1"/>
  <c r="AA6" i="25"/>
  <c r="AC6" i="25" s="1"/>
  <c r="Z6" i="25"/>
  <c r="AB6" i="25" s="1"/>
  <c r="AA5" i="25"/>
  <c r="AC5" i="25" s="1"/>
  <c r="Z5" i="25"/>
  <c r="AB5" i="25" s="1"/>
  <c r="AA4" i="25"/>
  <c r="AC4" i="25" s="1"/>
  <c r="Z4" i="25"/>
  <c r="AB4" i="25" s="1"/>
  <c r="AA3" i="25"/>
  <c r="AC3" i="25" s="1"/>
  <c r="Z3" i="25"/>
  <c r="AB3" i="25" s="1"/>
  <c r="W15" i="55" l="1"/>
  <c r="V15" i="55"/>
  <c r="S16" i="64"/>
  <c r="R16" i="64"/>
  <c r="Q16" i="64"/>
  <c r="P16" i="64"/>
  <c r="S15" i="64"/>
  <c r="R15" i="64"/>
  <c r="Q15" i="64"/>
  <c r="P15" i="64"/>
  <c r="S14" i="64"/>
  <c r="R14" i="64"/>
  <c r="Q14" i="64"/>
  <c r="P14" i="64"/>
  <c r="S13" i="64"/>
  <c r="R13" i="64"/>
  <c r="Q13" i="64"/>
  <c r="P13" i="64"/>
  <c r="S12" i="64"/>
  <c r="R12" i="64"/>
  <c r="Q12" i="64"/>
  <c r="P12" i="64"/>
  <c r="S11" i="64"/>
  <c r="R11" i="64"/>
  <c r="P11" i="64"/>
  <c r="S10" i="64"/>
  <c r="R10" i="64"/>
  <c r="Q10" i="64"/>
  <c r="P10" i="64"/>
  <c r="S9" i="64"/>
  <c r="R9" i="64"/>
  <c r="Q9" i="64"/>
  <c r="P9" i="64"/>
  <c r="S8" i="64"/>
  <c r="R8" i="64"/>
  <c r="Q8" i="64"/>
  <c r="P8" i="64"/>
  <c r="S7" i="64"/>
  <c r="R7" i="64"/>
  <c r="Q7" i="64"/>
  <c r="P7" i="64"/>
  <c r="S6" i="64"/>
  <c r="R6" i="64"/>
  <c r="Q6" i="64"/>
  <c r="P6" i="64"/>
  <c r="S5" i="64"/>
  <c r="R5" i="64"/>
  <c r="Q5" i="64"/>
  <c r="P5" i="64"/>
  <c r="S4" i="64"/>
  <c r="R4" i="64"/>
  <c r="Q4" i="64"/>
  <c r="P4" i="64"/>
  <c r="S3" i="64"/>
  <c r="R3" i="64"/>
  <c r="Q3" i="64"/>
  <c r="P3" i="64"/>
  <c r="T14" i="55"/>
  <c r="S14" i="55"/>
  <c r="R14" i="55"/>
  <c r="Q14" i="55"/>
  <c r="P14" i="55"/>
  <c r="T13" i="55"/>
  <c r="S13" i="55"/>
  <c r="R13" i="55"/>
  <c r="Q13" i="55"/>
  <c r="P13" i="55"/>
  <c r="T12" i="55"/>
  <c r="S12" i="55"/>
  <c r="R12" i="55"/>
  <c r="Q12" i="55"/>
  <c r="P12" i="55"/>
  <c r="T11" i="55"/>
  <c r="S11" i="55"/>
  <c r="R11" i="55"/>
  <c r="Q11" i="55"/>
  <c r="P11" i="55"/>
  <c r="T10" i="55"/>
  <c r="S10" i="55"/>
  <c r="R10" i="55"/>
  <c r="Q10" i="55"/>
  <c r="P10" i="55"/>
  <c r="T9" i="55"/>
  <c r="S9" i="55"/>
  <c r="R9" i="55"/>
  <c r="Q9" i="55"/>
  <c r="P9" i="55"/>
  <c r="T8" i="55"/>
  <c r="S8" i="55"/>
  <c r="R8" i="55"/>
  <c r="Q8" i="55"/>
  <c r="P8" i="55"/>
  <c r="T7" i="55"/>
  <c r="S7" i="55"/>
  <c r="R7" i="55"/>
  <c r="Q7" i="55"/>
  <c r="P7" i="55"/>
  <c r="T6" i="55"/>
  <c r="S6" i="55"/>
  <c r="R6" i="55"/>
  <c r="Q6" i="55"/>
  <c r="P6" i="55"/>
  <c r="T5" i="55"/>
  <c r="S5" i="55"/>
  <c r="R5" i="55"/>
  <c r="Q5" i="55"/>
  <c r="P5" i="55"/>
  <c r="T4" i="55"/>
  <c r="S4" i="55"/>
  <c r="R4" i="55"/>
  <c r="Q4" i="55"/>
  <c r="P4" i="55"/>
  <c r="T3" i="55"/>
  <c r="S3" i="55"/>
  <c r="R3" i="55"/>
  <c r="Q3" i="55"/>
  <c r="P3" i="55"/>
  <c r="U31" i="11"/>
  <c r="T31" i="11"/>
  <c r="S31" i="11"/>
  <c r="R31" i="11"/>
  <c r="Q31" i="11"/>
  <c r="P31" i="11"/>
  <c r="O31" i="11"/>
  <c r="N31" i="11"/>
  <c r="M31" i="11"/>
  <c r="L31" i="11"/>
  <c r="K31" i="11"/>
  <c r="F31" i="11"/>
  <c r="E31" i="11"/>
  <c r="D31" i="11"/>
  <c r="C31" i="11"/>
  <c r="B31" i="11"/>
  <c r="T30" i="11"/>
  <c r="S30" i="11"/>
  <c r="R30" i="11"/>
  <c r="Q30" i="11"/>
  <c r="P30" i="11"/>
  <c r="O30" i="11"/>
  <c r="N30" i="11"/>
  <c r="M30" i="11"/>
  <c r="L30" i="11"/>
  <c r="K30" i="11"/>
  <c r="F30" i="11"/>
  <c r="E30" i="11"/>
  <c r="D30" i="11"/>
  <c r="C30" i="11"/>
  <c r="B30" i="11"/>
  <c r="U29" i="11"/>
  <c r="T29" i="11"/>
  <c r="S29" i="11"/>
  <c r="R29" i="11"/>
  <c r="Q29" i="11"/>
  <c r="P29" i="11"/>
  <c r="O29" i="11"/>
  <c r="N29" i="11"/>
  <c r="M29" i="11"/>
  <c r="L29" i="11"/>
  <c r="K29" i="11"/>
  <c r="F29" i="11"/>
  <c r="E29" i="11"/>
  <c r="D29" i="11"/>
  <c r="C29" i="11"/>
  <c r="B29" i="11"/>
  <c r="U28" i="11"/>
  <c r="T28" i="11"/>
  <c r="S28" i="11"/>
  <c r="R28" i="11"/>
  <c r="Q28" i="11"/>
  <c r="P28" i="11"/>
  <c r="O28" i="11"/>
  <c r="N28" i="11"/>
  <c r="M28" i="11"/>
  <c r="L28" i="11"/>
  <c r="K28" i="11"/>
  <c r="F28" i="11"/>
  <c r="E28" i="11"/>
  <c r="D28" i="11"/>
  <c r="C28" i="11"/>
  <c r="B28" i="11"/>
  <c r="H29" i="11" l="1"/>
  <c r="G27" i="11"/>
  <c r="G24" i="11"/>
  <c r="G25" i="11"/>
  <c r="G26" i="11"/>
  <c r="H27" i="11"/>
  <c r="H26" i="11"/>
  <c r="H24" i="11"/>
  <c r="H25" i="11"/>
  <c r="I30" i="11"/>
  <c r="I29" i="11"/>
  <c r="I32" i="11"/>
  <c r="I28" i="11"/>
  <c r="I31" i="11"/>
  <c r="J29" i="11"/>
  <c r="J32" i="11"/>
  <c r="J28" i="11"/>
  <c r="J31" i="11"/>
  <c r="J30" i="11"/>
  <c r="X15" i="55"/>
  <c r="V9" i="55"/>
  <c r="W10" i="55"/>
  <c r="U16" i="7"/>
  <c r="W4" i="55"/>
  <c r="W12" i="55"/>
  <c r="V5" i="55"/>
  <c r="W8" i="55"/>
  <c r="V3" i="55"/>
  <c r="V11" i="55"/>
  <c r="W9" i="55"/>
  <c r="W3" i="55"/>
  <c r="V10" i="55"/>
  <c r="W11" i="55"/>
  <c r="V13" i="55"/>
  <c r="V4" i="55"/>
  <c r="W5" i="55"/>
  <c r="V12" i="55"/>
  <c r="W13" i="55"/>
  <c r="V8" i="55"/>
  <c r="W6" i="55"/>
  <c r="W14" i="55"/>
  <c r="V7" i="55"/>
  <c r="V6" i="55"/>
  <c r="W7" i="55"/>
  <c r="V14" i="55"/>
  <c r="O8" i="73"/>
  <c r="N8" i="73"/>
  <c r="M8" i="73"/>
  <c r="L8" i="73"/>
  <c r="K8" i="73"/>
  <c r="J8" i="73"/>
  <c r="I8" i="73"/>
  <c r="H8" i="73"/>
  <c r="G8" i="73"/>
  <c r="F8" i="73"/>
  <c r="E8" i="73"/>
  <c r="D8" i="73"/>
  <c r="C8" i="73"/>
  <c r="B8" i="73"/>
  <c r="B11" i="73" s="1"/>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AI17" i="8"/>
  <c r="AH17" i="8"/>
  <c r="AG17" i="8"/>
  <c r="AF17" i="8"/>
  <c r="AE17" i="8"/>
  <c r="AD17" i="8"/>
  <c r="AC17" i="8"/>
  <c r="AB17" i="8"/>
  <c r="AA17" i="8"/>
  <c r="Z17" i="8"/>
  <c r="AI16" i="8"/>
  <c r="AH16" i="8"/>
  <c r="AG16" i="8"/>
  <c r="AF16" i="8"/>
  <c r="AE16" i="8"/>
  <c r="AD16" i="8"/>
  <c r="AC16" i="8"/>
  <c r="AB16" i="8"/>
  <c r="AA16" i="8"/>
  <c r="Z16" i="8"/>
  <c r="AI15" i="8"/>
  <c r="AH15" i="8"/>
  <c r="AG15" i="8"/>
  <c r="AF15" i="8"/>
  <c r="AE15" i="8"/>
  <c r="AD15" i="8"/>
  <c r="AC15" i="8"/>
  <c r="AA15" i="8"/>
  <c r="Z15" i="8"/>
  <c r="AI14" i="8"/>
  <c r="AH14" i="8"/>
  <c r="AG14" i="8"/>
  <c r="AF14" i="8"/>
  <c r="AE14" i="8"/>
  <c r="AD14" i="8"/>
  <c r="AC14" i="8"/>
  <c r="AB14" i="8"/>
  <c r="AA14" i="8"/>
  <c r="Z14" i="8"/>
  <c r="AI13" i="8"/>
  <c r="AH13" i="8"/>
  <c r="AG13" i="8"/>
  <c r="AF13" i="8"/>
  <c r="AE13" i="8"/>
  <c r="AD13" i="8"/>
  <c r="AC13" i="8"/>
  <c r="AB13" i="8"/>
  <c r="AA13" i="8"/>
  <c r="Z13" i="8"/>
  <c r="AI12" i="8"/>
  <c r="AH12" i="8"/>
  <c r="AG12" i="8"/>
  <c r="AF12" i="8"/>
  <c r="AE12" i="8"/>
  <c r="AD12" i="8"/>
  <c r="AC12" i="8"/>
  <c r="AB12" i="8"/>
  <c r="AA12" i="8"/>
  <c r="Z12" i="8"/>
  <c r="AI11" i="8"/>
  <c r="AH11" i="8"/>
  <c r="AG11" i="8"/>
  <c r="AF11" i="8"/>
  <c r="AE11" i="8"/>
  <c r="AD11" i="8"/>
  <c r="AC11" i="8"/>
  <c r="AB11" i="8"/>
  <c r="AA11" i="8"/>
  <c r="Z11" i="8"/>
  <c r="AI10" i="8"/>
  <c r="AH10" i="8"/>
  <c r="AG10" i="8"/>
  <c r="AF10" i="8"/>
  <c r="AE10" i="8"/>
  <c r="AD10" i="8"/>
  <c r="AC10" i="8"/>
  <c r="AB10" i="8"/>
  <c r="AA10" i="8"/>
  <c r="Z10" i="8"/>
  <c r="AI9" i="8"/>
  <c r="AH9" i="8"/>
  <c r="AG9" i="8"/>
  <c r="AF9" i="8"/>
  <c r="AE9" i="8"/>
  <c r="AD9" i="8"/>
  <c r="AC9" i="8"/>
  <c r="AB9" i="8"/>
  <c r="AA9" i="8"/>
  <c r="Z9" i="8"/>
  <c r="AI8" i="8"/>
  <c r="AH8" i="8"/>
  <c r="AG8" i="8"/>
  <c r="AF8" i="8"/>
  <c r="AE8" i="8"/>
  <c r="AD8" i="8"/>
  <c r="AC8" i="8"/>
  <c r="AB8" i="8"/>
  <c r="AA8" i="8"/>
  <c r="Z8" i="8"/>
  <c r="AI7" i="8"/>
  <c r="AH7" i="8"/>
  <c r="AG7" i="8"/>
  <c r="AF7" i="8"/>
  <c r="AE7" i="8"/>
  <c r="AD7" i="8"/>
  <c r="AC7" i="8"/>
  <c r="AB7" i="8"/>
  <c r="AA7" i="8"/>
  <c r="Z7" i="8"/>
  <c r="AI6" i="8"/>
  <c r="AH6" i="8"/>
  <c r="AG6" i="8"/>
  <c r="AF6" i="8"/>
  <c r="AE6" i="8"/>
  <c r="AD6" i="8"/>
  <c r="AC6" i="8"/>
  <c r="AB6" i="8"/>
  <c r="AA6" i="8"/>
  <c r="Z6" i="8"/>
  <c r="AI5" i="8"/>
  <c r="AH5" i="8"/>
  <c r="AG5" i="8"/>
  <c r="AF5" i="8"/>
  <c r="AE5" i="8"/>
  <c r="AD5" i="8"/>
  <c r="AC5" i="8"/>
  <c r="AB5" i="8"/>
  <c r="AA5" i="8"/>
  <c r="Z5" i="8"/>
  <c r="AI4" i="8"/>
  <c r="AH4" i="8"/>
  <c r="AG4" i="8"/>
  <c r="AF4" i="8"/>
  <c r="AE4" i="8"/>
  <c r="AD4" i="8"/>
  <c r="AC4" i="8"/>
  <c r="AB4" i="8"/>
  <c r="AA4" i="8"/>
  <c r="Z4" i="8"/>
  <c r="M11" i="73" l="1"/>
  <c r="M13" i="73"/>
  <c r="M15" i="73"/>
  <c r="M12" i="73"/>
  <c r="M14" i="73"/>
  <c r="J11" i="73"/>
  <c r="J13" i="73"/>
  <c r="J15" i="73"/>
  <c r="J12" i="73"/>
  <c r="J14" i="73"/>
  <c r="C12" i="73"/>
  <c r="C14" i="73"/>
  <c r="C11" i="73"/>
  <c r="C13" i="73"/>
  <c r="C15" i="73"/>
  <c r="G12" i="73"/>
  <c r="G14" i="73"/>
  <c r="G11" i="73"/>
  <c r="G13" i="73"/>
  <c r="G15" i="73"/>
  <c r="K12" i="73"/>
  <c r="K14" i="73"/>
  <c r="K11" i="73"/>
  <c r="K13" i="73"/>
  <c r="K15" i="73"/>
  <c r="O12" i="73"/>
  <c r="O14" i="73"/>
  <c r="O11" i="73"/>
  <c r="O13" i="73"/>
  <c r="O15" i="73"/>
  <c r="E11" i="73"/>
  <c r="E13" i="73"/>
  <c r="E15" i="73"/>
  <c r="E12" i="73"/>
  <c r="E14" i="73"/>
  <c r="I11" i="73"/>
  <c r="I13" i="73"/>
  <c r="I15" i="73"/>
  <c r="I12" i="73"/>
  <c r="I14" i="73"/>
  <c r="F11" i="73"/>
  <c r="F13" i="73"/>
  <c r="F15" i="73"/>
  <c r="F12" i="73"/>
  <c r="F14" i="73"/>
  <c r="N11" i="73"/>
  <c r="N13" i="73"/>
  <c r="N15" i="73"/>
  <c r="N12" i="73"/>
  <c r="N14" i="73"/>
  <c r="D12" i="73"/>
  <c r="D14" i="73"/>
  <c r="D11" i="73"/>
  <c r="D13" i="73"/>
  <c r="D15" i="73"/>
  <c r="H12" i="73"/>
  <c r="H14" i="73"/>
  <c r="H11" i="73"/>
  <c r="H13" i="73"/>
  <c r="H15" i="73"/>
  <c r="L12" i="73"/>
  <c r="L14" i="73"/>
  <c r="L11" i="73"/>
  <c r="L13" i="73"/>
  <c r="L15" i="73"/>
  <c r="G29" i="11"/>
  <c r="G30" i="11"/>
  <c r="G28" i="11"/>
  <c r="G31" i="11"/>
  <c r="G32" i="11"/>
  <c r="H30" i="11"/>
  <c r="H31" i="11"/>
  <c r="H32" i="11"/>
  <c r="H28" i="11"/>
  <c r="X5" i="55"/>
  <c r="X9" i="55"/>
  <c r="X10" i="55"/>
  <c r="X4" i="55"/>
  <c r="X11" i="55"/>
  <c r="X3" i="55"/>
  <c r="X12" i="55"/>
  <c r="X8" i="55"/>
  <c r="X13" i="55"/>
  <c r="B12" i="73"/>
  <c r="B14" i="73"/>
  <c r="B15" i="73"/>
  <c r="B13" i="73"/>
  <c r="X14" i="55"/>
  <c r="X6" i="55"/>
  <c r="X7" i="55"/>
  <c r="I15" i="7"/>
  <c r="H15" i="7"/>
  <c r="G15" i="7"/>
  <c r="I14" i="7"/>
  <c r="H14" i="7"/>
  <c r="G14" i="7"/>
  <c r="I13" i="7"/>
  <c r="H13" i="7"/>
  <c r="G13" i="7"/>
  <c r="I12" i="7"/>
  <c r="H12" i="7"/>
  <c r="G12" i="7"/>
  <c r="I11" i="7"/>
  <c r="H11" i="7"/>
  <c r="G11" i="7"/>
  <c r="U12" i="7" l="1"/>
  <c r="U14" i="7"/>
  <c r="U11" i="7"/>
  <c r="U13" i="7"/>
  <c r="U10" i="7"/>
  <c r="U15" i="7"/>
  <c r="I10" i="7"/>
  <c r="H10" i="7"/>
  <c r="G10" i="7"/>
  <c r="I9" i="7"/>
  <c r="H9" i="7"/>
  <c r="G9" i="7"/>
  <c r="I8" i="7"/>
  <c r="H8" i="7"/>
  <c r="G8" i="7"/>
  <c r="I7" i="7"/>
  <c r="H7" i="7"/>
  <c r="G7" i="7"/>
  <c r="I6" i="7"/>
  <c r="H6" i="7"/>
  <c r="G6" i="7"/>
  <c r="I5" i="7"/>
  <c r="H5" i="7"/>
  <c r="G5" i="7"/>
  <c r="H4" i="7"/>
  <c r="G4" i="7"/>
  <c r="H16" i="13"/>
  <c r="H15" i="13"/>
  <c r="H14" i="13"/>
  <c r="H13" i="13"/>
  <c r="H12" i="13"/>
  <c r="H11" i="13"/>
  <c r="H10" i="13"/>
  <c r="H9" i="13"/>
  <c r="B8" i="7"/>
  <c r="H8" i="13"/>
  <c r="H7" i="13"/>
  <c r="B6" i="7"/>
  <c r="J6" i="7" s="1"/>
  <c r="H6" i="13"/>
  <c r="H5" i="13"/>
  <c r="Q5" i="13" s="1"/>
  <c r="H4" i="13"/>
  <c r="F3" i="7"/>
  <c r="H3" i="13"/>
  <c r="Q26" i="13" l="1"/>
  <c r="R26" i="13"/>
  <c r="R25" i="13"/>
  <c r="Q25" i="13"/>
  <c r="Q8" i="13"/>
  <c r="R24" i="13"/>
  <c r="Q24" i="13"/>
  <c r="R23" i="13"/>
  <c r="Q23" i="13"/>
  <c r="Q11" i="13"/>
  <c r="Q15" i="13"/>
  <c r="Q22" i="13"/>
  <c r="Q21" i="13"/>
  <c r="Q20" i="13"/>
  <c r="Q19" i="13"/>
  <c r="Q18" i="13"/>
  <c r="Q17" i="13"/>
  <c r="Q6" i="13"/>
  <c r="Q12" i="13"/>
  <c r="Q16" i="13"/>
  <c r="Q9" i="13"/>
  <c r="Q13" i="13"/>
  <c r="Q4" i="13"/>
  <c r="Q7" i="13"/>
  <c r="Q10" i="13"/>
  <c r="Q14" i="13"/>
  <c r="R8" i="13"/>
  <c r="R5" i="13"/>
  <c r="R10" i="13"/>
  <c r="R12" i="13"/>
  <c r="R14" i="13"/>
  <c r="R16" i="13"/>
  <c r="R7" i="13"/>
  <c r="R22" i="13"/>
  <c r="R21" i="13"/>
  <c r="R20" i="13"/>
  <c r="R19" i="13"/>
  <c r="R18" i="13"/>
  <c r="R17" i="13"/>
  <c r="R6" i="13"/>
  <c r="R9" i="13"/>
  <c r="R11" i="13"/>
  <c r="R13" i="13"/>
  <c r="R15" i="13"/>
  <c r="U7" i="7"/>
  <c r="U9" i="7"/>
  <c r="U6" i="7"/>
  <c r="U8" i="7"/>
  <c r="U5" i="7"/>
  <c r="R4" i="13"/>
  <c r="B10" i="7"/>
  <c r="F10" i="7" s="1"/>
  <c r="B4" i="7"/>
  <c r="F4" i="7" s="1"/>
  <c r="U4" i="7"/>
  <c r="B12" i="7"/>
  <c r="B14" i="7"/>
  <c r="L17" i="7"/>
  <c r="B7" i="7"/>
  <c r="F7" i="7" s="1"/>
  <c r="B9" i="7"/>
  <c r="B11" i="7"/>
  <c r="B13" i="7"/>
  <c r="B15" i="7"/>
  <c r="B5" i="7"/>
  <c r="F8" i="7"/>
  <c r="F6" i="7"/>
  <c r="J8" i="7"/>
  <c r="J5" i="7" l="1"/>
  <c r="L5" i="7"/>
  <c r="L11" i="7"/>
  <c r="J10" i="7"/>
  <c r="L7" i="7"/>
  <c r="F5" i="7"/>
  <c r="J4" i="7"/>
  <c r="J13" i="7"/>
  <c r="L13" i="7"/>
  <c r="F13" i="7"/>
  <c r="L9" i="7"/>
  <c r="F9" i="7"/>
  <c r="F12" i="7"/>
  <c r="L12" i="7"/>
  <c r="J12" i="7"/>
  <c r="L15" i="7"/>
  <c r="J15" i="7"/>
  <c r="F15" i="7"/>
  <c r="L14" i="7"/>
  <c r="J14" i="7"/>
  <c r="F14" i="7"/>
  <c r="F16" i="7"/>
  <c r="J16" i="7"/>
  <c r="L16" i="7"/>
  <c r="F11" i="7"/>
  <c r="J11" i="7"/>
  <c r="L10" i="7"/>
  <c r="J9" i="7"/>
  <c r="L6" i="7"/>
  <c r="L8" i="7"/>
  <c r="J7" i="7"/>
</calcChain>
</file>

<file path=xl/sharedStrings.xml><?xml version="1.0" encoding="utf-8"?>
<sst xmlns="http://schemas.openxmlformats.org/spreadsheetml/2006/main" count="1563" uniqueCount="682">
  <si>
    <t>The New Zealand 2023 Vehicle Fleet : Data Spreadsheet</t>
  </si>
  <si>
    <t>Analysis produced by Ministry of Transport</t>
  </si>
  <si>
    <t>October/November 2024</t>
  </si>
  <si>
    <t>info@transport.govt.nz</t>
  </si>
  <si>
    <t>Overview</t>
  </si>
  <si>
    <t xml:space="preserve">Vehicles entering and leaving the fleet </t>
  </si>
  <si>
    <t>Tab 1.1  Composition of the NZ Fleet</t>
  </si>
  <si>
    <t>Entering and leaving</t>
  </si>
  <si>
    <t>Tab 1.2  Composition of the NZ fleet relative to Jan 2000</t>
  </si>
  <si>
    <t>Tab 5.1  Entry and exit from the fleet</t>
  </si>
  <si>
    <t>Tab 1.1 extra Fleet Average Age</t>
  </si>
  <si>
    <t>Tab 5.2abcd  Vehicles entering/leaving the fleet by Year of Manufacture</t>
  </si>
  <si>
    <t>Tab 1.3 Total collective distance travelled</t>
  </si>
  <si>
    <t>Tab 1.4  Light fleet travel by year</t>
  </si>
  <si>
    <t>Entering</t>
  </si>
  <si>
    <t>Tab 1.4b  Regional vehicle travel</t>
  </si>
  <si>
    <t>Tab 6.1  Number of New/used imports entering the light fleet by year</t>
  </si>
  <si>
    <t>Tab 1.5  Light fleet ownership per capita by year</t>
  </si>
  <si>
    <t>Tab 6.2b Used light imports : Year of manufacture and fuel</t>
  </si>
  <si>
    <t>Tab 1.5b Regional light fleet ownership per capita</t>
  </si>
  <si>
    <t>Tab 6.2c  Average age of used imports entering the truck and bus fleets by year</t>
  </si>
  <si>
    <t>Tab 1.6  Light fleet travel per capita by year</t>
  </si>
  <si>
    <t>Tab 6.3  Average engine size of vehicles entering the light fleet, by petrol/diesel and year</t>
  </si>
  <si>
    <t>Tab 1.7  Light fleet average vehicle travel by year</t>
  </si>
  <si>
    <t>Tab 6.4a  Numbers of used imports entering the light fleet, by engize size band and year</t>
  </si>
  <si>
    <t>Tab 6.4b  Numbers of New entering the light fleet, by engize size band and year</t>
  </si>
  <si>
    <t>Composition of the Fleet</t>
  </si>
  <si>
    <t>Tab 6.5a  Numbers of motorcycles entering the fleet, by engize size band and year</t>
  </si>
  <si>
    <t xml:space="preserve">Tab 2.1  Number of new/used light vehicles by year </t>
  </si>
  <si>
    <t>Tab 6.5b  Average engine capacity of motorcycles entering the fleet, by year</t>
  </si>
  <si>
    <t>Tab 2.2  Percentage of used imports in the light/truck/bus fleets, by year</t>
  </si>
  <si>
    <t>Tab 6.7a Vehicles entering the fleet: country of manufacture</t>
  </si>
  <si>
    <t>Tab 2.3 Average age of Light, Trucks and Buses by year</t>
  </si>
  <si>
    <t>Tab 6.7b Vehicles entering the fleet: country imported from</t>
  </si>
  <si>
    <t>Tab 2.4 Light fleet average age in detail, by year</t>
  </si>
  <si>
    <t>Tab 2.5a Light fleet year of manufacture</t>
  </si>
  <si>
    <t>Leaving</t>
  </si>
  <si>
    <t>Tab 2.6a Motorcycle year of manufacture</t>
  </si>
  <si>
    <t>Tab 7.1a  Number of light fleet used imports/New scrapped, by year</t>
  </si>
  <si>
    <t>Tab 2.7a Truck year of manufacture</t>
  </si>
  <si>
    <t>Tab 7.1b  Number of heavy fleet used imports/New scrapped, by year</t>
  </si>
  <si>
    <t>Tab 2.8a Bus year of manufacture</t>
  </si>
  <si>
    <t>Tab 7.2a  Average age of light fleet used imports/New when scrapped, by year</t>
  </si>
  <si>
    <t>Tab 2.9  Heavy vehicle mass</t>
  </si>
  <si>
    <t>Tab 7.2b  Average age of heavy fleet used imports/New when scrapped, by year</t>
  </si>
  <si>
    <t>Tab 2.10 Light fleet age distribution</t>
  </si>
  <si>
    <t>Tab 7.3a,b,c Last odometer reading of scrapped vehicles</t>
  </si>
  <si>
    <t>Tab 7.3d,e Last odometer reading of scrapped vehicles</t>
  </si>
  <si>
    <t>Vehicle age and travel</t>
  </si>
  <si>
    <t>Tab 3.1  Total LPV, LCV, Truck and Bus travel by year of manufacture in 5 year blocks</t>
  </si>
  <si>
    <t>Petrol/Diesel vehicles and travel, CNG/LPG/electric/Hybrid</t>
  </si>
  <si>
    <t>Tab 3.2 Light, truck, bus travel by new/used, by year of manufacture in 5 year blocks</t>
  </si>
  <si>
    <t>Tab 8.1 Diesel vehicles in the light, truck and bus fleets</t>
  </si>
  <si>
    <t>Tab 3.4  LPV, LCV, Truck and Bus travel per vehicle by year of manufacture in 5 year blocks</t>
  </si>
  <si>
    <t>Tab 8.2  Petrol and diesel travel</t>
  </si>
  <si>
    <t>Tab 3.5  Average light travel by year of manufacture</t>
  </si>
  <si>
    <t>Tab 8.2a  Percentage of light passenger/commercial vehicles by petrol/diesel</t>
  </si>
  <si>
    <t>Tab 3.6 Light fleet travel by engine size</t>
  </si>
  <si>
    <t>Tab 8.2b  Percentage of light passenger/commercial travel by petrol/diesel</t>
  </si>
  <si>
    <t>Tab 8.3  Light fleet petrol and diesel travel by year of manufacture in 5 year blocks</t>
  </si>
  <si>
    <t>Engine capacity trends</t>
  </si>
  <si>
    <t>Tab 8.4 Light vehicle fleet by fuel type</t>
  </si>
  <si>
    <t xml:space="preserve">Tab 4.1 Light fleet average engine capacity by petrol/diesel by year </t>
  </si>
  <si>
    <t>Tab 8.5 Primary fuel types by vehicle type</t>
  </si>
  <si>
    <t xml:space="preserve">Tab 4.2 Number of light vehicles by engine capacity by year </t>
  </si>
  <si>
    <t>Tab 4.3a  Light passenger average travel by cc band, by year of manufacture</t>
  </si>
  <si>
    <t>Tab 4.3b  Light commercial average travel by cc band, by year of manufacture</t>
  </si>
  <si>
    <t>Emissions of vehicles entering the light fleet</t>
  </si>
  <si>
    <t>Tab 4.4 Motorcycle fleet engine composition by year</t>
  </si>
  <si>
    <t>Tab 9.1 Average quarterly CO2 emissions of light fleet registrations</t>
  </si>
  <si>
    <t>Tab 9.2 Emissions standards of vehicles in the light fleet</t>
  </si>
  <si>
    <t>The average light vehicle in use</t>
  </si>
  <si>
    <t>Tab 10.1  Travel weighted vehicle age by year</t>
  </si>
  <si>
    <t>Tab 10.2  Travel weighted engine size by year</t>
  </si>
  <si>
    <t>Road freight</t>
  </si>
  <si>
    <t>Tab 11.1  Truck and trailer travel</t>
  </si>
  <si>
    <t>Tab 11.2  Truck+trailer tonne-km</t>
  </si>
  <si>
    <t>Fleet Composition</t>
  </si>
  <si>
    <t xml:space="preserve"> Change Relative to 2000</t>
  </si>
  <si>
    <t>Back to Contents</t>
  </si>
  <si>
    <t>Period</t>
  </si>
  <si>
    <t>Light passenger</t>
  </si>
  <si>
    <t>Light commercial</t>
  </si>
  <si>
    <t>MCycle</t>
  </si>
  <si>
    <t>Trucks</t>
  </si>
  <si>
    <t>Bus</t>
  </si>
  <si>
    <t>Other</t>
  </si>
  <si>
    <t>Total</t>
  </si>
  <si>
    <t>Total light</t>
  </si>
  <si>
    <t>-</t>
  </si>
  <si>
    <t>Fleet Average Age</t>
  </si>
  <si>
    <t>Fleet Average Age (By Fuel)</t>
  </si>
  <si>
    <t>Number of vehicles</t>
  </si>
  <si>
    <t xml:space="preserve"> Light Passenger</t>
  </si>
  <si>
    <t>Light Commercial</t>
  </si>
  <si>
    <t>Light New</t>
  </si>
  <si>
    <t>Light Used Imports</t>
  </si>
  <si>
    <t>Total Light Vehicles</t>
  </si>
  <si>
    <t>Heavy Commercial</t>
  </si>
  <si>
    <t xml:space="preserve"> Overall</t>
  </si>
  <si>
    <t xml:space="preserve"> Light new petrol</t>
  </si>
  <si>
    <t xml:space="preserve"> light used petrol</t>
  </si>
  <si>
    <t xml:space="preserve"> Light new diesel</t>
  </si>
  <si>
    <t xml:space="preserve"> Light used diesel</t>
  </si>
  <si>
    <t>New petrol</t>
  </si>
  <si>
    <t>Used petrol</t>
  </si>
  <si>
    <t>New diesel</t>
  </si>
  <si>
    <t>Used diesel</t>
  </si>
  <si>
    <t>Total collective distance travelled</t>
  </si>
  <si>
    <t>Light passenger New</t>
  </si>
  <si>
    <t>Light passenger used import</t>
  </si>
  <si>
    <t>Light commercial New</t>
  </si>
  <si>
    <t>Light commercial used import</t>
  </si>
  <si>
    <t>Truck</t>
  </si>
  <si>
    <t>Distance (million km)</t>
  </si>
  <si>
    <t>Proportion</t>
  </si>
  <si>
    <t>Travel and ownership trends</t>
  </si>
  <si>
    <t>Travel breakdown by vehicle type</t>
  </si>
  <si>
    <t>Light vehicles live at Dec 31st (*)</t>
  </si>
  <si>
    <t>Light travel</t>
  </si>
  <si>
    <t>Other travel</t>
  </si>
  <si>
    <t>Popn (**)</t>
  </si>
  <si>
    <t>Light vehicles per 1000</t>
  </si>
  <si>
    <t>Light passenger vehicles per 1000</t>
  </si>
  <si>
    <t>Light commercial vehicles per 1000</t>
  </si>
  <si>
    <t>Light travel per capita</t>
  </si>
  <si>
    <t>Light travel per vehicle</t>
  </si>
  <si>
    <t>Population growth</t>
  </si>
  <si>
    <t>Light fleet growth</t>
  </si>
  <si>
    <t>Light passenger travel</t>
  </si>
  <si>
    <t>Light commercial travel</t>
  </si>
  <si>
    <t>Heavy truck travel</t>
  </si>
  <si>
    <t>Heavy bus travel</t>
  </si>
  <si>
    <t>Motorcycle / moped travel</t>
  </si>
  <si>
    <t>Total (billion)</t>
  </si>
  <si>
    <t>Travel per capita (km/head)</t>
  </si>
  <si>
    <t>Light passenger travel per capita</t>
  </si>
  <si>
    <t>Light commercial travel per capita</t>
  </si>
  <si>
    <t>(*) Vehicles live in the fleet at Dec 31st, from Tab 1.1</t>
  </si>
  <si>
    <t>Light travel excludes motorcycles/power cycles/mopeds</t>
  </si>
  <si>
    <t xml:space="preserve">(**) Infoshare DPE056AA, June population
</t>
  </si>
  <si>
    <t>Regional annual VKT in billion</t>
  </si>
  <si>
    <t>Northland</t>
  </si>
  <si>
    <t>Auckland</t>
  </si>
  <si>
    <t>Gisborne</t>
  </si>
  <si>
    <t>Hawkes Bay</t>
  </si>
  <si>
    <t>Taranaki</t>
  </si>
  <si>
    <t>Manawatu/Wanganui</t>
  </si>
  <si>
    <t>Wellington</t>
  </si>
  <si>
    <t>Nelson/Marlborough</t>
  </si>
  <si>
    <t>Canterbury</t>
  </si>
  <si>
    <t>Southland</t>
  </si>
  <si>
    <t>Other or unknown regions</t>
  </si>
  <si>
    <t>NZ total</t>
  </si>
  <si>
    <t>Light fleet regional ownership</t>
  </si>
  <si>
    <t>Light vehicles</t>
  </si>
  <si>
    <t>Unknown</t>
  </si>
  <si>
    <t>Waikato</t>
  </si>
  <si>
    <t>Bay of Plenty</t>
  </si>
  <si>
    <t>Manawatu-Whanganui</t>
  </si>
  <si>
    <t>West Coast</t>
  </si>
  <si>
    <t>Otago</t>
  </si>
  <si>
    <t>Chathams</t>
  </si>
  <si>
    <t>NZ total includes the Chathams and unknown regions</t>
  </si>
  <si>
    <t>Population</t>
  </si>
  <si>
    <t>Hawke's Bay</t>
  </si>
  <si>
    <t>Nelson - Marlborough - Tasman</t>
  </si>
  <si>
    <t>Chatham Islands Territory</t>
  </si>
  <si>
    <t>NZ</t>
  </si>
  <si>
    <t>Infoshare DPE051AA for regions and NZ total and DPE052AA for the Chatham Islands Territory, June population</t>
  </si>
  <si>
    <t>Light vehicles per 1000 popn</t>
  </si>
  <si>
    <t>Nelson - Marl</t>
  </si>
  <si>
    <t>Fleet composition by vehcle type and import status</t>
  </si>
  <si>
    <t>Average vehicle ages</t>
  </si>
  <si>
    <t>Vehicles</t>
  </si>
  <si>
    <t>Vehicle ages</t>
  </si>
  <si>
    <t>Calculated summaries</t>
  </si>
  <si>
    <t>Total light new</t>
  </si>
  <si>
    <t>Total light used import</t>
  </si>
  <si>
    <t>Total LPV new</t>
  </si>
  <si>
    <t xml:space="preserve"> Total LPV used</t>
  </si>
  <si>
    <t>Total LCV new</t>
  </si>
  <si>
    <t xml:space="preserve"> Total LCV used</t>
  </si>
  <si>
    <t>Total MC new</t>
  </si>
  <si>
    <t>Total MC used</t>
  </si>
  <si>
    <t>Total truck new</t>
  </si>
  <si>
    <t>Total truck used</t>
  </si>
  <si>
    <t>Total bus new</t>
  </si>
  <si>
    <t>Total bus used</t>
  </si>
  <si>
    <t>Motorcycle New</t>
  </si>
  <si>
    <t>Motorcycle Used Import</t>
  </si>
  <si>
    <t>Truck New</t>
  </si>
  <si>
    <t>Truck Used Import</t>
  </si>
  <si>
    <t>Bus New</t>
  </si>
  <si>
    <t>Bus Used Import</t>
  </si>
  <si>
    <t>Light used %</t>
  </si>
  <si>
    <t>Truck used %</t>
  </si>
  <si>
    <t>Bus used %</t>
  </si>
  <si>
    <t>Light fleet average age</t>
  </si>
  <si>
    <t>Light passenger average age</t>
  </si>
  <si>
    <t>Light commercial average age</t>
  </si>
  <si>
    <t>Motorcycle average age</t>
  </si>
  <si>
    <t>Truck fleet average age</t>
  </si>
  <si>
    <t>Bus fleet average age</t>
  </si>
  <si>
    <t>Light used average age</t>
  </si>
  <si>
    <t>New light average age</t>
  </si>
  <si>
    <t>Vehicle Year of Manufacture (by end of 2023)</t>
  </si>
  <si>
    <t>Year of manufacture</t>
  </si>
  <si>
    <t xml:space="preserve"> Motorcycle used</t>
  </si>
  <si>
    <t xml:space="preserve">Truck used </t>
  </si>
  <si>
    <t>Bus used</t>
  </si>
  <si>
    <t>Total Light</t>
  </si>
  <si>
    <t xml:space="preserve">Heavy vehicle mass distribution </t>
  </si>
  <si>
    <t>Gross vehicle mass range (kg)</t>
  </si>
  <si>
    <t>Used Import</t>
  </si>
  <si>
    <t xml:space="preserve"> New</t>
  </si>
  <si>
    <t>Truck &lt;  5000</t>
  </si>
  <si>
    <t>Truck &lt;  7500</t>
  </si>
  <si>
    <t>Truck &lt; 10000</t>
  </si>
  <si>
    <t>Truck &lt; 12000</t>
  </si>
  <si>
    <t>Truck &lt; 15000</t>
  </si>
  <si>
    <t>Truck &lt; 20000</t>
  </si>
  <si>
    <t>Truck &lt; 25000</t>
  </si>
  <si>
    <t>Truck &lt; 30000</t>
  </si>
  <si>
    <t>Truck &gt; 30000</t>
  </si>
  <si>
    <t>Bus &lt;  7000</t>
  </si>
  <si>
    <t>Bus &lt; 12000</t>
  </si>
  <si>
    <t>Bus &gt; 12000</t>
  </si>
  <si>
    <t>Light fleet age distribution</t>
  </si>
  <si>
    <t>Age</t>
  </si>
  <si>
    <t xml:space="preserve">0-4 years </t>
  </si>
  <si>
    <t xml:space="preserve">5-9 years </t>
  </si>
  <si>
    <t xml:space="preserve">10-14 years </t>
  </si>
  <si>
    <t xml:space="preserve">15-19 years </t>
  </si>
  <si>
    <t xml:space="preserve">20+ years </t>
  </si>
  <si>
    <t>0-4 years</t>
  </si>
  <si>
    <t>5-9 years</t>
  </si>
  <si>
    <t>10-14 years</t>
  </si>
  <si>
    <t>15-19 years</t>
  </si>
  <si>
    <t>20+ years</t>
  </si>
  <si>
    <t>Travel, by 5 year YoM bands</t>
  </si>
  <si>
    <t>Travel (million vkm)</t>
  </si>
  <si>
    <t>Number of vehicles with travel recorded during the year (*)</t>
  </si>
  <si>
    <t>YoM</t>
  </si>
  <si>
    <t>NZ New LPV</t>
  </si>
  <si>
    <t>Used LPV</t>
  </si>
  <si>
    <t>NZ New LCV</t>
  </si>
  <si>
    <t>Used LCV</t>
  </si>
  <si>
    <t>NZ New Heavy truck</t>
  </si>
  <si>
    <t>Used Import Heavy truck</t>
  </si>
  <si>
    <t>NZ New Bus</t>
  </si>
  <si>
    <t>Used Import Bus</t>
  </si>
  <si>
    <t>Light Petrol</t>
  </si>
  <si>
    <t>Light Diesel</t>
  </si>
  <si>
    <t>Light_petrol_veh</t>
  </si>
  <si>
    <t>Light_diesel_veh</t>
  </si>
  <si>
    <t>Truck_new</t>
  </si>
  <si>
    <t>Truck_used</t>
  </si>
  <si>
    <t>Bus_new</t>
  </si>
  <si>
    <t>Bus_used</t>
  </si>
  <si>
    <t>Motorcycles (not mopeds)</t>
  </si>
  <si>
    <t xml:space="preserve">1968&lt;= </t>
  </si>
  <si>
    <t xml:space="preserve">1969-1974 </t>
  </si>
  <si>
    <t xml:space="preserve">1975-1979 </t>
  </si>
  <si>
    <t xml:space="preserve">1980-1984 </t>
  </si>
  <si>
    <t xml:space="preserve">1985-1989 </t>
  </si>
  <si>
    <t xml:space="preserve">1990-1994 </t>
  </si>
  <si>
    <t xml:space="preserve">1995-1999 </t>
  </si>
  <si>
    <t xml:space="preserve">2000-2004 </t>
  </si>
  <si>
    <t xml:space="preserve">2005-2009 </t>
  </si>
  <si>
    <t xml:space="preserve">2010-2014 </t>
  </si>
  <si>
    <t xml:space="preserve">2015-2019 </t>
  </si>
  <si>
    <t xml:space="preserve">2020-2024 </t>
  </si>
  <si>
    <t>(*) if a vehicle is in the fleet for part of the year then that fraction is included in the calculation above, ie a truck in the fleet all year plus another for 3 months = 1.25 fleet years</t>
  </si>
  <si>
    <t>Travel per vehicle</t>
  </si>
  <si>
    <t xml:space="preserve">Light fleet New </t>
  </si>
  <si>
    <t>Light fleet used import</t>
  </si>
  <si>
    <t>Buses</t>
  </si>
  <si>
    <t>Motorcycles</t>
  </si>
  <si>
    <t>Truck vehicle share</t>
  </si>
  <si>
    <t>Bus vehicle share</t>
  </si>
  <si>
    <t>Travel per new light passenger</t>
  </si>
  <si>
    <t>Travel per used light passenger</t>
  </si>
  <si>
    <t>Travel per new light commercial</t>
  </si>
  <si>
    <t>Travel per used light commercial</t>
  </si>
  <si>
    <t>Travel per light petrol vehicle</t>
  </si>
  <si>
    <t>Travel per light diesel vehicle</t>
  </si>
  <si>
    <t>Travel per New truck</t>
  </si>
  <si>
    <t>Travel per used import truck</t>
  </si>
  <si>
    <t>Travel per New bus</t>
  </si>
  <si>
    <t>Travel per used import bus</t>
  </si>
  <si>
    <t>Travel per motorcycle</t>
  </si>
  <si>
    <t>Average light passenger/commercial travel by YoM</t>
  </si>
  <si>
    <t>Light fleet</t>
  </si>
  <si>
    <t xml:space="preserve">Upto 1968 </t>
  </si>
  <si>
    <t xml:space="preserve">1969-74 </t>
  </si>
  <si>
    <t>Note: Distance travelled measures are based on odometer readings taken during inspections. Average travel for the 2023 YoM vehicles is far lower as the vehicles are only in the fleet for part of the year.</t>
  </si>
  <si>
    <t>Light fleet travel (million VKT)</t>
  </si>
  <si>
    <t>Light fleet VKT</t>
  </si>
  <si>
    <t>Year</t>
  </si>
  <si>
    <t xml:space="preserve"> LPV &lt; 1350</t>
  </si>
  <si>
    <t xml:space="preserve"> LPV &lt; 1600</t>
  </si>
  <si>
    <t xml:space="preserve"> LPV &lt; 2000</t>
  </si>
  <si>
    <t xml:space="preserve"> LPV &lt; 3000</t>
  </si>
  <si>
    <t xml:space="preserve"> LPV 3000+</t>
  </si>
  <si>
    <t xml:space="preserve"> LCV &lt; 1350</t>
  </si>
  <si>
    <t xml:space="preserve"> LCV &lt; 1600</t>
  </si>
  <si>
    <t xml:space="preserve"> LCV &lt; 2000</t>
  </si>
  <si>
    <t xml:space="preserve"> LCV &lt; 3000</t>
  </si>
  <si>
    <t xml:space="preserve"> LCV 3000+</t>
  </si>
  <si>
    <t xml:space="preserve"> Vehicles &lt; 2000cc</t>
  </si>
  <si>
    <t>Vehicles &gt;= 2000cc</t>
  </si>
  <si>
    <t>Light &lt; 1350</t>
  </si>
  <si>
    <t xml:space="preserve"> Light &lt; 1600</t>
  </si>
  <si>
    <t xml:space="preserve"> Light &lt; 2000</t>
  </si>
  <si>
    <t xml:space="preserve"> Light &lt; 3000</t>
  </si>
  <si>
    <t xml:space="preserve"> Light 3000+</t>
  </si>
  <si>
    <t>Engines &lt; 2000cc</t>
  </si>
  <si>
    <t>Engines &gt;= 2000cc</t>
  </si>
  <si>
    <t>% 2000+ cc</t>
  </si>
  <si>
    <t>Vehicles 2000+ cc</t>
  </si>
  <si>
    <t>(*) Vehicles that were in the fleet at some point in the year, this is different to vehicles in the fleet at the end of the year</t>
  </si>
  <si>
    <t>Average light fleet engine sizes (cc)</t>
  </si>
  <si>
    <t>Number of light vehicles by engine size</t>
  </si>
  <si>
    <t>Light petrol fleet</t>
  </si>
  <si>
    <t>Used petrol light fleet</t>
  </si>
  <si>
    <t>New petrol light fleet</t>
  </si>
  <si>
    <t>Light diesel fleet</t>
  </si>
  <si>
    <t>Used diesel light fleet</t>
  </si>
  <si>
    <t>New diesel light fleet</t>
  </si>
  <si>
    <t xml:space="preserve">Light fleet average </t>
  </si>
  <si>
    <t>&lt; 1350cc</t>
  </si>
  <si>
    <t>1350-1599cc</t>
  </si>
  <si>
    <t>1600-1999cc</t>
  </si>
  <si>
    <t>2000-2999cc</t>
  </si>
  <si>
    <t>3000-3999cc</t>
  </si>
  <si>
    <t>&gt; 4000cc</t>
  </si>
  <si>
    <t>Light average annual kilometres travelled by engine size and YoM</t>
  </si>
  <si>
    <t>Light Passenger Vehicles</t>
  </si>
  <si>
    <t>Light Commercial Vehicles</t>
  </si>
  <si>
    <t>&gt; 3000cc</t>
  </si>
  <si>
    <t>Note: Average annual travel for the 2023 YoM vehicles is far lower as the vehicles are only in the fleet for part of the year.</t>
  </si>
  <si>
    <t>Composition of the motorcycle/moped fleet</t>
  </si>
  <si>
    <t xml:space="preserve">Total vehicles </t>
  </si>
  <si>
    <t>New &lt;= 60</t>
  </si>
  <si>
    <t>Used import &lt;= 60</t>
  </si>
  <si>
    <t>New &lt;= 125</t>
  </si>
  <si>
    <t>Used import &lt;= 125</t>
  </si>
  <si>
    <t>New &lt;= 250</t>
  </si>
  <si>
    <t>Used import &lt;= 250</t>
  </si>
  <si>
    <t>New &lt;= 600</t>
  </si>
  <si>
    <t>Used import &lt;= 600</t>
  </si>
  <si>
    <t>New &lt;= 1000</t>
  </si>
  <si>
    <t>Used import &lt;= 1000</t>
  </si>
  <si>
    <t>New &gt; 1000</t>
  </si>
  <si>
    <t>Used import &gt; 1000</t>
  </si>
  <si>
    <t>Average engine capacity</t>
  </si>
  <si>
    <t>upto 60cc</t>
  </si>
  <si>
    <t>61-125cc</t>
  </si>
  <si>
    <t>126-600 cc</t>
  </si>
  <si>
    <t>601cc +</t>
  </si>
  <si>
    <t>Petrol and diesel vehicle entry to and exit from the fleet</t>
  </si>
  <si>
    <t>Type</t>
  </si>
  <si>
    <t>Petrol New in</t>
  </si>
  <si>
    <t>Petrol used in</t>
  </si>
  <si>
    <t>Diesel New in</t>
  </si>
  <si>
    <t>Diesel used in</t>
  </si>
  <si>
    <t>Petrol New out</t>
  </si>
  <si>
    <t>Petrol used out</t>
  </si>
  <si>
    <t>Diesel New out</t>
  </si>
  <si>
    <t>Diesel used out</t>
  </si>
  <si>
    <t>Total in</t>
  </si>
  <si>
    <t>Total out</t>
  </si>
  <si>
    <t>Change</t>
  </si>
  <si>
    <t xml:space="preserve">Bus </t>
  </si>
  <si>
    <t xml:space="preserve">LCV </t>
  </si>
  <si>
    <t xml:space="preserve">LPV </t>
  </si>
  <si>
    <t xml:space="preserve">MC </t>
  </si>
  <si>
    <t xml:space="preserve">Manufacturing year of vehicles entering and leaving the fleet </t>
  </si>
  <si>
    <t>Light used in</t>
  </si>
  <si>
    <t>Light used out</t>
  </si>
  <si>
    <t>Light new in</t>
  </si>
  <si>
    <t>Light new out</t>
  </si>
  <si>
    <t>MC used in</t>
  </si>
  <si>
    <t>MC used out</t>
  </si>
  <si>
    <t>MC new in</t>
  </si>
  <si>
    <t>MC new out</t>
  </si>
  <si>
    <t>Truck used in</t>
  </si>
  <si>
    <t>Truck used out</t>
  </si>
  <si>
    <t>Truck new in</t>
  </si>
  <si>
    <t>Truck new out</t>
  </si>
  <si>
    <t>Bus used in</t>
  </si>
  <si>
    <t>Bus used out</t>
  </si>
  <si>
    <t>Bus new in</t>
  </si>
  <si>
    <t>Bus new out</t>
  </si>
  <si>
    <t xml:space="preserve">Average vehicle age entering the fleet </t>
  </si>
  <si>
    <t xml:space="preserve"> Year in</t>
  </si>
  <si>
    <t>New average age</t>
  </si>
  <si>
    <t>New vehicles</t>
  </si>
  <si>
    <t>Used average age</t>
  </si>
  <si>
    <t>Used vehicles</t>
  </si>
  <si>
    <t>Ratio of used to new</t>
  </si>
  <si>
    <t xml:space="preserve">Light </t>
  </si>
  <si>
    <t xml:space="preserve">Mcycl </t>
  </si>
  <si>
    <t xml:space="preserve">Other </t>
  </si>
  <si>
    <t xml:space="preserve">Truck </t>
  </si>
  <si>
    <t>Used imports entering the light fleet: year of manufacture and fuel type vs NZ registration</t>
  </si>
  <si>
    <t>Year first registered in NZ</t>
  </si>
  <si>
    <t>2000 Diesel</t>
  </si>
  <si>
    <t>2000 Petrol</t>
  </si>
  <si>
    <t>2001 Diesel</t>
  </si>
  <si>
    <t>2001 Petrol</t>
  </si>
  <si>
    <t>2002 Diesel</t>
  </si>
  <si>
    <t>2002 Petrol</t>
  </si>
  <si>
    <t>2003 Diesel</t>
  </si>
  <si>
    <t>2003 Petrol</t>
  </si>
  <si>
    <t>2004 Diesel</t>
  </si>
  <si>
    <t>2004 Petrol</t>
  </si>
  <si>
    <t>2005 Diesel</t>
  </si>
  <si>
    <t>2005 Petrol</t>
  </si>
  <si>
    <t>2006 Diesel</t>
  </si>
  <si>
    <t>2006 Petrol</t>
  </si>
  <si>
    <t>2007 Diesel</t>
  </si>
  <si>
    <t>2007 Petrol</t>
  </si>
  <si>
    <t>2008 Diesel</t>
  </si>
  <si>
    <t>2008 Petrol</t>
  </si>
  <si>
    <t>2009 Diesel</t>
  </si>
  <si>
    <t>2009 Petrol</t>
  </si>
  <si>
    <t>2010 Diesel</t>
  </si>
  <si>
    <t>2010 Petrol</t>
  </si>
  <si>
    <t>2011 Diesel</t>
  </si>
  <si>
    <t>2011 Petrol</t>
  </si>
  <si>
    <t>2012 Diesel</t>
  </si>
  <si>
    <t>2012 Petrol</t>
  </si>
  <si>
    <t>2013 Diesel</t>
  </si>
  <si>
    <t>2013 Petrol</t>
  </si>
  <si>
    <t>2014 Diesel</t>
  </si>
  <si>
    <t>2014 Petrol</t>
  </si>
  <si>
    <t>2015 Diesel</t>
  </si>
  <si>
    <t>2015 Petrol</t>
  </si>
  <si>
    <t>2016 Diesel</t>
  </si>
  <si>
    <t>2016 Petrol</t>
  </si>
  <si>
    <t>2017 Diesel</t>
  </si>
  <si>
    <t>2017 Petrol</t>
  </si>
  <si>
    <t>2018 Diesel</t>
  </si>
  <si>
    <t>2018 Petrol</t>
  </si>
  <si>
    <t>2019 Diesel</t>
  </si>
  <si>
    <t>2019 Petrol</t>
  </si>
  <si>
    <t>2020 Diesel</t>
  </si>
  <si>
    <t>2020 Petrol</t>
  </si>
  <si>
    <t>2021 Diesel</t>
  </si>
  <si>
    <t>2021 Petrol</t>
  </si>
  <si>
    <t>2022 Diesel</t>
  </si>
  <si>
    <t>2022 Petrol</t>
  </si>
  <si>
    <t>2023 Diesel</t>
  </si>
  <si>
    <t>2023 Petrol</t>
  </si>
  <si>
    <t xml:space="preserve">Pre 1990 </t>
  </si>
  <si>
    <t>Average engine size (cc) of vehicles entering the light fleet</t>
  </si>
  <si>
    <t>Petrol</t>
  </si>
  <si>
    <t>Diesel</t>
  </si>
  <si>
    <t>Vehicles entering the light fleet, by engine size (cc) band and new/used import</t>
  </si>
  <si>
    <t>New &lt; 1350</t>
  </si>
  <si>
    <t>New 1350-1599</t>
  </si>
  <si>
    <t>New 1600-1999</t>
  </si>
  <si>
    <t>New 2000-2999</t>
  </si>
  <si>
    <t>New 3000-3999</t>
  </si>
  <si>
    <t>New 4000+</t>
  </si>
  <si>
    <t>Used import &lt; 1350</t>
  </si>
  <si>
    <t>Used import 1350-1599</t>
  </si>
  <si>
    <t>Used import 1600-1999</t>
  </si>
  <si>
    <t>Used import 2000-2999</t>
  </si>
  <si>
    <t>Used import 3000-3999</t>
  </si>
  <si>
    <t>Used import 4000+</t>
  </si>
  <si>
    <t>Motorcycles entering the light fleet, by average engine size and engine size band and new/used import</t>
  </si>
  <si>
    <t>Averge engine capacity</t>
  </si>
  <si>
    <t>New</t>
  </si>
  <si>
    <t>Used imports</t>
  </si>
  <si>
    <t>&lt;= 60cc</t>
  </si>
  <si>
    <t>&lt;= 125cc</t>
  </si>
  <si>
    <t>&lt;= 250cc</t>
  </si>
  <si>
    <t>&lt;= 600cc</t>
  </si>
  <si>
    <t>&lt;= 1000cc</t>
  </si>
  <si>
    <t xml:space="preserve"> &gt; 1000cc</t>
  </si>
  <si>
    <t>&lt;= 60 cc</t>
  </si>
  <si>
    <t>&lt;= 125 cc</t>
  </si>
  <si>
    <t>&lt;= 250 cc</t>
  </si>
  <si>
    <t>&lt;= 600 cc</t>
  </si>
  <si>
    <t>&lt;= 1000 cc</t>
  </si>
  <si>
    <t xml:space="preserve"> &gt; 1000 cc</t>
  </si>
  <si>
    <t>Vehicles entering the fleet: country of manufacture</t>
  </si>
  <si>
    <t>Vehicles entering the fleet: country imported from</t>
  </si>
  <si>
    <t>New Europe and America</t>
  </si>
  <si>
    <t>New Asia</t>
  </si>
  <si>
    <t>New Australia</t>
  </si>
  <si>
    <t>New NZ</t>
  </si>
  <si>
    <t>Used Europe and America</t>
  </si>
  <si>
    <t>Used Asia</t>
  </si>
  <si>
    <t>Used Australia</t>
  </si>
  <si>
    <t>Used NZ</t>
  </si>
  <si>
    <t>Used Country Unknown</t>
  </si>
  <si>
    <t xml:space="preserve">Average vehicle age leaving the fleet </t>
  </si>
  <si>
    <t xml:space="preserve"> Year out</t>
  </si>
  <si>
    <t>New Average Age</t>
  </si>
  <si>
    <t xml:space="preserve"> New Vehicles</t>
  </si>
  <si>
    <t>Used Average Age</t>
  </si>
  <si>
    <t xml:space="preserve"> Used Vehicles</t>
  </si>
  <si>
    <t>Petrol Average Age</t>
  </si>
  <si>
    <t xml:space="preserve"> Petrol Vehicles</t>
  </si>
  <si>
    <t>Diesel Average Age</t>
  </si>
  <si>
    <t xml:space="preserve"> Diesel Vehicles</t>
  </si>
  <si>
    <t>Last WoF odometer reading of vehicles leaving the fleet</t>
  </si>
  <si>
    <t>7.3a</t>
  </si>
  <si>
    <t>7.3b</t>
  </si>
  <si>
    <t>7.3c</t>
  </si>
  <si>
    <t xml:space="preserve"> Diesel</t>
  </si>
  <si>
    <t xml:space="preserve"> Petrol</t>
  </si>
  <si>
    <t xml:space="preserve"> Used import</t>
  </si>
  <si>
    <t xml:space="preserve"> Light passenger</t>
  </si>
  <si>
    <t>LPV</t>
  </si>
  <si>
    <t>LCV</t>
  </si>
  <si>
    <t>Average cc</t>
  </si>
  <si>
    <t>&lt;1350cc</t>
  </si>
  <si>
    <t>&lt;1600cc</t>
  </si>
  <si>
    <t>&lt;2000cc</t>
  </si>
  <si>
    <t>&lt;3000cc</t>
  </si>
  <si>
    <t>&gt;=3000cc</t>
  </si>
  <si>
    <t>These graphs exclude the current year - exactly which vehicles have been scrapped is not certain until 12 months have passed</t>
  </si>
  <si>
    <t>Fleet composition</t>
  </si>
  <si>
    <t xml:space="preserve"> Petrol LPV new</t>
  </si>
  <si>
    <t xml:space="preserve"> Petrol LPV used</t>
  </si>
  <si>
    <t xml:space="preserve"> Diesel LPV new</t>
  </si>
  <si>
    <t xml:space="preserve"> Diesel LPV used</t>
  </si>
  <si>
    <t>Petrol LCV new</t>
  </si>
  <si>
    <t>Petrol LCV used</t>
  </si>
  <si>
    <t xml:space="preserve"> Diesel LCV new</t>
  </si>
  <si>
    <t>Diesel LCV used</t>
  </si>
  <si>
    <t>Light pure EV</t>
  </si>
  <si>
    <t xml:space="preserve"> Petrol truck new</t>
  </si>
  <si>
    <t xml:space="preserve"> Petrol truck used</t>
  </si>
  <si>
    <t>Diesel truck new</t>
  </si>
  <si>
    <t>Diesel truck used</t>
  </si>
  <si>
    <t>Petrol bus new</t>
  </si>
  <si>
    <t>Petrol bus used</t>
  </si>
  <si>
    <t>Diesel bus new</t>
  </si>
  <si>
    <t>Diesel bus used</t>
  </si>
  <si>
    <t>Electric bus</t>
  </si>
  <si>
    <t>LPV diesel %</t>
  </si>
  <si>
    <t>LCV diesel %</t>
  </si>
  <si>
    <t>New light diesel</t>
  </si>
  <si>
    <t>Used light diesel</t>
  </si>
  <si>
    <t>% light diesel</t>
  </si>
  <si>
    <t>LPV=Light passenger vehicles, comprising cars, SUVs &lt;= 3500 kg</t>
  </si>
  <si>
    <t>LCV=Light commercial vehicles, comprising vans, utes &lt;= 3500 kg</t>
  </si>
  <si>
    <t xml:space="preserve">Travel (million km) by fuel type and vehicle type </t>
  </si>
  <si>
    <t>Number of vehicles (*)</t>
  </si>
  <si>
    <t>Light passenger petrol travel</t>
  </si>
  <si>
    <t>Light passenger diesel travel</t>
  </si>
  <si>
    <t>Light commercial petrol travel</t>
  </si>
  <si>
    <t>Light commercial diesel travel</t>
  </si>
  <si>
    <t>Light pure electric travel</t>
  </si>
  <si>
    <t>Motorcycle travel</t>
  </si>
  <si>
    <t xml:space="preserve"> Truck petrol travel</t>
  </si>
  <si>
    <t>Truck diesel travel</t>
  </si>
  <si>
    <t>Bus petrol travel</t>
  </si>
  <si>
    <t>Bus diesel travel</t>
  </si>
  <si>
    <t>Electric bus travel</t>
  </si>
  <si>
    <t>Light passenger petrol vehicles</t>
  </si>
  <si>
    <t>Light passenger diesel vehicles</t>
  </si>
  <si>
    <t>Light commercial petrol vehicles</t>
  </si>
  <si>
    <t>Light commercial diesel vehicles</t>
  </si>
  <si>
    <t xml:space="preserve">Light pure electric vehicles </t>
  </si>
  <si>
    <t xml:space="preserve"> Petrol trucks</t>
  </si>
  <si>
    <t>Diesel trucks</t>
  </si>
  <si>
    <t>Petrol Buses</t>
  </si>
  <si>
    <t>Diesel buses</t>
  </si>
  <si>
    <t>Electric buses (**)</t>
  </si>
  <si>
    <t>Light Petrol travel</t>
  </si>
  <si>
    <t>Light Diesel travel</t>
  </si>
  <si>
    <t>Petrol travel per light vehicle</t>
  </si>
  <si>
    <t>Diesel travel per light vehicle</t>
  </si>
  <si>
    <t>(**) there were more trolley buses than this but many have stuck odometers so they drop out of the distance estimation programs</t>
  </si>
  <si>
    <t>Light fleet by fuel type: main fuel</t>
  </si>
  <si>
    <t>Petrol hybrid</t>
  </si>
  <si>
    <t>Petrol electric hybrid</t>
  </si>
  <si>
    <t>Diesel hybrid</t>
  </si>
  <si>
    <t>Diesel electric hybrid</t>
  </si>
  <si>
    <t>Electric</t>
  </si>
  <si>
    <t>Electric (petrol extended)</t>
  </si>
  <si>
    <t>Electric (diesel extended)</t>
  </si>
  <si>
    <t>Hydrogen</t>
  </si>
  <si>
    <t>Plugin petrol hybrid (PHEV)</t>
  </si>
  <si>
    <t>Plugin diesel hybrid (PHEV)</t>
  </si>
  <si>
    <t>LPG</t>
  </si>
  <si>
    <t>CNG</t>
  </si>
  <si>
    <t>Electric/Plugin</t>
  </si>
  <si>
    <t>Fuel types in the fleet</t>
  </si>
  <si>
    <t>Motorcycles and mopeds</t>
  </si>
  <si>
    <t>Other/unknown</t>
  </si>
  <si>
    <t>Note - this table is based on the work NZTA has done to upgrade the fuel information held on the vehicle register</t>
  </si>
  <si>
    <t>However the upgrade only applied to live vehicles, we cannot use this method to track historic registrations,</t>
  </si>
  <si>
    <t>as any of those vehicles that have been scrapped may not have an appropriate fuel type</t>
  </si>
  <si>
    <t>Average CO2 emissions (g/km): newly registered light vehicles</t>
  </si>
  <si>
    <t>Quarter</t>
  </si>
  <si>
    <t>New Petrol</t>
  </si>
  <si>
    <t>New Diesel</t>
  </si>
  <si>
    <t>Used Petrol</t>
  </si>
  <si>
    <t>All</t>
  </si>
  <si>
    <t>Number New petrol</t>
  </si>
  <si>
    <t>Number New diesel</t>
  </si>
  <si>
    <t>Number used petrol</t>
  </si>
  <si>
    <t>Total veh</t>
  </si>
  <si>
    <t>Q2</t>
  </si>
  <si>
    <t>Q3</t>
  </si>
  <si>
    <t>Q4</t>
  </si>
  <si>
    <t>Q1</t>
  </si>
  <si>
    <t>Note: All CO2 values (grams/km) are on the three phase (that is, those for low, medium, and high speed) Worldwide Harmonised Light Vehicle Test Procedure (3P-WLTP)</t>
  </si>
  <si>
    <t>Emissions standards in fleet: light petrol vehicles</t>
  </si>
  <si>
    <t>Emissions standards in fleet: light diesel vehicles</t>
  </si>
  <si>
    <t>Testing status of vehicles</t>
  </si>
  <si>
    <t>Emissions standard</t>
  </si>
  <si>
    <t>Euro 1 petrol</t>
  </si>
  <si>
    <t>Euro 1 diesel</t>
  </si>
  <si>
    <t>Known</t>
  </si>
  <si>
    <t>Not known</t>
  </si>
  <si>
    <t>Euro 2 petrol</t>
  </si>
  <si>
    <t>Euro 2 diesel</t>
  </si>
  <si>
    <t>Euro 3 petrol</t>
  </si>
  <si>
    <t>Euro 3 diesel</t>
  </si>
  <si>
    <t>Euro 3 or 4 petrol</t>
  </si>
  <si>
    <t>Euro 4 diesel</t>
  </si>
  <si>
    <t>Euro 4 petrol</t>
  </si>
  <si>
    <t>Euro 4 or 5 diesel</t>
  </si>
  <si>
    <t>Euro 4 or 5 petrol</t>
  </si>
  <si>
    <t>Euro 5 diesel</t>
  </si>
  <si>
    <t>Euro 5 petrol</t>
  </si>
  <si>
    <t>Euro 6 diesel</t>
  </si>
  <si>
    <t>Euro 6 petrol</t>
  </si>
  <si>
    <t>Japan pre-97 diesel</t>
  </si>
  <si>
    <t>Japan pre-98 petrol</t>
  </si>
  <si>
    <t>Japan 97/99 diesel</t>
  </si>
  <si>
    <t>Japan 98 petrol</t>
  </si>
  <si>
    <t>Japan 02/04 diesel</t>
  </si>
  <si>
    <t>Japan 00/02 petrol</t>
  </si>
  <si>
    <t>Japan 05 diesel</t>
  </si>
  <si>
    <t>Japan 05 petrol</t>
  </si>
  <si>
    <t>Japan 09 diesel</t>
  </si>
  <si>
    <t>Japan 05d petrol</t>
  </si>
  <si>
    <t>Japan 18 diesel</t>
  </si>
  <si>
    <t>Japan 09 petrol</t>
  </si>
  <si>
    <t>US2004 diesel</t>
  </si>
  <si>
    <t>Japan 18 petrol</t>
  </si>
  <si>
    <t>US2007 diesel</t>
  </si>
  <si>
    <t>Australian pre-Euro 2</t>
  </si>
  <si>
    <t>No info</t>
  </si>
  <si>
    <t>US2001 petrol</t>
  </si>
  <si>
    <t>US2004 petrol</t>
  </si>
  <si>
    <t>US2007 petrol</t>
  </si>
  <si>
    <t>US petrol</t>
  </si>
  <si>
    <t>Travel weighted average engine size and vehicle age</t>
  </si>
  <si>
    <t xml:space="preserve"> Mean CC, travel weighted</t>
  </si>
  <si>
    <t xml:space="preserve"> Mean CC</t>
  </si>
  <si>
    <t xml:space="preserve"> Vehicles, ICE only</t>
  </si>
  <si>
    <t xml:space="preserve"> Mean age, travel weighted</t>
  </si>
  <si>
    <t xml:space="preserve"> Mean age</t>
  </si>
  <si>
    <t xml:space="preserve"> Vehicles total</t>
  </si>
  <si>
    <t>The cc and travel means shown on this report are NOT the means for all the light fleet</t>
  </si>
  <si>
    <t>The vehicles included were in the fleet during some or all of the year involved, but may not have still been in the fleet at the end of that year</t>
  </si>
  <si>
    <t>For the mean cc statistics, only the vehicles with an internal combustion engine are included</t>
  </si>
  <si>
    <t>Road freight VKT and tonne-km estimates</t>
  </si>
  <si>
    <t>WIMS/RUC approach</t>
  </si>
  <si>
    <t>Tonne km, base year 2001</t>
  </si>
  <si>
    <t>Truck km growth, base 2001</t>
  </si>
  <si>
    <t>Tonne-km  (million)</t>
  </si>
  <si>
    <t xml:space="preserve">Tkm growth </t>
  </si>
  <si>
    <t>RUC Truck km (million)</t>
  </si>
  <si>
    <t>RUC Trailer km (million)</t>
  </si>
  <si>
    <t>Average load (tonnes)</t>
  </si>
  <si>
    <t>Road tonne-km estimates were previously produced only using Road User Charges (RUC) data</t>
  </si>
  <si>
    <t>Changes to RUC in 2012 mean that this source is no longer sufficient</t>
  </si>
  <si>
    <t>From 2012 onwards, tonne-km estimates are supplemented with NZTA Weight in Motion Site (WIMS) and vehicle register data</t>
  </si>
  <si>
    <t>Note that in all years, distance travelled is calculated using net RUC purchases. This may not fully</t>
  </si>
  <si>
    <t>represent actual distance travelled, as RUC can be used in different years to that in which it is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</si>
</sst>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
    <numFmt numFmtId="165" formatCode="0.0%"/>
    <numFmt numFmtId="166" formatCode="_-* #,##0_-;\-* #,##0_-;_-* &quot;-&quot;??_-;_-@_-"/>
    <numFmt numFmtId="167" formatCode="&quot;$&quot;#,##0\ ;\(&quot;$&quot;#,##0\)"/>
    <numFmt numFmtId="168" formatCode="&quot;$&quot;#,##0.00;[Red]\(&quot;$&quot;#,##0.00\)"/>
    <numFmt numFmtId="169" formatCode="[Blue]#,##0"/>
    <numFmt numFmtId="170" formatCode="[Blue]0.0;\-0.0"/>
    <numFmt numFmtId="171" formatCode="yyyy"/>
    <numFmt numFmtId="172" formatCode="mmm\ yyyy"/>
    <numFmt numFmtId="173" formatCode="0.0000%"/>
  </numFmts>
  <fonts count="6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u/>
      <sz val="10"/>
      <color indexed="12"/>
      <name val="Arial"/>
      <family val="2"/>
    </font>
    <font>
      <sz val="10"/>
      <color indexed="8"/>
      <name val="Arial"/>
      <family val="2"/>
    </font>
    <font>
      <b/>
      <sz val="8"/>
      <name val="Helv"/>
    </font>
    <font>
      <sz val="12"/>
      <name val="Courier"/>
      <family val="3"/>
    </font>
    <font>
      <sz val="12"/>
      <color indexed="24"/>
      <name val="Arial"/>
      <family val="2"/>
    </font>
    <font>
      <sz val="10"/>
      <name val="Helv"/>
    </font>
    <font>
      <sz val="8.5"/>
      <name val="LinePrinter"/>
    </font>
    <font>
      <sz val="8"/>
      <name val="Helv"/>
    </font>
    <font>
      <b/>
      <sz val="8.5"/>
      <name val="LinePrinter"/>
    </font>
    <font>
      <sz val="18"/>
      <color indexed="24"/>
      <name val="Arial"/>
      <family val="2"/>
    </font>
    <font>
      <sz val="8"/>
      <color indexed="24"/>
      <name val="Arial"/>
      <family val="2"/>
    </font>
    <font>
      <i/>
      <sz val="10"/>
      <name val="Arial"/>
      <family val="2"/>
    </font>
    <font>
      <sz val="10"/>
      <color indexed="12"/>
      <name val="Arial"/>
      <family val="2"/>
    </font>
    <font>
      <b/>
      <sz val="20"/>
      <color indexed="9"/>
      <name val="Arial"/>
      <family val="2"/>
    </font>
    <font>
      <b/>
      <sz val="11"/>
      <color indexed="9"/>
      <name val="Arial"/>
      <family val="2"/>
    </font>
    <font>
      <b/>
      <i/>
      <sz val="11"/>
      <color indexed="9"/>
      <name val="Arial"/>
      <family val="2"/>
    </font>
    <font>
      <b/>
      <i/>
      <u/>
      <sz val="11"/>
      <color indexed="9"/>
      <name val="Arial"/>
      <family val="2"/>
    </font>
    <font>
      <b/>
      <sz val="10"/>
      <color indexed="9"/>
      <name val="Arial"/>
      <family val="2"/>
    </font>
    <font>
      <sz val="10"/>
      <color indexed="9"/>
      <name val="Arial"/>
      <family val="2"/>
    </font>
    <font>
      <sz val="11"/>
      <color indexed="9"/>
      <name val="Arial"/>
      <family val="2"/>
    </font>
    <font>
      <sz val="11"/>
      <name val="Arial"/>
      <family val="2"/>
    </font>
    <font>
      <b/>
      <sz val="10"/>
      <color indexed="12"/>
      <name val="Arial"/>
      <family val="2"/>
    </font>
    <font>
      <u/>
      <sz val="10"/>
      <color indexed="9"/>
      <name val="Arial"/>
      <family val="2"/>
    </font>
    <font>
      <b/>
      <sz val="8"/>
      <name val="Arial"/>
      <family val="2"/>
    </font>
    <font>
      <sz val="8"/>
      <color theme="1"/>
      <name val="Arial"/>
      <family val="2"/>
    </font>
    <font>
      <b/>
      <sz val="8"/>
      <color indexed="9"/>
      <name val="Arial"/>
      <family val="2"/>
    </font>
    <font>
      <sz val="8"/>
      <color indexed="9"/>
      <name val="Arial"/>
      <family val="2"/>
    </font>
    <font>
      <sz val="8"/>
      <color rgb="FF333333"/>
      <name val="Arial"/>
      <family val="2"/>
    </font>
    <font>
      <sz val="8"/>
      <color rgb="FF666666"/>
      <name val="Arial"/>
      <family val="2"/>
    </font>
    <font>
      <sz val="11"/>
      <color indexed="8"/>
      <name val="Calibri"/>
      <family val="2"/>
      <scheme val="minor"/>
    </font>
    <font>
      <sz val="8"/>
      <color indexed="8"/>
      <name val="Arial"/>
      <family val="2"/>
    </font>
    <font>
      <sz val="18"/>
      <color theme="3"/>
      <name val="Cambria"/>
      <family val="2"/>
      <scheme val="maj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8"/>
      <color theme="0" tint="-0.499984740745262"/>
      <name val="Arial"/>
      <family val="2"/>
    </font>
    <font>
      <u/>
      <sz val="8"/>
      <color indexed="12"/>
      <name val="Arial"/>
      <family val="2"/>
    </font>
    <font>
      <b/>
      <sz val="10"/>
      <color theme="1"/>
      <name val="Arial"/>
      <family val="2"/>
    </font>
    <font>
      <sz val="8"/>
      <color theme="1"/>
      <name val="Calibri"/>
      <family val="2"/>
      <scheme val="minor"/>
    </font>
    <font>
      <u/>
      <sz val="11"/>
      <color indexed="12"/>
      <name val="Arial"/>
      <family val="2"/>
    </font>
    <font>
      <b/>
      <sz val="10"/>
      <color rgb="FF1967CC"/>
      <name val="Arial"/>
      <family val="2"/>
    </font>
    <font>
      <sz val="11"/>
      <color rgb="FF000000"/>
      <name val="Calibri"/>
      <family val="2"/>
    </font>
  </fonts>
  <fills count="45">
    <fill>
      <patternFill patternType="none"/>
    </fill>
    <fill>
      <patternFill patternType="gray125"/>
    </fill>
    <fill>
      <patternFill patternType="solid">
        <fgColor indexed="9"/>
        <bgColor indexed="64"/>
      </patternFill>
    </fill>
    <fill>
      <patternFill patternType="solid">
        <fgColor indexed="38"/>
        <bgColor indexed="64"/>
      </patternFill>
    </fill>
    <fill>
      <patternFill patternType="solid">
        <fgColor theme="6"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FF"/>
        <bgColor indexed="64"/>
      </patternFill>
    </fill>
    <fill>
      <patternFill patternType="solid">
        <fgColor theme="6"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DCDB"/>
        <bgColor indexed="64"/>
      </patternFill>
    </fill>
  </fills>
  <borders count="18">
    <border>
      <left/>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style="thin">
        <color theme="4"/>
      </top>
      <bottom style="double">
        <color theme="4"/>
      </bottom>
      <diagonal/>
    </border>
  </borders>
  <cellStyleXfs count="68">
    <xf numFmtId="0" fontId="0" fillId="0" borderId="0"/>
    <xf numFmtId="0" fontId="8" fillId="0" borderId="0">
      <protection locked="0"/>
    </xf>
    <xf numFmtId="0" fontId="9" fillId="0" borderId="0" applyNumberFormat="0" applyFont="0" applyFill="0" applyBorder="0" applyProtection="0">
      <alignment horizontal="right"/>
    </xf>
    <xf numFmtId="43" fontId="3" fillId="0" borderId="0" applyFont="0" applyFill="0" applyBorder="0" applyAlignment="0" applyProtection="0"/>
    <xf numFmtId="3" fontId="10" fillId="0" borderId="0" applyFont="0" applyFill="0" applyBorder="0" applyAlignment="0" applyProtection="0"/>
    <xf numFmtId="4" fontId="11" fillId="0" borderId="0" applyFont="0" applyFill="0" applyBorder="0" applyAlignment="0" applyProtection="0"/>
    <xf numFmtId="167" fontId="10" fillId="0" borderId="0" applyFont="0" applyFill="0" applyBorder="0" applyAlignment="0" applyProtection="0"/>
    <xf numFmtId="168" fontId="12" fillId="0" borderId="0" applyFont="0" applyFill="0" applyBorder="0" applyAlignment="0" applyProtection="0"/>
    <xf numFmtId="15" fontId="12" fillId="0" borderId="0" applyFont="0" applyFill="0" applyBorder="0" applyProtection="0">
      <alignment horizontal="right"/>
    </xf>
    <xf numFmtId="2" fontId="10" fillId="0" borderId="0" applyFont="0" applyFill="0" applyBorder="0" applyAlignment="0" applyProtection="0"/>
    <xf numFmtId="169" fontId="13" fillId="0" borderId="0">
      <protection locked="0"/>
    </xf>
    <xf numFmtId="0" fontId="14"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6" fillId="0" borderId="0" applyNumberFormat="0" applyFill="0" applyBorder="0" applyAlignment="0" applyProtection="0">
      <alignment vertical="top"/>
      <protection locked="0"/>
    </xf>
    <xf numFmtId="170" fontId="13" fillId="0" borderId="0">
      <protection locked="0"/>
    </xf>
    <xf numFmtId="0" fontId="3" fillId="0" borderId="0"/>
    <xf numFmtId="9" fontId="3" fillId="0" borderId="0" applyFont="0" applyFill="0" applyBorder="0" applyAlignment="0" applyProtection="0"/>
    <xf numFmtId="10" fontId="12" fillId="0" borderId="0" applyFont="0" applyFill="0" applyBorder="0" applyAlignment="0" applyProtection="0"/>
    <xf numFmtId="0" fontId="7" fillId="0" borderId="0">
      <alignment vertical="top"/>
    </xf>
    <xf numFmtId="4" fontId="9" fillId="0" borderId="1" applyNumberFormat="0" applyFont="0" applyFill="0" applyAlignment="0" applyProtection="0"/>
    <xf numFmtId="2" fontId="8" fillId="1" borderId="2" applyNumberFormat="0" applyBorder="0" applyProtection="0">
      <alignment horizontal="left"/>
    </xf>
    <xf numFmtId="4" fontId="9" fillId="0" borderId="3" applyNumberFormat="0" applyFont="0" applyFill="0" applyAlignment="0" applyProtection="0"/>
    <xf numFmtId="171" fontId="12" fillId="0" borderId="0" applyFont="0" applyFill="0" applyBorder="0" applyAlignment="0" applyProtection="0"/>
    <xf numFmtId="0" fontId="2" fillId="13" borderId="0" applyNumberFormat="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8" fillId="0" borderId="0" applyNumberFormat="0" applyFill="0" applyBorder="0" applyAlignment="0" applyProtection="0"/>
    <xf numFmtId="0" fontId="39" fillId="14" borderId="0" applyNumberFormat="0" applyBorder="0" applyAlignment="0" applyProtection="0"/>
    <xf numFmtId="0" fontId="40" fillId="15" borderId="0" applyNumberFormat="0" applyBorder="0" applyAlignment="0" applyProtection="0"/>
    <xf numFmtId="0" fontId="41" fillId="16" borderId="0" applyNumberFormat="0" applyBorder="0" applyAlignment="0" applyProtection="0"/>
    <xf numFmtId="0" fontId="42" fillId="17" borderId="10" applyNumberFormat="0" applyAlignment="0" applyProtection="0"/>
    <xf numFmtId="0" fontId="43" fillId="18" borderId="11" applyNumberFormat="0" applyAlignment="0" applyProtection="0"/>
    <xf numFmtId="0" fontId="44" fillId="18" borderId="10" applyNumberFormat="0" applyAlignment="0" applyProtection="0"/>
    <xf numFmtId="0" fontId="45" fillId="0" borderId="12" applyNumberFormat="0" applyFill="0" applyAlignment="0" applyProtection="0"/>
    <xf numFmtId="0" fontId="46" fillId="19" borderId="13" applyNumberFormat="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9" fillId="24" borderId="0" applyNumberFormat="0" applyBorder="0" applyAlignment="0" applyProtection="0"/>
    <xf numFmtId="0" fontId="4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1" fillId="30"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49" fillId="39" borderId="0" applyNumberFormat="0" applyBorder="0" applyAlignment="0" applyProtection="0"/>
    <xf numFmtId="0" fontId="49"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49" fillId="43" borderId="0" applyNumberFormat="0" applyBorder="0" applyAlignment="0" applyProtection="0"/>
    <xf numFmtId="0" fontId="1" fillId="0" borderId="0"/>
    <xf numFmtId="0" fontId="50" fillId="0" borderId="15" applyNumberFormat="0" applyFill="0" applyAlignment="0" applyProtection="0"/>
    <xf numFmtId="0" fontId="51" fillId="0" borderId="16" applyNumberFormat="0" applyFill="0" applyAlignment="0" applyProtection="0"/>
    <xf numFmtId="0" fontId="1" fillId="20" borderId="14" applyNumberFormat="0" applyFont="0" applyAlignment="0" applyProtection="0"/>
    <xf numFmtId="0" fontId="52" fillId="0" borderId="17" applyNumberFormat="0" applyFill="0" applyAlignment="0" applyProtection="0"/>
    <xf numFmtId="0" fontId="1" fillId="13" borderId="0" applyNumberFormat="0" applyBorder="0" applyAlignment="0" applyProtection="0"/>
    <xf numFmtId="0" fontId="53" fillId="0" borderId="0" applyNumberFormat="0" applyFill="0" applyBorder="0" applyAlignment="0" applyProtection="0"/>
  </cellStyleXfs>
  <cellXfs count="229">
    <xf numFmtId="0" fontId="0" fillId="0" borderId="0" xfId="0"/>
    <xf numFmtId="0" fontId="0" fillId="0" borderId="0" xfId="0" applyAlignment="1">
      <alignment horizontal="center"/>
    </xf>
    <xf numFmtId="0" fontId="0" fillId="0" borderId="0" xfId="0" applyAlignment="1">
      <alignment horizontal="center" vertical="top" wrapText="1"/>
    </xf>
    <xf numFmtId="1" fontId="0" fillId="0" borderId="0" xfId="0" applyNumberFormat="1" applyAlignment="1">
      <alignment horizontal="center"/>
    </xf>
    <xf numFmtId="2" fontId="0" fillId="0" borderId="0" xfId="0" applyNumberFormat="1" applyAlignment="1">
      <alignment horizontal="center"/>
    </xf>
    <xf numFmtId="1" fontId="0" fillId="0" borderId="0" xfId="0" applyNumberFormat="1"/>
    <xf numFmtId="0" fontId="0" fillId="0" borderId="0" xfId="0" applyAlignment="1">
      <alignment vertical="top" wrapText="1"/>
    </xf>
    <xf numFmtId="0" fontId="4" fillId="0" borderId="0" xfId="0" applyFont="1"/>
    <xf numFmtId="165" fontId="0" fillId="0" borderId="0" xfId="17" applyNumberFormat="1" applyFont="1"/>
    <xf numFmtId="0" fontId="0" fillId="0" borderId="0" xfId="0" applyAlignment="1">
      <alignment vertical="top"/>
    </xf>
    <xf numFmtId="0" fontId="0" fillId="2" borderId="0" xfId="0" applyFill="1"/>
    <xf numFmtId="0" fontId="6" fillId="2" borderId="0" xfId="14" applyFill="1" applyAlignment="1" applyProtection="1"/>
    <xf numFmtId="0" fontId="18" fillId="2" borderId="0" xfId="0" applyFont="1" applyFill="1"/>
    <xf numFmtId="0" fontId="0" fillId="3" borderId="0" xfId="0" applyFill="1"/>
    <xf numFmtId="0" fontId="20" fillId="3" borderId="0" xfId="0" applyFont="1" applyFill="1"/>
    <xf numFmtId="0" fontId="23" fillId="3" borderId="0" xfId="0" applyFont="1" applyFill="1" applyAlignment="1">
      <alignment vertical="center"/>
    </xf>
    <xf numFmtId="0" fontId="24" fillId="3" borderId="0" xfId="0" applyFont="1" applyFill="1" applyAlignment="1">
      <alignment vertical="center"/>
    </xf>
    <xf numFmtId="0" fontId="20" fillId="3" borderId="0" xfId="0" applyFont="1" applyFill="1" applyAlignment="1">
      <alignment vertical="center"/>
    </xf>
    <xf numFmtId="0" fontId="25" fillId="3" borderId="0" xfId="0" applyFont="1" applyFill="1" applyAlignment="1">
      <alignment vertical="center"/>
    </xf>
    <xf numFmtId="0" fontId="25" fillId="3" borderId="0" xfId="0" applyFont="1" applyFill="1" applyAlignment="1">
      <alignment horizontal="center" vertical="center"/>
    </xf>
    <xf numFmtId="0" fontId="0" fillId="0" borderId="0" xfId="0" applyAlignment="1">
      <alignment vertical="center"/>
    </xf>
    <xf numFmtId="164" fontId="0" fillId="0" borderId="0" xfId="0" applyNumberFormat="1" applyAlignment="1">
      <alignment horizontal="center"/>
    </xf>
    <xf numFmtId="0" fontId="17" fillId="0" borderId="0" xfId="0" applyFont="1"/>
    <xf numFmtId="165" fontId="0" fillId="0" borderId="0" xfId="17" applyNumberFormat="1" applyFont="1" applyAlignment="1">
      <alignment horizontal="center"/>
    </xf>
    <xf numFmtId="0" fontId="20" fillId="0" borderId="0" xfId="0" applyFont="1" applyAlignment="1">
      <alignment vertical="center"/>
    </xf>
    <xf numFmtId="2" fontId="0" fillId="0" borderId="0" xfId="0" applyNumberFormat="1"/>
    <xf numFmtId="0" fontId="27" fillId="0" borderId="0" xfId="0" applyFont="1"/>
    <xf numFmtId="0" fontId="27" fillId="2" borderId="0" xfId="0" applyFont="1" applyFill="1"/>
    <xf numFmtId="9" fontId="0" fillId="0" borderId="0" xfId="17" applyFont="1" applyAlignment="1">
      <alignment horizontal="center"/>
    </xf>
    <xf numFmtId="0" fontId="4" fillId="0" borderId="0" xfId="0" applyFont="1" applyAlignment="1">
      <alignment horizontal="center" vertical="top" wrapText="1"/>
    </xf>
    <xf numFmtId="0" fontId="20" fillId="3" borderId="0" xfId="0" applyFont="1" applyFill="1" applyAlignment="1">
      <alignment horizontal="center" vertical="center"/>
    </xf>
    <xf numFmtId="0" fontId="0" fillId="3" borderId="0" xfId="0" applyFill="1" applyAlignment="1">
      <alignment horizontal="center"/>
    </xf>
    <xf numFmtId="0" fontId="4" fillId="0" borderId="0" xfId="0" applyFont="1" applyAlignment="1">
      <alignment horizontal="center"/>
    </xf>
    <xf numFmtId="0" fontId="19" fillId="3" borderId="0" xfId="0" applyFont="1" applyFill="1" applyAlignment="1">
      <alignment vertical="center"/>
    </xf>
    <xf numFmtId="0" fontId="21" fillId="3" borderId="0" xfId="0" applyFont="1" applyFill="1" applyAlignment="1">
      <alignment vertical="top" wrapText="1"/>
    </xf>
    <xf numFmtId="0" fontId="22" fillId="3" borderId="0" xfId="14" applyFont="1" applyFill="1" applyAlignment="1" applyProtection="1"/>
    <xf numFmtId="0" fontId="3" fillId="0" borderId="0" xfId="0" applyFont="1" applyAlignment="1">
      <alignment horizontal="center" vertical="top" wrapText="1"/>
    </xf>
    <xf numFmtId="0" fontId="3" fillId="0" borderId="0" xfId="0" applyFont="1"/>
    <xf numFmtId="0" fontId="5" fillId="0" borderId="0" xfId="0" applyFont="1" applyAlignment="1">
      <alignment vertical="top" wrapText="1"/>
    </xf>
    <xf numFmtId="0" fontId="5" fillId="0" borderId="0" xfId="0" quotePrefix="1" applyFont="1" applyAlignment="1">
      <alignment horizontal="right"/>
    </xf>
    <xf numFmtId="0" fontId="0" fillId="7" borderId="0" xfId="0" applyFill="1"/>
    <xf numFmtId="0" fontId="3" fillId="0" borderId="0" xfId="0" applyFont="1" applyAlignment="1">
      <alignment horizontal="left"/>
    </xf>
    <xf numFmtId="0" fontId="5" fillId="0" borderId="0" xfId="0" applyFont="1"/>
    <xf numFmtId="0" fontId="5" fillId="0" borderId="0" xfId="0" quotePrefix="1" applyFont="1" applyAlignment="1">
      <alignment horizontal="right" vertical="center"/>
    </xf>
    <xf numFmtId="0" fontId="29" fillId="0" borderId="0" xfId="0" applyFont="1"/>
    <xf numFmtId="3" fontId="5" fillId="0" borderId="0" xfId="0" applyNumberFormat="1" applyFont="1" applyAlignment="1">
      <alignment horizontal="center"/>
    </xf>
    <xf numFmtId="165" fontId="5" fillId="0" borderId="0" xfId="17" applyNumberFormat="1" applyFont="1" applyBorder="1" applyAlignment="1">
      <alignment horizontal="center"/>
    </xf>
    <xf numFmtId="0" fontId="0" fillId="12" borderId="0" xfId="0" applyFill="1"/>
    <xf numFmtId="3" fontId="0" fillId="0" borderId="0" xfId="0" applyNumberFormat="1"/>
    <xf numFmtId="0" fontId="5" fillId="0" borderId="0" xfId="0" applyFont="1" applyAlignment="1">
      <alignment horizontal="center"/>
    </xf>
    <xf numFmtId="9" fontId="0" fillId="0" borderId="0" xfId="17" applyFont="1" applyBorder="1"/>
    <xf numFmtId="0" fontId="6" fillId="12" borderId="0" xfId="14" applyFill="1" applyBorder="1" applyAlignment="1" applyProtection="1"/>
    <xf numFmtId="0" fontId="6" fillId="12" borderId="0" xfId="14" applyFill="1" applyAlignment="1" applyProtection="1"/>
    <xf numFmtId="0" fontId="28" fillId="3" borderId="0" xfId="14" applyFont="1" applyFill="1" applyAlignment="1" applyProtection="1">
      <alignment vertical="center"/>
    </xf>
    <xf numFmtId="16" fontId="5" fillId="0" borderId="0" xfId="0" quotePrefix="1" applyNumberFormat="1" applyFont="1"/>
    <xf numFmtId="17" fontId="5" fillId="0" borderId="0" xfId="0" quotePrefix="1" applyNumberFormat="1" applyFont="1"/>
    <xf numFmtId="165" fontId="5" fillId="0" borderId="0" xfId="17" applyNumberFormat="1" applyFont="1"/>
    <xf numFmtId="166" fontId="5" fillId="0" borderId="0" xfId="3" applyNumberFormat="1" applyFont="1"/>
    <xf numFmtId="0" fontId="5" fillId="0" borderId="0" xfId="0" applyFont="1" applyAlignment="1">
      <alignment horizontal="center" vertical="top" wrapText="1"/>
    </xf>
    <xf numFmtId="0" fontId="5" fillId="0" borderId="0" xfId="0" quotePrefix="1" applyFont="1" applyAlignment="1">
      <alignment horizontal="center"/>
    </xf>
    <xf numFmtId="2" fontId="5" fillId="0" borderId="0" xfId="0" applyNumberFormat="1" applyFont="1" applyAlignment="1">
      <alignment horizontal="center"/>
    </xf>
    <xf numFmtId="0" fontId="5" fillId="0" borderId="0" xfId="0" applyFont="1" applyAlignment="1">
      <alignment horizontal="center" vertical="top"/>
    </xf>
    <xf numFmtId="0" fontId="5" fillId="0" borderId="5" xfId="0" applyFont="1" applyBorder="1" applyAlignment="1">
      <alignment horizontal="center" vertical="top" wrapText="1"/>
    </xf>
    <xf numFmtId="1" fontId="5" fillId="0" borderId="0" xfId="0" applyNumberFormat="1" applyFont="1" applyAlignment="1">
      <alignment horizontal="center"/>
    </xf>
    <xf numFmtId="0" fontId="5" fillId="0" borderId="0" xfId="0" applyFont="1" applyAlignment="1">
      <alignment horizontal="center" vertical="center"/>
    </xf>
    <xf numFmtId="2" fontId="5" fillId="0" borderId="0" xfId="0" applyNumberFormat="1" applyFont="1"/>
    <xf numFmtId="1" fontId="5" fillId="0" borderId="0" xfId="0" applyNumberFormat="1" applyFont="1"/>
    <xf numFmtId="0" fontId="5" fillId="0" borderId="0" xfId="0" applyFont="1" applyAlignment="1">
      <alignment horizontal="center" vertical="center" wrapText="1"/>
    </xf>
    <xf numFmtId="0" fontId="5" fillId="0" borderId="0" xfId="0" applyFont="1" applyAlignment="1">
      <alignment vertical="center" wrapText="1"/>
    </xf>
    <xf numFmtId="9" fontId="5" fillId="0" borderId="0" xfId="17" applyFont="1" applyBorder="1" applyAlignment="1">
      <alignment horizontal="center"/>
    </xf>
    <xf numFmtId="165" fontId="5" fillId="0" borderId="0" xfId="17" applyNumberFormat="1" applyFont="1" applyAlignment="1">
      <alignment horizontal="center"/>
    </xf>
    <xf numFmtId="9" fontId="5" fillId="0" borderId="0" xfId="17" applyFont="1" applyAlignment="1">
      <alignment horizontal="center"/>
    </xf>
    <xf numFmtId="0" fontId="5" fillId="0" borderId="0" xfId="0" applyFont="1" applyAlignment="1">
      <alignment vertical="center"/>
    </xf>
    <xf numFmtId="165" fontId="5" fillId="0" borderId="0" xfId="17" applyNumberFormat="1" applyFont="1" applyBorder="1"/>
    <xf numFmtId="0" fontId="5" fillId="0" borderId="0" xfId="0" applyFont="1" applyAlignment="1">
      <alignment horizontal="left" vertical="top" wrapText="1"/>
    </xf>
    <xf numFmtId="0" fontId="29" fillId="0" borderId="0" xfId="0" applyFont="1" applyAlignment="1">
      <alignment horizontal="left"/>
    </xf>
    <xf numFmtId="0" fontId="5" fillId="0" borderId="0" xfId="0" applyFont="1" applyAlignment="1">
      <alignment horizontal="center" wrapText="1"/>
    </xf>
    <xf numFmtId="0" fontId="5" fillId="0" borderId="0" xfId="0" applyFont="1" applyAlignment="1">
      <alignment horizontal="left"/>
    </xf>
    <xf numFmtId="0" fontId="3" fillId="0" borderId="0" xfId="0" applyFont="1" applyAlignment="1">
      <alignment horizontal="center"/>
    </xf>
    <xf numFmtId="0" fontId="5" fillId="0" borderId="0" xfId="0" quotePrefix="1" applyFont="1" applyAlignment="1">
      <alignment horizontal="center" vertical="top" wrapText="1"/>
    </xf>
    <xf numFmtId="0" fontId="20" fillId="3" borderId="0" xfId="16" applyFont="1" applyFill="1" applyAlignment="1">
      <alignment vertical="center"/>
    </xf>
    <xf numFmtId="0" fontId="3" fillId="0" borderId="0" xfId="16"/>
    <xf numFmtId="0" fontId="5" fillId="0" borderId="0" xfId="16" applyFont="1"/>
    <xf numFmtId="0" fontId="5" fillId="0" borderId="0" xfId="16" applyFont="1" applyAlignment="1">
      <alignment vertical="top" wrapText="1"/>
    </xf>
    <xf numFmtId="0" fontId="3" fillId="3" borderId="0" xfId="16" applyFill="1"/>
    <xf numFmtId="164" fontId="5" fillId="0" borderId="0" xfId="16" applyNumberFormat="1" applyFont="1" applyAlignment="1">
      <alignment horizontal="center"/>
    </xf>
    <xf numFmtId="0" fontId="3" fillId="0" borderId="0" xfId="16" applyAlignment="1">
      <alignment horizontal="center" vertical="top" wrapText="1"/>
    </xf>
    <xf numFmtId="0" fontId="6" fillId="0" borderId="0" xfId="14" applyAlignment="1" applyProtection="1"/>
    <xf numFmtId="11" fontId="0" fillId="0" borderId="0" xfId="0" applyNumberFormat="1"/>
    <xf numFmtId="0" fontId="7" fillId="0" borderId="0" xfId="0" applyFont="1"/>
    <xf numFmtId="0" fontId="35" fillId="0" borderId="0" xfId="24" applyFont="1" applyFill="1"/>
    <xf numFmtId="3" fontId="36" fillId="0" borderId="0" xfId="0" applyNumberFormat="1" applyFont="1"/>
    <xf numFmtId="166" fontId="36" fillId="0" borderId="0" xfId="3" applyNumberFormat="1" applyFont="1" applyFill="1"/>
    <xf numFmtId="166" fontId="32" fillId="0" borderId="0" xfId="3" applyNumberFormat="1" applyFont="1" applyFill="1"/>
    <xf numFmtId="0" fontId="32" fillId="0" borderId="0" xfId="0" applyFont="1"/>
    <xf numFmtId="166" fontId="5" fillId="7" borderId="0" xfId="3" applyNumberFormat="1" applyFont="1" applyFill="1" applyBorder="1" applyAlignment="1">
      <alignment horizontal="center"/>
    </xf>
    <xf numFmtId="1" fontId="5" fillId="7" borderId="0" xfId="0" applyNumberFormat="1" applyFont="1" applyFill="1" applyAlignment="1">
      <alignment horizontal="center"/>
    </xf>
    <xf numFmtId="49" fontId="5" fillId="0" borderId="0" xfId="3" applyNumberFormat="1" applyFont="1" applyAlignment="1">
      <alignment horizontal="right"/>
    </xf>
    <xf numFmtId="0" fontId="3" fillId="7" borderId="0" xfId="0" applyFont="1" applyFill="1"/>
    <xf numFmtId="1" fontId="5" fillId="0" borderId="0" xfId="0" applyNumberFormat="1" applyFont="1" applyAlignment="1">
      <alignment horizontal="left"/>
    </xf>
    <xf numFmtId="165" fontId="5" fillId="0" borderId="0" xfId="0" applyNumberFormat="1" applyFont="1"/>
    <xf numFmtId="0" fontId="0" fillId="0" borderId="0" xfId="0" applyAlignment="1">
      <alignment wrapText="1"/>
    </xf>
    <xf numFmtId="3" fontId="0" fillId="0" borderId="0" xfId="0" applyNumberFormat="1" applyAlignment="1">
      <alignment horizontal="center"/>
    </xf>
    <xf numFmtId="0" fontId="20" fillId="3" borderId="0" xfId="0" applyFont="1" applyFill="1" applyAlignment="1">
      <alignment horizontal="left" vertical="center"/>
    </xf>
    <xf numFmtId="0" fontId="0" fillId="0" borderId="0" xfId="0" applyAlignment="1">
      <alignment horizontal="left"/>
    </xf>
    <xf numFmtId="0" fontId="3" fillId="0" borderId="0" xfId="0" applyFont="1" applyAlignment="1">
      <alignment horizontal="center" wrapText="1"/>
    </xf>
    <xf numFmtId="165" fontId="0" fillId="0" borderId="0" xfId="17" applyNumberFormat="1" applyFont="1" applyBorder="1"/>
    <xf numFmtId="0" fontId="33" fillId="0" borderId="0" xfId="0" quotePrefix="1" applyFont="1" applyAlignment="1">
      <alignment horizontal="left" vertical="center"/>
    </xf>
    <xf numFmtId="0" fontId="34" fillId="0" borderId="0" xfId="0" quotePrefix="1" applyFont="1" applyAlignment="1">
      <alignment horizontal="left" vertical="center"/>
    </xf>
    <xf numFmtId="172" fontId="5" fillId="0" borderId="0" xfId="0" applyNumberFormat="1" applyFont="1" applyAlignment="1">
      <alignment horizontal="center"/>
    </xf>
    <xf numFmtId="0" fontId="5" fillId="6" borderId="0" xfId="0" applyFont="1" applyFill="1"/>
    <xf numFmtId="0" fontId="5" fillId="0" borderId="0" xfId="0" quotePrefix="1" applyFont="1"/>
    <xf numFmtId="0" fontId="3" fillId="0" borderId="0" xfId="0" quotePrefix="1" applyFont="1"/>
    <xf numFmtId="165" fontId="5" fillId="0" borderId="0" xfId="0" applyNumberFormat="1" applyFont="1" applyAlignment="1">
      <alignment horizontal="center"/>
    </xf>
    <xf numFmtId="165" fontId="0" fillId="0" borderId="0" xfId="0" applyNumberFormat="1"/>
    <xf numFmtId="164" fontId="0" fillId="0" borderId="0" xfId="0" applyNumberFormat="1"/>
    <xf numFmtId="0" fontId="0" fillId="7" borderId="0" xfId="0" applyFill="1" applyAlignment="1">
      <alignment horizontal="center"/>
    </xf>
    <xf numFmtId="0" fontId="5" fillId="7" borderId="0" xfId="0" applyFont="1" applyFill="1"/>
    <xf numFmtId="166" fontId="0" fillId="7" borderId="0" xfId="0" applyNumberFormat="1" applyFill="1"/>
    <xf numFmtId="1" fontId="0" fillId="7" borderId="0" xfId="0" applyNumberFormat="1" applyFill="1"/>
    <xf numFmtId="0" fontId="5" fillId="0" borderId="0" xfId="0" applyFont="1" applyAlignment="1">
      <alignment horizontal="left" wrapText="1"/>
    </xf>
    <xf numFmtId="0" fontId="29" fillId="0" borderId="0" xfId="0" applyFont="1" applyAlignment="1">
      <alignment horizontal="left" vertical="center" wrapText="1"/>
    </xf>
    <xf numFmtId="0" fontId="5" fillId="0" borderId="4" xfId="0" applyFont="1" applyBorder="1" applyAlignment="1">
      <alignment horizontal="center" vertical="top" wrapText="1"/>
    </xf>
    <xf numFmtId="0" fontId="23" fillId="3" borderId="0" xfId="0" applyFont="1" applyFill="1" applyAlignment="1">
      <alignment horizontal="left" vertical="center"/>
    </xf>
    <xf numFmtId="0" fontId="3" fillId="0" borderId="0" xfId="0" applyFont="1" applyAlignment="1">
      <alignment horizontal="left" wrapText="1"/>
    </xf>
    <xf numFmtId="0" fontId="5" fillId="0" borderId="0" xfId="0" applyFont="1" applyAlignment="1">
      <alignment horizontal="left" vertical="center"/>
    </xf>
    <xf numFmtId="164" fontId="5" fillId="0" borderId="0" xfId="0" applyNumberFormat="1" applyFont="1" applyAlignment="1">
      <alignment horizontal="center" vertical="center"/>
    </xf>
    <xf numFmtId="164" fontId="5" fillId="0" borderId="0" xfId="0" applyNumberFormat="1" applyFont="1" applyAlignment="1">
      <alignment horizontal="center" vertical="center" wrapText="1"/>
    </xf>
    <xf numFmtId="0" fontId="5" fillId="0" borderId="8" xfId="0" applyFont="1" applyBorder="1" applyAlignment="1">
      <alignment horizontal="center" vertical="top" wrapText="1"/>
    </xf>
    <xf numFmtId="10" fontId="54" fillId="0" borderId="0" xfId="17" applyNumberFormat="1" applyFont="1" applyAlignment="1">
      <alignment horizontal="center"/>
    </xf>
    <xf numFmtId="0" fontId="20"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wrapText="1"/>
    </xf>
    <xf numFmtId="0" fontId="29" fillId="0" borderId="0" xfId="0" applyFont="1" applyAlignment="1">
      <alignment vertical="center"/>
    </xf>
    <xf numFmtId="0" fontId="32" fillId="0" borderId="0" xfId="0" applyFont="1" applyAlignment="1">
      <alignment vertical="center"/>
    </xf>
    <xf numFmtId="0" fontId="31" fillId="0" borderId="0" xfId="0" applyFont="1" applyAlignment="1">
      <alignment vertical="center"/>
    </xf>
    <xf numFmtId="0" fontId="29" fillId="0" borderId="0" xfId="14" applyFont="1" applyFill="1" applyBorder="1" applyAlignment="1" applyProtection="1">
      <alignment vertical="center"/>
    </xf>
    <xf numFmtId="0" fontId="55" fillId="0" borderId="0" xfId="14" applyFont="1" applyFill="1" applyBorder="1" applyAlignment="1" applyProtection="1">
      <alignment vertical="center"/>
    </xf>
    <xf numFmtId="165" fontId="5" fillId="0" borderId="0" xfId="17" applyNumberFormat="1" applyFont="1" applyFill="1" applyBorder="1"/>
    <xf numFmtId="0" fontId="5" fillId="0" borderId="0" xfId="16" applyFont="1" applyAlignment="1">
      <alignment horizontal="center" vertical="top" wrapText="1"/>
    </xf>
    <xf numFmtId="0" fontId="5" fillId="0" borderId="0" xfId="16" applyFont="1" applyAlignment="1">
      <alignment horizontal="center" vertical="top"/>
    </xf>
    <xf numFmtId="0" fontId="5" fillId="8" borderId="0" xfId="0" applyFont="1" applyFill="1" applyAlignment="1">
      <alignment horizontal="center"/>
    </xf>
    <xf numFmtId="1" fontId="5" fillId="0" borderId="0" xfId="0" applyNumberFormat="1" applyFont="1" applyAlignment="1">
      <alignment horizontal="center" vertical="center" wrapText="1"/>
    </xf>
    <xf numFmtId="1" fontId="5" fillId="0" borderId="0" xfId="0" applyNumberFormat="1" applyFont="1" applyAlignment="1">
      <alignment horizontal="center" vertical="center"/>
    </xf>
    <xf numFmtId="1" fontId="0" fillId="0" borderId="0" xfId="17" applyNumberFormat="1" applyFont="1" applyFill="1" applyBorder="1" applyAlignment="1">
      <alignment horizontal="center"/>
    </xf>
    <xf numFmtId="0" fontId="30" fillId="0" borderId="0" xfId="0" applyFont="1" applyAlignment="1">
      <alignment horizontal="center"/>
    </xf>
    <xf numFmtId="1" fontId="30" fillId="0" borderId="0" xfId="0" applyNumberFormat="1" applyFont="1" applyAlignment="1">
      <alignment horizontal="center"/>
    </xf>
    <xf numFmtId="164" fontId="30" fillId="0" borderId="0" xfId="0" applyNumberFormat="1" applyFont="1" applyAlignment="1">
      <alignment horizontal="center"/>
    </xf>
    <xf numFmtId="165" fontId="30" fillId="0" borderId="0" xfId="17" applyNumberFormat="1" applyFont="1" applyFill="1" applyBorder="1" applyAlignment="1">
      <alignment horizontal="center"/>
    </xf>
    <xf numFmtId="1" fontId="30" fillId="0" borderId="0" xfId="17" applyNumberFormat="1" applyFont="1" applyFill="1" applyBorder="1" applyAlignment="1">
      <alignment horizontal="center"/>
    </xf>
    <xf numFmtId="0" fontId="30" fillId="0" borderId="0" xfId="0" applyFont="1" applyAlignment="1">
      <alignment horizontal="center" vertical="center" wrapText="1"/>
    </xf>
    <xf numFmtId="2" fontId="5" fillId="0" borderId="0" xfId="0" applyNumberFormat="1" applyFont="1" applyAlignment="1">
      <alignment horizontal="center" vertical="center" wrapText="1"/>
    </xf>
    <xf numFmtId="0" fontId="0" fillId="0" borderId="0" xfId="0" applyAlignment="1">
      <alignment horizontal="center" wrapText="1"/>
    </xf>
    <xf numFmtId="9" fontId="0" fillId="0" borderId="0" xfId="17" applyFont="1" applyFill="1" applyBorder="1" applyAlignment="1">
      <alignment horizontal="center"/>
    </xf>
    <xf numFmtId="0" fontId="25" fillId="3" borderId="0" xfId="0" applyFont="1" applyFill="1" applyAlignment="1">
      <alignment horizontal="left" vertical="center"/>
    </xf>
    <xf numFmtId="0" fontId="20" fillId="0" borderId="0" xfId="0" applyFont="1" applyAlignment="1">
      <alignment horizontal="center" vertical="center"/>
    </xf>
    <xf numFmtId="165" fontId="3" fillId="0" borderId="0" xfId="17" applyNumberFormat="1" applyFont="1"/>
    <xf numFmtId="0" fontId="5" fillId="0" borderId="0" xfId="0" applyFont="1" applyAlignment="1">
      <alignment vertical="top"/>
    </xf>
    <xf numFmtId="1" fontId="0" fillId="0" borderId="0" xfId="0" applyNumberFormat="1" applyAlignment="1">
      <alignment vertical="center"/>
    </xf>
    <xf numFmtId="0" fontId="5" fillId="6" borderId="0" xfId="0" applyFont="1" applyFill="1" applyAlignment="1">
      <alignment vertical="center"/>
    </xf>
    <xf numFmtId="0" fontId="24" fillId="3" borderId="0" xfId="0" applyFont="1" applyFill="1"/>
    <xf numFmtId="10" fontId="0" fillId="0" borderId="0" xfId="17" applyNumberFormat="1" applyFont="1" applyBorder="1"/>
    <xf numFmtId="173" fontId="0" fillId="0" borderId="0" xfId="17" applyNumberFormat="1" applyFont="1" applyBorder="1"/>
    <xf numFmtId="166" fontId="0" fillId="0" borderId="0" xfId="3" applyNumberFormat="1" applyFont="1" applyFill="1" applyBorder="1"/>
    <xf numFmtId="0" fontId="56" fillId="0" borderId="0" xfId="0" applyFont="1"/>
    <xf numFmtId="166" fontId="0" fillId="0" borderId="0" xfId="3" applyNumberFormat="1" applyFont="1" applyFill="1" applyBorder="1" applyAlignment="1"/>
    <xf numFmtId="166" fontId="0" fillId="0" borderId="0" xfId="3" applyNumberFormat="1" applyFont="1" applyFill="1" applyBorder="1" applyAlignment="1">
      <alignment horizontal="center"/>
    </xf>
    <xf numFmtId="1" fontId="0" fillId="0" borderId="0" xfId="17" applyNumberFormat="1" applyFont="1"/>
    <xf numFmtId="0" fontId="3" fillId="0" borderId="0" xfId="0" applyFont="1" applyAlignment="1">
      <alignment horizontal="left" vertical="top" wrapText="1"/>
    </xf>
    <xf numFmtId="3" fontId="0" fillId="0" borderId="0" xfId="0" applyNumberFormat="1" applyAlignment="1">
      <alignment horizontal="center" vertical="top"/>
    </xf>
    <xf numFmtId="166" fontId="5" fillId="0" borderId="0" xfId="0" applyNumberFormat="1" applyFont="1"/>
    <xf numFmtId="0" fontId="30" fillId="26" borderId="0" xfId="43" applyFont="1"/>
    <xf numFmtId="2" fontId="30" fillId="26" borderId="0" xfId="43" applyNumberFormat="1" applyFont="1"/>
    <xf numFmtId="1" fontId="30" fillId="26" borderId="0" xfId="43" applyNumberFormat="1" applyFont="1"/>
    <xf numFmtId="0" fontId="57" fillId="26" borderId="0" xfId="43" applyFont="1"/>
    <xf numFmtId="164" fontId="5" fillId="0" borderId="0" xfId="0" applyNumberFormat="1" applyFont="1"/>
    <xf numFmtId="0" fontId="5" fillId="0" borderId="0" xfId="0" quotePrefix="1" applyFont="1" applyAlignment="1">
      <alignment horizontal="left" vertical="center" wrapText="1"/>
    </xf>
    <xf numFmtId="0" fontId="5" fillId="0" borderId="0" xfId="0" quotePrefix="1" applyFont="1" applyAlignment="1">
      <alignment horizontal="center" vertical="center" wrapText="1"/>
    </xf>
    <xf numFmtId="0" fontId="5" fillId="0" borderId="0" xfId="0" quotePrefix="1" applyFont="1" applyAlignment="1">
      <alignment horizontal="center" vertical="center"/>
    </xf>
    <xf numFmtId="0" fontId="5" fillId="0" borderId="0" xfId="0" quotePrefix="1" applyFont="1" applyAlignment="1">
      <alignment horizontal="left" vertical="center"/>
    </xf>
    <xf numFmtId="3" fontId="5" fillId="0" borderId="0" xfId="0" applyNumberFormat="1" applyFont="1" applyAlignment="1">
      <alignment horizontal="center" vertical="center"/>
    </xf>
    <xf numFmtId="0" fontId="58" fillId="3" borderId="0" xfId="14" applyFont="1" applyFill="1" applyAlignment="1" applyProtection="1">
      <alignment vertical="center"/>
    </xf>
    <xf numFmtId="0" fontId="26" fillId="0" borderId="0" xfId="0" applyFont="1"/>
    <xf numFmtId="0" fontId="26" fillId="3" borderId="0" xfId="0" applyFont="1" applyFill="1"/>
    <xf numFmtId="3" fontId="5" fillId="0" borderId="0" xfId="0" applyNumberFormat="1" applyFont="1"/>
    <xf numFmtId="165" fontId="5" fillId="0" borderId="0" xfId="17" applyNumberFormat="1" applyFont="1" applyAlignment="1">
      <alignment horizontal="right"/>
    </xf>
    <xf numFmtId="164" fontId="30" fillId="26" borderId="0" xfId="43" applyNumberFormat="1" applyFont="1"/>
    <xf numFmtId="1" fontId="5" fillId="8" borderId="0" xfId="0" applyNumberFormat="1" applyFont="1" applyFill="1" applyAlignment="1">
      <alignment horizontal="center"/>
    </xf>
    <xf numFmtId="0" fontId="59" fillId="0" borderId="0" xfId="16" applyFont="1"/>
    <xf numFmtId="164" fontId="5" fillId="0" borderId="0" xfId="0" applyNumberFormat="1" applyFont="1" applyAlignment="1">
      <alignment horizontal="right"/>
    </xf>
    <xf numFmtId="0" fontId="5" fillId="0" borderId="0" xfId="0" applyFont="1" applyAlignment="1">
      <alignment horizontal="right"/>
    </xf>
    <xf numFmtId="0" fontId="5" fillId="44" borderId="0" xfId="0" applyFont="1" applyFill="1"/>
    <xf numFmtId="0" fontId="5" fillId="44" borderId="0" xfId="0" applyFont="1" applyFill="1" applyAlignment="1">
      <alignment horizontal="center"/>
    </xf>
    <xf numFmtId="2" fontId="5" fillId="44" borderId="0" xfId="0" applyNumberFormat="1" applyFont="1" applyFill="1"/>
    <xf numFmtId="1" fontId="5" fillId="44" borderId="0" xfId="0" applyNumberFormat="1" applyFont="1" applyFill="1"/>
    <xf numFmtId="2" fontId="5" fillId="44" borderId="0" xfId="0" applyNumberFormat="1" applyFont="1" applyFill="1" applyAlignment="1">
      <alignment horizontal="center"/>
    </xf>
    <xf numFmtId="0" fontId="5" fillId="44" borderId="0" xfId="0" applyFont="1" applyFill="1" applyAlignment="1">
      <alignment horizontal="left"/>
    </xf>
    <xf numFmtId="1" fontId="0" fillId="5" borderId="0" xfId="0" applyNumberFormat="1" applyFill="1"/>
    <xf numFmtId="0" fontId="5" fillId="5" borderId="0" xfId="0" applyFont="1" applyFill="1"/>
    <xf numFmtId="0" fontId="5" fillId="44" borderId="0" xfId="0" applyFont="1" applyFill="1" applyAlignment="1">
      <alignment horizontal="left" vertical="center"/>
    </xf>
    <xf numFmtId="164" fontId="5" fillId="44" borderId="0" xfId="0" applyNumberFormat="1" applyFont="1" applyFill="1"/>
    <xf numFmtId="0" fontId="24" fillId="3" borderId="0" xfId="0" applyFont="1" applyFill="1" applyAlignment="1">
      <alignment horizontal="center"/>
    </xf>
    <xf numFmtId="0" fontId="60" fillId="0" borderId="0" xfId="0" applyFont="1"/>
    <xf numFmtId="9" fontId="0" fillId="0" borderId="0" xfId="17" applyFont="1"/>
    <xf numFmtId="9" fontId="0" fillId="0" borderId="0" xfId="17" applyFont="1" applyAlignment="1">
      <alignment vertical="center"/>
    </xf>
    <xf numFmtId="0" fontId="6" fillId="3" borderId="0" xfId="14" applyFill="1" applyAlignment="1" applyProtection="1">
      <alignment vertical="center"/>
    </xf>
    <xf numFmtId="0" fontId="26" fillId="0" borderId="0" xfId="0" applyFont="1" applyAlignment="1">
      <alignment horizontal="center" vertical="center"/>
    </xf>
    <xf numFmtId="0" fontId="0" fillId="0" borderId="0" xfId="0" applyAlignment="1">
      <alignment horizontal="center" vertical="center"/>
    </xf>
    <xf numFmtId="0" fontId="0" fillId="0" borderId="0" xfId="0"/>
    <xf numFmtId="0" fontId="28" fillId="3" borderId="0" xfId="14" applyFont="1" applyFill="1" applyBorder="1" applyAlignment="1" applyProtection="1">
      <alignment horizontal="left" vertical="center"/>
    </xf>
    <xf numFmtId="0" fontId="28" fillId="3" borderId="0" xfId="14" applyFont="1" applyFill="1" applyAlignment="1" applyProtection="1">
      <alignment vertical="center"/>
    </xf>
    <xf numFmtId="0" fontId="28" fillId="3" borderId="0" xfId="14" applyFont="1" applyFill="1" applyBorder="1" applyAlignment="1" applyProtection="1">
      <alignment vertical="center"/>
    </xf>
    <xf numFmtId="0" fontId="6" fillId="3" borderId="0" xfId="14" applyFill="1" applyBorder="1" applyAlignment="1" applyProtection="1">
      <alignment vertical="center"/>
    </xf>
    <xf numFmtId="0" fontId="20" fillId="3" borderId="0" xfId="0" applyFont="1" applyFill="1" applyAlignment="1">
      <alignment horizontal="center" vertical="center"/>
    </xf>
    <xf numFmtId="0" fontId="5" fillId="0" borderId="0" xfId="0" applyFont="1" applyAlignment="1">
      <alignment horizontal="center"/>
    </xf>
    <xf numFmtId="0" fontId="28" fillId="3" borderId="0" xfId="14" applyFont="1" applyFill="1" applyAlignment="1" applyProtection="1">
      <alignment horizontal="center" vertical="center"/>
    </xf>
    <xf numFmtId="0" fontId="28" fillId="3" borderId="0" xfId="14" applyFont="1" applyFill="1" applyBorder="1" applyAlignment="1" applyProtection="1">
      <alignment horizontal="center" vertical="center"/>
    </xf>
    <xf numFmtId="0" fontId="0" fillId="10" borderId="0" xfId="0" quotePrefix="1" applyFill="1" applyAlignment="1">
      <alignment horizontal="center"/>
    </xf>
    <xf numFmtId="0" fontId="0" fillId="11" borderId="0" xfId="0" applyFill="1" applyAlignment="1">
      <alignment horizontal="center"/>
    </xf>
    <xf numFmtId="0" fontId="0" fillId="9" borderId="0" xfId="0" applyFill="1" applyAlignment="1">
      <alignment horizontal="center"/>
    </xf>
    <xf numFmtId="0" fontId="3" fillId="10" borderId="2" xfId="0" applyFont="1" applyFill="1" applyBorder="1" applyAlignment="1">
      <alignment horizontal="center"/>
    </xf>
    <xf numFmtId="0" fontId="0" fillId="10" borderId="6" xfId="0" quotePrefix="1" applyFill="1" applyBorder="1" applyAlignment="1">
      <alignment horizontal="center"/>
    </xf>
    <xf numFmtId="0" fontId="0" fillId="10" borderId="7" xfId="0" quotePrefix="1" applyFill="1" applyBorder="1" applyAlignment="1">
      <alignment horizontal="center"/>
    </xf>
    <xf numFmtId="0" fontId="3" fillId="4" borderId="2" xfId="0" applyFont="1"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30" fillId="0" borderId="0" xfId="0" applyFont="1" applyAlignment="1">
      <alignment horizontal="center" vertical="center" wrapText="1"/>
    </xf>
  </cellXfs>
  <cellStyles count="68">
    <cellStyle name="20% - Accent1" xfId="39" builtinId="30" customBuiltin="1"/>
    <cellStyle name="20% - Accent2" xfId="43" builtinId="34" customBuiltin="1"/>
    <cellStyle name="20% - Accent3" xfId="24" builtinId="38"/>
    <cellStyle name="20% - Accent3 2" xfId="66" xr:uid="{00000000-0005-0000-0000-000003000000}"/>
    <cellStyle name="20% - Accent4" xfId="50" builtinId="42" customBuiltin="1"/>
    <cellStyle name="20% - Accent5" xfId="54" builtinId="46" customBuiltin="1"/>
    <cellStyle name="20% - Accent6" xfId="58" builtinId="50" customBuiltin="1"/>
    <cellStyle name="40% - Accent1" xfId="40" builtinId="31" customBuiltin="1"/>
    <cellStyle name="40% - Accent2" xfId="44" builtinId="35" customBuiltin="1"/>
    <cellStyle name="40% - Accent3" xfId="47" builtinId="39" customBuiltin="1"/>
    <cellStyle name="40% - Accent4" xfId="51" builtinId="43" customBuiltin="1"/>
    <cellStyle name="40% - Accent5" xfId="55" builtinId="47" customBuiltin="1"/>
    <cellStyle name="40% - Accent6" xfId="59" builtinId="51" customBuiltin="1"/>
    <cellStyle name="60% - Accent1" xfId="41" builtinId="32" customBuiltin="1"/>
    <cellStyle name="60% - Accent2" xfId="45" builtinId="36" customBuiltin="1"/>
    <cellStyle name="60% - Accent3" xfId="48" builtinId="40" customBuiltin="1"/>
    <cellStyle name="60% - Accent4" xfId="52" builtinId="44" customBuiltin="1"/>
    <cellStyle name="60% - Accent5" xfId="56" builtinId="48" customBuiltin="1"/>
    <cellStyle name="60% - Accent6" xfId="60" builtinId="52" customBuiltin="1"/>
    <cellStyle name="Accent1" xfId="38" builtinId="29" customBuiltin="1"/>
    <cellStyle name="Accent2" xfId="42" builtinId="33" customBuiltin="1"/>
    <cellStyle name="Accent3" xfId="46" builtinId="37" customBuiltin="1"/>
    <cellStyle name="Accent4" xfId="49" builtinId="41" customBuiltin="1"/>
    <cellStyle name="Accent5" xfId="53" builtinId="45" customBuiltin="1"/>
    <cellStyle name="Accent6" xfId="57" builtinId="49" customBuiltin="1"/>
    <cellStyle name="Bad" xfId="29" builtinId="27" customBuiltin="1"/>
    <cellStyle name="Calculation" xfId="33" builtinId="22" customBuiltin="1"/>
    <cellStyle name="Changed" xfId="1" xr:uid="{00000000-0005-0000-0000-00001B000000}"/>
    <cellStyle name="Check Cell" xfId="35" builtinId="23" customBuiltin="1"/>
    <cellStyle name="ColHeading" xfId="2" xr:uid="{00000000-0005-0000-0000-00001D000000}"/>
    <cellStyle name="Comma" xfId="3" builtinId="3"/>
    <cellStyle name="Comma0" xfId="4" xr:uid="{00000000-0005-0000-0000-00001F000000}"/>
    <cellStyle name="Comma2" xfId="5" xr:uid="{00000000-0005-0000-0000-000020000000}"/>
    <cellStyle name="Currency0" xfId="6" xr:uid="{00000000-0005-0000-0000-000021000000}"/>
    <cellStyle name="Currency2" xfId="7" xr:uid="{00000000-0005-0000-0000-000022000000}"/>
    <cellStyle name="Date" xfId="8" xr:uid="{00000000-0005-0000-0000-000023000000}"/>
    <cellStyle name="Explanatory Text" xfId="37" builtinId="53" customBuiltin="1"/>
    <cellStyle name="Fixed" xfId="9" xr:uid="{00000000-0005-0000-0000-000025000000}"/>
    <cellStyle name="Good" xfId="28" builtinId="26" customBuiltin="1"/>
    <cellStyle name="Guesses" xfId="10" xr:uid="{00000000-0005-0000-0000-000027000000}"/>
    <cellStyle name="Heading" xfId="11" xr:uid="{00000000-0005-0000-0000-000028000000}"/>
    <cellStyle name="Heading 1" xfId="12" builtinId="16" customBuiltin="1"/>
    <cellStyle name="Heading 1 2" xfId="62" xr:uid="{00000000-0005-0000-0000-00002A000000}"/>
    <cellStyle name="Heading 2" xfId="13" builtinId="17" customBuiltin="1"/>
    <cellStyle name="Heading 2 2" xfId="63" xr:uid="{00000000-0005-0000-0000-00002C000000}"/>
    <cellStyle name="Heading 3" xfId="26" builtinId="18" customBuiltin="1"/>
    <cellStyle name="Heading 4" xfId="27" builtinId="19" customBuiltin="1"/>
    <cellStyle name="Hyperlink" xfId="14" builtinId="8"/>
    <cellStyle name="Hyperlink 2" xfId="67" xr:uid="{00000000-0005-0000-0000-000030000000}"/>
    <cellStyle name="Input" xfId="31" builtinId="20" customBuiltin="1"/>
    <cellStyle name="Linked Cell" xfId="34" builtinId="24" customBuiltin="1"/>
    <cellStyle name="N+(X)" xfId="15" xr:uid="{00000000-0005-0000-0000-000033000000}"/>
    <cellStyle name="Neutral" xfId="30" builtinId="28" customBuiltin="1"/>
    <cellStyle name="Normal" xfId="0" builtinId="0"/>
    <cellStyle name="Normal 2" xfId="16" xr:uid="{00000000-0005-0000-0000-000036000000}"/>
    <cellStyle name="Normal 3" xfId="61" xr:uid="{00000000-0005-0000-0000-000037000000}"/>
    <cellStyle name="Note 2" xfId="64" xr:uid="{00000000-0005-0000-0000-000038000000}"/>
    <cellStyle name="Output" xfId="32" builtinId="21" customBuiltin="1"/>
    <cellStyle name="Percent" xfId="17" builtinId="5"/>
    <cellStyle name="Percent2" xfId="18" xr:uid="{00000000-0005-0000-0000-00003B000000}"/>
    <cellStyle name="Style 1" xfId="19" xr:uid="{00000000-0005-0000-0000-00003C000000}"/>
    <cellStyle name="Sub Total" xfId="20" xr:uid="{00000000-0005-0000-0000-00003D000000}"/>
    <cellStyle name="Table Heading" xfId="21" xr:uid="{00000000-0005-0000-0000-00003E000000}"/>
    <cellStyle name="Title" xfId="25" builtinId="15" customBuiltin="1"/>
    <cellStyle name="Total" xfId="22" builtinId="25" customBuiltin="1"/>
    <cellStyle name="Total 2" xfId="65" xr:uid="{00000000-0005-0000-0000-000041000000}"/>
    <cellStyle name="Warning Text" xfId="36" builtinId="11" customBuiltin="1"/>
    <cellStyle name="Year" xfId="23" xr:uid="{00000000-0005-0000-0000-000043000000}"/>
  </cellStyles>
  <dxfs count="8">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202222"/>
      <rgbColor rgb="00E17B23"/>
      <rgbColor rgb="009BD5E9"/>
      <rgbColor rgb="0045B6DE"/>
      <rgbColor rgb="00434646"/>
      <rgbColor rgb="000093D3"/>
      <rgbColor rgb="00BDC1C1"/>
      <rgbColor rgb="00B3D14C"/>
      <rgbColor rgb="0066B134"/>
      <rgbColor rgb="00CCCC00"/>
      <rgbColor rgb="0000DE6F"/>
      <rgbColor rgb="0000B45A"/>
      <rgbColor rgb="0029A363"/>
      <rgbColor rgb="00005E5C"/>
      <rgbColor rgb="0081982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2DCDB"/>
      <color rgb="FF1967CC"/>
      <color rgb="FFFFFFCC"/>
      <color rgb="FFFFFF99"/>
      <color rgb="FF75CBF6"/>
      <color rgb="FFAADDFA"/>
      <color rgb="FF0093D3"/>
      <color rgb="FFFFFFFF"/>
      <color rgb="FF22B0F1"/>
      <color rgb="FFB3B8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www.transport.govt.nz/copyright-and-disclaimer/" TargetMode="External"/></Relationships>
</file>

<file path=xl/drawings/drawing1.xml><?xml version="1.0" encoding="utf-8"?>
<xdr:wsDr xmlns:xdr="http://schemas.openxmlformats.org/drawingml/2006/spreadsheetDrawing" xmlns:a="http://schemas.openxmlformats.org/drawingml/2006/main">
  <xdr:twoCellAnchor>
    <xdr:from>
      <xdr:col>0</xdr:col>
      <xdr:colOff>120650</xdr:colOff>
      <xdr:row>63</xdr:row>
      <xdr:rowOff>101600</xdr:rowOff>
    </xdr:from>
    <xdr:to>
      <xdr:col>2</xdr:col>
      <xdr:colOff>1492250</xdr:colOff>
      <xdr:row>80</xdr:row>
      <xdr:rowOff>6350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000-000002000000}"/>
            </a:ext>
          </a:extLst>
        </xdr:cNvPr>
        <xdr:cNvSpPr txBox="1"/>
      </xdr:nvSpPr>
      <xdr:spPr>
        <a:xfrm>
          <a:off x="120650" y="10534650"/>
          <a:ext cx="7004050" cy="260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eaLnBrk="0" hangingPunct="0"/>
          <a:r>
            <a:rPr lang="en-NZ" sz="1100">
              <a:solidFill>
                <a:schemeClr val="dk1"/>
              </a:solidFill>
              <a:latin typeface="+mn-lt"/>
              <a:ea typeface="+mn-ea"/>
              <a:cs typeface="+mn-cs"/>
            </a:rPr>
            <a:t>Disclaimer:</a:t>
          </a:r>
        </a:p>
        <a:p>
          <a:pPr eaLnBrk="0" hangingPunct="0"/>
          <a:r>
            <a:rPr lang="en-NZ" sz="1100">
              <a:solidFill>
                <a:schemeClr val="dk1"/>
              </a:solidFill>
              <a:latin typeface="+mn-lt"/>
              <a:ea typeface="+mn-ea"/>
              <a:cs typeface="+mn-cs"/>
            </a:rPr>
            <a:t> </a:t>
          </a:r>
        </a:p>
        <a:p>
          <a:pPr eaLnBrk="0" hangingPunct="0"/>
          <a:r>
            <a:rPr lang="en-NZ" sz="1100">
              <a:solidFill>
                <a:schemeClr val="dk1"/>
              </a:solidFill>
              <a:latin typeface="+mn-lt"/>
              <a:ea typeface="+mn-ea"/>
              <a:cs typeface="+mn-cs"/>
            </a:rPr>
            <a:t>All reasonable endeavours have been made to ensure the accuracy of the information in this report. However, the information is provided without warranties of any kind including accuracy, completeness, timeliness or fitness for any particular purpose.</a:t>
          </a:r>
        </a:p>
        <a:p>
          <a:pPr eaLnBrk="0" hangingPunct="0"/>
          <a:r>
            <a:rPr lang="en-NZ" sz="1100">
              <a:solidFill>
                <a:schemeClr val="dk1"/>
              </a:solidFill>
              <a:latin typeface="+mn-lt"/>
              <a:ea typeface="+mn-ea"/>
              <a:cs typeface="+mn-cs"/>
            </a:rPr>
            <a:t>The Ministry of Transport excludes liability for any loss, damage or expense, direct or indirect, and however caused, whether through negligence or otherwise, resulting from any person or organisation’s use of, or reliance on, the information provided in this report.</a:t>
          </a:r>
        </a:p>
        <a:p>
          <a:pPr eaLnBrk="0" hangingPunct="0"/>
          <a:r>
            <a:rPr lang="en-NZ" sz="1100">
              <a:solidFill>
                <a:schemeClr val="dk1"/>
              </a:solidFill>
              <a:latin typeface="+mn-lt"/>
              <a:ea typeface="+mn-ea"/>
              <a:cs typeface="+mn-cs"/>
            </a:rPr>
            <a:t>Under the terms of the Creative Commons Attribution 4.0 International (BY) licence, this document, and the information contained within it, can be copied, distributed, adapted and otherwise used provided that:</a:t>
          </a:r>
        </a:p>
        <a:p>
          <a:pPr lvl="0" eaLnBrk="0" hangingPunct="0"/>
          <a:r>
            <a:rPr lang="en-NZ" sz="1100">
              <a:solidFill>
                <a:schemeClr val="dk1"/>
              </a:solidFill>
              <a:latin typeface="+mn-lt"/>
              <a:ea typeface="+mn-ea"/>
              <a:cs typeface="+mn-cs"/>
            </a:rPr>
            <a:t> - the Ministry of Transport is attributed as the source of the material</a:t>
          </a:r>
        </a:p>
        <a:p>
          <a:pPr lvl="0" eaLnBrk="0" hangingPunct="0"/>
          <a:r>
            <a:rPr lang="en-NZ" sz="1100">
              <a:solidFill>
                <a:schemeClr val="dk1"/>
              </a:solidFill>
              <a:latin typeface="+mn-lt"/>
              <a:ea typeface="+mn-ea"/>
              <a:cs typeface="+mn-cs"/>
            </a:rPr>
            <a:t> - the material is not misrepresented or distorted through selective use of the material</a:t>
          </a:r>
        </a:p>
        <a:p>
          <a:pPr lvl="0" eaLnBrk="0" hangingPunct="0"/>
          <a:r>
            <a:rPr lang="en-NZ" sz="1100">
              <a:solidFill>
                <a:schemeClr val="dk1"/>
              </a:solidFill>
              <a:latin typeface="+mn-lt"/>
              <a:ea typeface="+mn-ea"/>
              <a:cs typeface="+mn-cs"/>
            </a:rPr>
            <a:t> - images contained in the material are not copied</a:t>
          </a:r>
        </a:p>
        <a:p>
          <a:pPr eaLnBrk="0" hangingPunct="0"/>
          <a:r>
            <a:rPr lang="en-NZ" sz="1100">
              <a:solidFill>
                <a:schemeClr val="dk1"/>
              </a:solidFill>
              <a:latin typeface="+mn-lt"/>
              <a:ea typeface="+mn-ea"/>
              <a:cs typeface="+mn-cs"/>
            </a:rPr>
            <a:t>The terms of the Ministry’s </a:t>
          </a:r>
          <a:r>
            <a:rPr lang="en-NZ" sz="1100" u="sng">
              <a:solidFill>
                <a:schemeClr val="dk1"/>
              </a:solidFill>
              <a:latin typeface="+mn-lt"/>
              <a:ea typeface="+mn-ea"/>
              <a:cs typeface="+mn-cs"/>
              <a:hlinkClick xmlns:r="http://schemas.openxmlformats.org/officeDocument/2006/relationships" r:id=""/>
            </a:rPr>
            <a:t>Copyright and disclaimer</a:t>
          </a:r>
          <a:r>
            <a:rPr lang="en-NZ" sz="1100">
              <a:solidFill>
                <a:schemeClr val="dk1"/>
              </a:solidFill>
              <a:latin typeface="+mn-lt"/>
              <a:ea typeface="+mn-ea"/>
              <a:cs typeface="+mn-cs"/>
            </a:rPr>
            <a:t> apply.</a:t>
          </a:r>
        </a:p>
        <a:p>
          <a:endParaRPr lang="en-NZ" sz="1100"/>
        </a:p>
      </xdr:txBody>
    </xdr:sp>
    <xdr:clientData/>
  </xdr:twoCellAnchor>
  <xdr:oneCellAnchor>
    <xdr:from>
      <xdr:col>0</xdr:col>
      <xdr:colOff>107949</xdr:colOff>
      <xdr:row>58</xdr:row>
      <xdr:rowOff>44449</xdr:rowOff>
    </xdr:from>
    <xdr:ext cx="6734176" cy="953466"/>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07949" y="9904729"/>
          <a:ext cx="6734176" cy="953466"/>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eaLnBrk="0" hangingPunct="0"/>
          <a:r>
            <a:rPr lang="en-NZ" sz="1100">
              <a:solidFill>
                <a:schemeClr val="tx1"/>
              </a:solidFill>
              <a:effectLst/>
              <a:latin typeface="+mn-lt"/>
              <a:ea typeface="+mn-ea"/>
              <a:cs typeface="+mn-cs"/>
            </a:rPr>
            <a:t>Enquires relating to this data may be directed to the Ministry of Transport, PO Box 3175, Wellington, or by email on </a:t>
          </a:r>
          <a:r>
            <a:rPr lang="en-NZ" sz="1100" b="1">
              <a:solidFill>
                <a:schemeClr val="tx1"/>
              </a:solidFill>
              <a:effectLst/>
              <a:latin typeface="+mn-lt"/>
              <a:ea typeface="+mn-ea"/>
              <a:cs typeface="+mn-cs"/>
            </a:rPr>
            <a:t>info@transport.govt.nz</a:t>
          </a:r>
          <a:endParaRPr lang="en-NZ">
            <a:effectLst/>
          </a:endParaRPr>
        </a:p>
        <a:p>
          <a:pPr eaLnBrk="0" hangingPunct="0"/>
          <a:r>
            <a:rPr lang="en-NZ" sz="1100">
              <a:solidFill>
                <a:schemeClr val="tx1"/>
              </a:solidFill>
              <a:effectLst/>
              <a:latin typeface="+mn-lt"/>
              <a:ea typeface="+mn-ea"/>
              <a:cs typeface="+mn-cs"/>
            </a:rPr>
            <a:t>For more information about vehicles and travel check out </a:t>
          </a:r>
        </a:p>
        <a:p>
          <a:pPr eaLnBrk="0" hangingPunct="0"/>
          <a:r>
            <a:rPr lang="en-NZ">
              <a:hlinkClick xmlns:r="http://schemas.openxmlformats.org/officeDocument/2006/relationships" r:id=""/>
            </a:rPr>
            <a:t>https://www.transport.govt.nz/statistics-and-insights/fleet-statistics/</a:t>
          </a:r>
          <a:endParaRPr lang="en-NZ"/>
        </a:p>
        <a:p>
          <a:endParaRPr lang="en-NZ"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12</xdr:col>
      <xdr:colOff>9525</xdr:colOff>
      <xdr:row>28</xdr:row>
      <xdr:rowOff>9525</xdr:rowOff>
    </xdr:from>
    <xdr:to>
      <xdr:col>17</xdr:col>
      <xdr:colOff>333375</xdr:colOff>
      <xdr:row>30</xdr:row>
      <xdr:rowOff>95250</xdr:rowOff>
    </xdr:to>
    <xdr:sp macro="" textlink="">
      <xdr:nvSpPr>
        <xdr:cNvPr id="2" name="TextBox 1">
          <a:extLst>
            <a:ext uri="{FF2B5EF4-FFF2-40B4-BE49-F238E27FC236}">
              <a16:creationId xmlns:a16="http://schemas.microsoft.com/office/drawing/2014/main" id="{FDE8CE0D-5E80-408B-9722-E16DB462D678}"/>
            </a:ext>
          </a:extLst>
        </xdr:cNvPr>
        <xdr:cNvSpPr txBox="1"/>
      </xdr:nvSpPr>
      <xdr:spPr>
        <a:xfrm>
          <a:off x="6172200" y="4981575"/>
          <a:ext cx="3000375" cy="409575"/>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1000" b="0" i="0" u="none" strike="noStrike">
              <a:solidFill>
                <a:schemeClr val="tx1"/>
              </a:solidFill>
              <a:latin typeface="Arial" panose="020B0604020202020204" pitchFamily="34" charset="0"/>
              <a:cs typeface="Arial" panose="020B0604020202020204" pitchFamily="34" charset="0"/>
            </a:rPr>
            <a:t>All figures on this table are only for the vehicles with an internal combustion engine.</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7620</xdr:colOff>
      <xdr:row>27</xdr:row>
      <xdr:rowOff>158115</xdr:rowOff>
    </xdr:from>
    <xdr:ext cx="4067175" cy="387286"/>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598170" y="4825365"/>
          <a:ext cx="4067175" cy="387286"/>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NZ" sz="1000">
              <a:latin typeface="Arial" panose="020B0604020202020204" pitchFamily="34" charset="0"/>
              <a:cs typeface="Arial" panose="020B0604020202020204" pitchFamily="34" charset="0"/>
            </a:rPr>
            <a:t>This report is based on vehicle either first registered in the indicated period, or last registered (ie reregistered) in that period</a:t>
          </a:r>
        </a:p>
      </xdr:txBody>
    </xdr:sp>
    <xdr:clientData/>
  </xdr:oneCellAnchor>
  <xdr:twoCellAnchor>
    <xdr:from>
      <xdr:col>1</xdr:col>
      <xdr:colOff>0</xdr:colOff>
      <xdr:row>32</xdr:row>
      <xdr:rowOff>9525</xdr:rowOff>
    </xdr:from>
    <xdr:to>
      <xdr:col>6</xdr:col>
      <xdr:colOff>47625</xdr:colOff>
      <xdr:row>34</xdr:row>
      <xdr:rowOff>95250</xdr:rowOff>
    </xdr:to>
    <xdr:sp macro="" textlink="">
      <xdr:nvSpPr>
        <xdr:cNvPr id="4" name="TextBox 3">
          <a:extLst>
            <a:ext uri="{FF2B5EF4-FFF2-40B4-BE49-F238E27FC236}">
              <a16:creationId xmlns:a16="http://schemas.microsoft.com/office/drawing/2014/main" id="{55BC0CCE-E5EF-4F0B-B779-8C2EC0F716FB}"/>
            </a:ext>
          </a:extLst>
        </xdr:cNvPr>
        <xdr:cNvSpPr txBox="1"/>
      </xdr:nvSpPr>
      <xdr:spPr>
        <a:xfrm>
          <a:off x="590550" y="5486400"/>
          <a:ext cx="3000375" cy="409575"/>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1000" b="0" i="0" u="none" strike="noStrike">
              <a:solidFill>
                <a:schemeClr val="tx1"/>
              </a:solidFill>
              <a:latin typeface="Arial" panose="020B0604020202020204" pitchFamily="34" charset="0"/>
              <a:cs typeface="Arial" panose="020B0604020202020204" pitchFamily="34" charset="0"/>
            </a:rPr>
            <a:t>All figures on this table are only for the vehicles with an internal combustion engine.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53</xdr:row>
      <xdr:rowOff>0</xdr:rowOff>
    </xdr:from>
    <xdr:to>
      <xdr:col>6</xdr:col>
      <xdr:colOff>47625</xdr:colOff>
      <xdr:row>55</xdr:row>
      <xdr:rowOff>85725</xdr:rowOff>
    </xdr:to>
    <xdr:sp macro="" textlink="">
      <xdr:nvSpPr>
        <xdr:cNvPr id="2" name="TextBox 1">
          <a:extLst>
            <a:ext uri="{FF2B5EF4-FFF2-40B4-BE49-F238E27FC236}">
              <a16:creationId xmlns:a16="http://schemas.microsoft.com/office/drawing/2014/main" id="{86342975-1A5E-4E25-8147-C0D0C6A89860}"/>
            </a:ext>
          </a:extLst>
        </xdr:cNvPr>
        <xdr:cNvSpPr txBox="1"/>
      </xdr:nvSpPr>
      <xdr:spPr>
        <a:xfrm>
          <a:off x="590550" y="8734425"/>
          <a:ext cx="3000375" cy="409575"/>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1000" b="0" i="0" u="none" strike="noStrike">
              <a:solidFill>
                <a:schemeClr val="tx1"/>
              </a:solidFill>
              <a:latin typeface="Arial" panose="020B0604020202020204" pitchFamily="34" charset="0"/>
              <a:cs typeface="Arial" panose="020B0604020202020204" pitchFamily="34" charset="0"/>
            </a:rPr>
            <a:t>All figures on this table are only for the vehicles with an internal combustion engine.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28</xdr:row>
      <xdr:rowOff>0</xdr:rowOff>
    </xdr:from>
    <xdr:to>
      <xdr:col>6</xdr:col>
      <xdr:colOff>47625</xdr:colOff>
      <xdr:row>30</xdr:row>
      <xdr:rowOff>85725</xdr:rowOff>
    </xdr:to>
    <xdr:sp macro="" textlink="">
      <xdr:nvSpPr>
        <xdr:cNvPr id="2" name="TextBox 1">
          <a:extLst>
            <a:ext uri="{FF2B5EF4-FFF2-40B4-BE49-F238E27FC236}">
              <a16:creationId xmlns:a16="http://schemas.microsoft.com/office/drawing/2014/main" id="{412F0AB1-1439-48CF-BC3B-FF0D38298146}"/>
            </a:ext>
          </a:extLst>
        </xdr:cNvPr>
        <xdr:cNvSpPr txBox="1"/>
      </xdr:nvSpPr>
      <xdr:spPr>
        <a:xfrm>
          <a:off x="590550" y="4924425"/>
          <a:ext cx="3000375" cy="409575"/>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1000" b="0" i="0" u="none" strike="noStrike">
              <a:solidFill>
                <a:schemeClr val="tx1"/>
              </a:solidFill>
              <a:latin typeface="Arial" panose="020B0604020202020204" pitchFamily="34" charset="0"/>
              <a:cs typeface="Arial" panose="020B0604020202020204" pitchFamily="34" charset="0"/>
            </a:rPr>
            <a:t>All figures on this table are only for the vehicles with an internal combustion engine.</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19</xdr:col>
      <xdr:colOff>590549</xdr:colOff>
      <xdr:row>2</xdr:row>
      <xdr:rowOff>9525</xdr:rowOff>
    </xdr:from>
    <xdr:ext cx="7381875" cy="1409700"/>
    <xdr:sp macro="" textlink="">
      <xdr:nvSpPr>
        <xdr:cNvPr id="2" name="TextBox 1">
          <a:extLst>
            <a:ext uri="{FF2B5EF4-FFF2-40B4-BE49-F238E27FC236}">
              <a16:creationId xmlns:a16="http://schemas.microsoft.com/office/drawing/2014/main" id="{00000000-0008-0000-1300-000002000000}"/>
            </a:ext>
          </a:extLst>
        </xdr:cNvPr>
        <xdr:cNvSpPr txBox="1"/>
      </xdr:nvSpPr>
      <xdr:spPr>
        <a:xfrm>
          <a:off x="11810999" y="638175"/>
          <a:ext cx="7381875" cy="1409700"/>
        </a:xfrm>
        <a:prstGeom prst="rect">
          <a:avLst/>
        </a:prstGeom>
        <a:solidFill>
          <a:srgbClr val="FFFFCC"/>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Z" sz="1100"/>
            <a:t>Note : scrappage has been established by finding vehicles active at the start of the year, but not active at the end of the year.</a:t>
          </a:r>
        </a:p>
        <a:p>
          <a:r>
            <a:rPr lang="en-NZ" sz="1100"/>
            <a:t>'Active means either currently licensed, or relicensing less than one year overdue.</a:t>
          </a:r>
        </a:p>
        <a:p>
          <a:endParaRPr lang="en-NZ" sz="1100"/>
        </a:p>
        <a:p>
          <a:r>
            <a:rPr lang="en-NZ" sz="1100"/>
            <a:t>The WoF based approach has not been used as it is overly drastic for establishing scrappage (a reasonable number of vehicles deemed inactive via outdated WoF/CoF eventually get a Wof/CoF).</a:t>
          </a:r>
        </a:p>
        <a:p>
          <a:endParaRPr lang="en-NZ" sz="1100"/>
        </a:p>
        <a:p>
          <a:r>
            <a:rPr lang="en-NZ" sz="1100"/>
            <a:t>This mechanism misses those vehicles that enter and then leave the fleet during the year</a:t>
          </a:r>
        </a:p>
        <a:p>
          <a:endParaRPr lang="en-NZ" sz="1100"/>
        </a:p>
        <a:p>
          <a:endParaRPr lang="en-NZ"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9</xdr:col>
      <xdr:colOff>368301</xdr:colOff>
      <xdr:row>1</xdr:row>
      <xdr:rowOff>196851</xdr:rowOff>
    </xdr:from>
    <xdr:to>
      <xdr:col>20</xdr:col>
      <xdr:colOff>485776</xdr:colOff>
      <xdr:row>7</xdr:row>
      <xdr:rowOff>152401</xdr:rowOff>
    </xdr:to>
    <xdr:sp macro="" textlink="">
      <xdr:nvSpPr>
        <xdr:cNvPr id="4" name="TextBox 1">
          <a:extLst>
            <a:ext uri="{FF2B5EF4-FFF2-40B4-BE49-F238E27FC236}">
              <a16:creationId xmlns:a16="http://schemas.microsoft.com/office/drawing/2014/main" id="{B7314DA5-6522-4F4E-BB43-ED39B1CF7E38}"/>
            </a:ext>
          </a:extLst>
        </xdr:cNvPr>
        <xdr:cNvSpPr txBox="1"/>
      </xdr:nvSpPr>
      <xdr:spPr>
        <a:xfrm>
          <a:off x="5521326" y="501651"/>
          <a:ext cx="6613525" cy="1193800"/>
        </a:xfrm>
        <a:prstGeom prst="rect">
          <a:avLst/>
        </a:prstGeom>
        <a:solidFill>
          <a:srgbClr val="FFFFCC"/>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NZ" sz="1100"/>
            <a:t>Note: 'New'</a:t>
          </a:r>
          <a:r>
            <a:rPr lang="en-NZ" sz="1100" baseline="0"/>
            <a:t> and 'Used' are vehicle import status values, indicating if the vehicle was imported into NZ as new or used. This value does not change if a vehicle is deregistered and reregistered in NZ.</a:t>
          </a:r>
        </a:p>
        <a:p>
          <a:endParaRPr lang="en-NZ" sz="1100" baseline="0"/>
        </a:p>
        <a:p>
          <a:r>
            <a:rPr lang="en-NZ" sz="1100" baseline="0"/>
            <a:t>As a result, vehicles that were imported as new will contribute to the new vehicle average age estimates if they get reregistered after being imported.</a:t>
          </a:r>
          <a:endParaRPr lang="en-NZ" sz="1100"/>
        </a:p>
        <a:p>
          <a:endParaRPr lang="en-NZ"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19050</xdr:colOff>
      <xdr:row>28</xdr:row>
      <xdr:rowOff>47625</xdr:rowOff>
    </xdr:from>
    <xdr:ext cx="4067175" cy="387286"/>
    <xdr:sp macro="" textlink="">
      <xdr:nvSpPr>
        <xdr:cNvPr id="3" name="TextBox 2">
          <a:extLst>
            <a:ext uri="{FF2B5EF4-FFF2-40B4-BE49-F238E27FC236}">
              <a16:creationId xmlns:a16="http://schemas.microsoft.com/office/drawing/2014/main" id="{00000000-0008-0000-1600-000003000000}"/>
            </a:ext>
          </a:extLst>
        </xdr:cNvPr>
        <xdr:cNvSpPr txBox="1"/>
      </xdr:nvSpPr>
      <xdr:spPr>
        <a:xfrm>
          <a:off x="609600" y="4743450"/>
          <a:ext cx="4067175" cy="387286"/>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NZ" sz="1000">
              <a:latin typeface="Arial" panose="020B0604020202020204" pitchFamily="34" charset="0"/>
              <a:cs typeface="Arial" panose="020B0604020202020204" pitchFamily="34" charset="0"/>
            </a:rPr>
            <a:t>This report is based on vehicles either first registered in the indicated period, or last registered (ie reregistered) in that period</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76200</xdr:colOff>
      <xdr:row>27</xdr:row>
      <xdr:rowOff>158750</xdr:rowOff>
    </xdr:from>
    <xdr:ext cx="4067175" cy="387286"/>
    <xdr:sp macro="" textlink="">
      <xdr:nvSpPr>
        <xdr:cNvPr id="4" name="TextBox 3">
          <a:extLst>
            <a:ext uri="{FF2B5EF4-FFF2-40B4-BE49-F238E27FC236}">
              <a16:creationId xmlns:a16="http://schemas.microsoft.com/office/drawing/2014/main" id="{00000000-0008-0000-1700-000004000000}"/>
            </a:ext>
          </a:extLst>
        </xdr:cNvPr>
        <xdr:cNvSpPr txBox="1"/>
      </xdr:nvSpPr>
      <xdr:spPr>
        <a:xfrm>
          <a:off x="695325" y="4740275"/>
          <a:ext cx="4067175" cy="387286"/>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NZ" sz="1000">
              <a:latin typeface="Arial" panose="020B0604020202020204" pitchFamily="34" charset="0"/>
              <a:cs typeface="Arial" panose="020B0604020202020204" pitchFamily="34" charset="0"/>
            </a:rPr>
            <a:t>This report is based on vehicles either first registered in the indicated period, or last registered (ie reregistered) in that period</a:t>
          </a:r>
        </a:p>
      </xdr:txBody>
    </xdr:sp>
    <xdr:clientData/>
  </xdr:oneCellAnchor>
  <xdr:twoCellAnchor>
    <xdr:from>
      <xdr:col>1</xdr:col>
      <xdr:colOff>66675</xdr:colOff>
      <xdr:row>31</xdr:row>
      <xdr:rowOff>19050</xdr:rowOff>
    </xdr:from>
    <xdr:to>
      <xdr:col>6</xdr:col>
      <xdr:colOff>114300</xdr:colOff>
      <xdr:row>33</xdr:row>
      <xdr:rowOff>104775</xdr:rowOff>
    </xdr:to>
    <xdr:sp macro="" textlink="">
      <xdr:nvSpPr>
        <xdr:cNvPr id="2" name="TextBox 1">
          <a:extLst>
            <a:ext uri="{FF2B5EF4-FFF2-40B4-BE49-F238E27FC236}">
              <a16:creationId xmlns:a16="http://schemas.microsoft.com/office/drawing/2014/main" id="{9CBBAF8C-D5FE-443B-A00C-9B3F2C88E02F}"/>
            </a:ext>
          </a:extLst>
        </xdr:cNvPr>
        <xdr:cNvSpPr txBox="1"/>
      </xdr:nvSpPr>
      <xdr:spPr>
        <a:xfrm>
          <a:off x="657225" y="5362575"/>
          <a:ext cx="3000375" cy="409575"/>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1000" b="0" i="0" u="none" strike="noStrike">
              <a:solidFill>
                <a:schemeClr val="tx1"/>
              </a:solidFill>
              <a:latin typeface="Arial" panose="020B0604020202020204" pitchFamily="34" charset="0"/>
              <a:cs typeface="Arial" panose="020B0604020202020204" pitchFamily="34" charset="0"/>
            </a:rPr>
            <a:t>All figures on this table are only for the vehicles with an internal combustion engine.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29</xdr:row>
      <xdr:rowOff>0</xdr:rowOff>
    </xdr:from>
    <xdr:to>
      <xdr:col>6</xdr:col>
      <xdr:colOff>47625</xdr:colOff>
      <xdr:row>31</xdr:row>
      <xdr:rowOff>85725</xdr:rowOff>
    </xdr:to>
    <xdr:sp macro="" textlink="">
      <xdr:nvSpPr>
        <xdr:cNvPr id="2" name="TextBox 1">
          <a:extLst>
            <a:ext uri="{FF2B5EF4-FFF2-40B4-BE49-F238E27FC236}">
              <a16:creationId xmlns:a16="http://schemas.microsoft.com/office/drawing/2014/main" id="{CCA588E4-1681-4824-9EE4-8EF305365D0F}"/>
            </a:ext>
          </a:extLst>
        </xdr:cNvPr>
        <xdr:cNvSpPr txBox="1"/>
      </xdr:nvSpPr>
      <xdr:spPr>
        <a:xfrm>
          <a:off x="590550" y="4905375"/>
          <a:ext cx="3000375" cy="409575"/>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1000" b="0" i="0" u="none" strike="noStrike">
              <a:solidFill>
                <a:schemeClr val="tx1"/>
              </a:solidFill>
              <a:latin typeface="Arial" panose="020B0604020202020204" pitchFamily="34" charset="0"/>
              <a:cs typeface="Arial" panose="020B0604020202020204" pitchFamily="34" charset="0"/>
            </a:rPr>
            <a:t>All figures on this table are only for the vehicles with an internal combustion engine.</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13</xdr:col>
      <xdr:colOff>25400</xdr:colOff>
      <xdr:row>3</xdr:row>
      <xdr:rowOff>19050</xdr:rowOff>
    </xdr:from>
    <xdr:ext cx="6043834" cy="239809"/>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8121650" y="895350"/>
          <a:ext cx="6043834" cy="239809"/>
        </a:xfrm>
        <a:prstGeom prst="rect">
          <a:avLst/>
        </a:prstGeom>
        <a:solidFill>
          <a:srgbClr val="FFC000"/>
        </a:solidFill>
        <a:ln w="15875">
          <a:solidFill>
            <a:srgbClr val="FFC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NZ" sz="1000">
              <a:latin typeface="Arial" panose="020B0604020202020204" pitchFamily="34" charset="0"/>
              <a:cs typeface="Arial" panose="020B0604020202020204" pitchFamily="34" charset="0"/>
            </a:rPr>
            <a:t>Note: we no longer publish</a:t>
          </a:r>
          <a:r>
            <a:rPr lang="en-NZ" sz="1000" baseline="0">
              <a:latin typeface="Arial" panose="020B0604020202020204" pitchFamily="34" charset="0"/>
              <a:cs typeface="Arial" panose="020B0604020202020204" pitchFamily="34" charset="0"/>
            </a:rPr>
            <a:t> the latest calendar year as the data is incomplete until a full year has passed</a:t>
          </a:r>
          <a:endParaRPr lang="en-NZ" sz="1000">
            <a:latin typeface="Arial" panose="020B0604020202020204" pitchFamily="34" charset="0"/>
            <a:cs typeface="Arial" panose="020B0604020202020204" pitchFamily="34" charset="0"/>
          </a:endParaRPr>
        </a:p>
      </xdr:txBody>
    </xdr:sp>
    <xdr:clientData/>
  </xdr:oneCellAnchor>
  <xdr:oneCellAnchor>
    <xdr:from>
      <xdr:col>13</xdr:col>
      <xdr:colOff>38100</xdr:colOff>
      <xdr:row>5</xdr:row>
      <xdr:rowOff>123825</xdr:rowOff>
    </xdr:from>
    <xdr:ext cx="7381875" cy="1409700"/>
    <xdr:sp macro="" textlink="">
      <xdr:nvSpPr>
        <xdr:cNvPr id="4" name="TextBox 3">
          <a:extLst>
            <a:ext uri="{FF2B5EF4-FFF2-40B4-BE49-F238E27FC236}">
              <a16:creationId xmlns:a16="http://schemas.microsoft.com/office/drawing/2014/main" id="{00000000-0008-0000-1A00-000004000000}"/>
            </a:ext>
          </a:extLst>
        </xdr:cNvPr>
        <xdr:cNvSpPr txBox="1"/>
      </xdr:nvSpPr>
      <xdr:spPr>
        <a:xfrm>
          <a:off x="8134350" y="1323975"/>
          <a:ext cx="7381875" cy="1409700"/>
        </a:xfrm>
        <a:prstGeom prst="rect">
          <a:avLst/>
        </a:prstGeom>
        <a:solidFill>
          <a:srgbClr val="FFFFCC"/>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Z" sz="1100"/>
            <a:t>Note : scrappage has been established by finding vehicles active at the start of the year, but not active at the end of the year.</a:t>
          </a:r>
        </a:p>
        <a:p>
          <a:r>
            <a:rPr lang="en-NZ" sz="1100"/>
            <a:t>'Active means either currently licensed, or relicensing less than one year overdue.</a:t>
          </a:r>
        </a:p>
        <a:p>
          <a:endParaRPr lang="en-NZ" sz="1100"/>
        </a:p>
        <a:p>
          <a:r>
            <a:rPr lang="en-NZ" sz="1100"/>
            <a:t>The WoF based approach has not been used as it is overly drastic for establishing scrappage (a reasonable number of vehicles deemed inactive via outdated WoF/CoF eventually get a WoF/CoF).</a:t>
          </a:r>
        </a:p>
        <a:p>
          <a:endParaRPr lang="en-NZ" sz="1100"/>
        </a:p>
        <a:p>
          <a:r>
            <a:rPr lang="en-NZ" sz="1100"/>
            <a:t>This mechanism misses those vehicles that enter and then leave the fleet during the year</a:t>
          </a:r>
        </a:p>
        <a:p>
          <a:endParaRPr lang="en-NZ" sz="1100"/>
        </a:p>
        <a:p>
          <a:endParaRPr lang="en-NZ"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8</xdr:col>
      <xdr:colOff>38100</xdr:colOff>
      <xdr:row>3</xdr:row>
      <xdr:rowOff>28575</xdr:rowOff>
    </xdr:from>
    <xdr:ext cx="6130076" cy="264560"/>
    <xdr:sp macro="" textlink="">
      <xdr:nvSpPr>
        <xdr:cNvPr id="5" name="TextBox 4">
          <a:extLst>
            <a:ext uri="{FF2B5EF4-FFF2-40B4-BE49-F238E27FC236}">
              <a16:creationId xmlns:a16="http://schemas.microsoft.com/office/drawing/2014/main" id="{00000000-0008-0000-1B00-000005000000}"/>
            </a:ext>
          </a:extLst>
        </xdr:cNvPr>
        <xdr:cNvSpPr txBox="1"/>
      </xdr:nvSpPr>
      <xdr:spPr>
        <a:xfrm>
          <a:off x="5372100" y="685800"/>
          <a:ext cx="6130076" cy="264560"/>
        </a:xfrm>
        <a:prstGeom prst="rect">
          <a:avLst/>
        </a:prstGeom>
        <a:solidFill>
          <a:srgbClr val="FFC000"/>
        </a:solidFill>
        <a:ln w="15875">
          <a:solidFill>
            <a:srgbClr val="FFC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NZ" sz="1100">
              <a:solidFill>
                <a:schemeClr val="tx1"/>
              </a:solidFill>
              <a:effectLst/>
              <a:latin typeface="+mn-lt"/>
              <a:ea typeface="+mn-ea"/>
              <a:cs typeface="+mn-cs"/>
            </a:rPr>
            <a:t>Note: we no longer publish</a:t>
          </a:r>
          <a:r>
            <a:rPr lang="en-NZ" sz="1100" baseline="0">
              <a:solidFill>
                <a:schemeClr val="tx1"/>
              </a:solidFill>
              <a:effectLst/>
              <a:latin typeface="+mn-lt"/>
              <a:ea typeface="+mn-ea"/>
              <a:cs typeface="+mn-cs"/>
            </a:rPr>
            <a:t> the latest calendar year as the data is incomplete until a full year has passed</a:t>
          </a:r>
          <a:endParaRPr lang="en-NZ">
            <a:effectLst/>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133350</xdr:colOff>
      <xdr:row>2</xdr:row>
      <xdr:rowOff>85725</xdr:rowOff>
    </xdr:from>
    <xdr:ext cx="6130076" cy="264560"/>
    <xdr:sp macro="" textlink="">
      <xdr:nvSpPr>
        <xdr:cNvPr id="5" name="TextBox 4">
          <a:extLst>
            <a:ext uri="{FF2B5EF4-FFF2-40B4-BE49-F238E27FC236}">
              <a16:creationId xmlns:a16="http://schemas.microsoft.com/office/drawing/2014/main" id="{00000000-0008-0000-1C00-000005000000}"/>
            </a:ext>
          </a:extLst>
        </xdr:cNvPr>
        <xdr:cNvSpPr txBox="1"/>
      </xdr:nvSpPr>
      <xdr:spPr>
        <a:xfrm>
          <a:off x="9620250" y="571500"/>
          <a:ext cx="6130076" cy="264560"/>
        </a:xfrm>
        <a:prstGeom prst="rect">
          <a:avLst/>
        </a:prstGeom>
        <a:solidFill>
          <a:srgbClr val="FFC000"/>
        </a:solidFill>
        <a:ln w="15875">
          <a:solidFill>
            <a:srgbClr val="FFC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NZ" sz="1100">
              <a:solidFill>
                <a:schemeClr val="tx1"/>
              </a:solidFill>
              <a:effectLst/>
              <a:latin typeface="+mn-lt"/>
              <a:ea typeface="+mn-ea"/>
              <a:cs typeface="+mn-cs"/>
            </a:rPr>
            <a:t>Note: we no longer publish</a:t>
          </a:r>
          <a:r>
            <a:rPr lang="en-NZ" sz="1100" baseline="0">
              <a:solidFill>
                <a:schemeClr val="tx1"/>
              </a:solidFill>
              <a:effectLst/>
              <a:latin typeface="+mn-lt"/>
              <a:ea typeface="+mn-ea"/>
              <a:cs typeface="+mn-cs"/>
            </a:rPr>
            <a:t> the latest calendar year as the data is incomplete until a full year has passed</a:t>
          </a:r>
          <a:endParaRPr lang="en-NZ">
            <a:effectLst/>
          </a:endParaRPr>
        </a:p>
      </xdr:txBody>
    </xdr:sp>
    <xdr:clientData/>
  </xdr:oneCellAnchor>
  <xdr:twoCellAnchor>
    <xdr:from>
      <xdr:col>1</xdr:col>
      <xdr:colOff>0</xdr:colOff>
      <xdr:row>27</xdr:row>
      <xdr:rowOff>0</xdr:rowOff>
    </xdr:from>
    <xdr:to>
      <xdr:col>5</xdr:col>
      <xdr:colOff>485775</xdr:colOff>
      <xdr:row>29</xdr:row>
      <xdr:rowOff>85725</xdr:rowOff>
    </xdr:to>
    <xdr:sp macro="" textlink="">
      <xdr:nvSpPr>
        <xdr:cNvPr id="2" name="TextBox 1">
          <a:extLst>
            <a:ext uri="{FF2B5EF4-FFF2-40B4-BE49-F238E27FC236}">
              <a16:creationId xmlns:a16="http://schemas.microsoft.com/office/drawing/2014/main" id="{DDF3D2EB-1885-4673-A792-86569C8441EB}"/>
            </a:ext>
          </a:extLst>
        </xdr:cNvPr>
        <xdr:cNvSpPr txBox="1"/>
      </xdr:nvSpPr>
      <xdr:spPr>
        <a:xfrm>
          <a:off x="619125" y="4533900"/>
          <a:ext cx="3000375" cy="409575"/>
        </a:xfrm>
        <a:prstGeom prst="rect">
          <a:avLst/>
        </a:prstGeom>
        <a:solidFill>
          <a:srgbClr val="FFFF00"/>
        </a:solidFill>
        <a:ln>
          <a:solidFill>
            <a:srgbClr val="000000"/>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1000" b="0" i="0" u="none" strike="noStrike">
              <a:solidFill>
                <a:schemeClr val="tx1"/>
              </a:solidFill>
              <a:latin typeface="Arial" panose="020B0604020202020204" pitchFamily="34" charset="0"/>
              <a:cs typeface="Arial" panose="020B0604020202020204" pitchFamily="34" charset="0"/>
            </a:rPr>
            <a:t>All figures on this table are only for the vehicles with an internal combustion engine.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transport.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9"/>
  <sheetViews>
    <sheetView zoomScaleNormal="100" workbookViewId="0"/>
  </sheetViews>
  <sheetFormatPr defaultColWidth="9.1796875" defaultRowHeight="12.5"/>
  <cols>
    <col min="1" max="1" width="72.81640625" style="10" customWidth="1"/>
    <col min="2" max="2" width="7.81640625" style="10" customWidth="1"/>
    <col min="3" max="3" width="77.453125" style="10" bestFit="1" customWidth="1"/>
    <col min="4" max="4" width="44.26953125" style="10" customWidth="1"/>
    <col min="5" max="16384" width="9.1796875" style="10"/>
  </cols>
  <sheetData>
    <row r="1" spans="1:5" ht="33" customHeight="1">
      <c r="A1" s="33" t="s">
        <v>0</v>
      </c>
      <c r="B1" s="13"/>
      <c r="C1" s="13"/>
      <c r="D1" s="34" t="s">
        <v>1</v>
      </c>
      <c r="E1" s="13"/>
    </row>
    <row r="2" spans="1:5" ht="12.75" customHeight="1">
      <c r="A2" s="14" t="s">
        <v>2</v>
      </c>
      <c r="B2" s="13"/>
      <c r="C2" s="13"/>
      <c r="D2" s="35" t="s">
        <v>3</v>
      </c>
      <c r="E2" s="13"/>
    </row>
    <row r="4" spans="1:5" ht="14">
      <c r="A4" s="14" t="s">
        <v>4</v>
      </c>
      <c r="C4" s="14" t="s">
        <v>5</v>
      </c>
    </row>
    <row r="5" spans="1:5" ht="13">
      <c r="A5" s="11" t="s">
        <v>6</v>
      </c>
      <c r="C5" s="27" t="s">
        <v>7</v>
      </c>
    </row>
    <row r="6" spans="1:5">
      <c r="A6" s="11" t="s">
        <v>8</v>
      </c>
      <c r="B6" s="12"/>
      <c r="C6" s="11" t="s">
        <v>9</v>
      </c>
    </row>
    <row r="7" spans="1:5">
      <c r="A7" s="11" t="s">
        <v>10</v>
      </c>
      <c r="C7" s="11" t="s">
        <v>11</v>
      </c>
    </row>
    <row r="8" spans="1:5">
      <c r="A8" s="11" t="s">
        <v>12</v>
      </c>
      <c r="D8" s="11"/>
    </row>
    <row r="9" spans="1:5" ht="13">
      <c r="A9" s="11" t="s">
        <v>13</v>
      </c>
      <c r="C9" s="26" t="s">
        <v>14</v>
      </c>
    </row>
    <row r="10" spans="1:5">
      <c r="A10" s="11" t="s">
        <v>15</v>
      </c>
      <c r="C10" s="11" t="s">
        <v>16</v>
      </c>
    </row>
    <row r="11" spans="1:5">
      <c r="A11" s="11" t="s">
        <v>17</v>
      </c>
      <c r="C11" s="11" t="s">
        <v>18</v>
      </c>
    </row>
    <row r="12" spans="1:5">
      <c r="A12" s="11" t="s">
        <v>19</v>
      </c>
      <c r="C12" s="11" t="s">
        <v>20</v>
      </c>
    </row>
    <row r="13" spans="1:5">
      <c r="A13" s="11" t="s">
        <v>21</v>
      </c>
      <c r="C13" s="11" t="s">
        <v>22</v>
      </c>
    </row>
    <row r="14" spans="1:5">
      <c r="A14" s="11" t="s">
        <v>23</v>
      </c>
      <c r="C14" s="11" t="s">
        <v>24</v>
      </c>
    </row>
    <row r="15" spans="1:5">
      <c r="A15" s="11"/>
      <c r="C15" s="11" t="s">
        <v>25</v>
      </c>
    </row>
    <row r="16" spans="1:5" ht="14">
      <c r="A16" s="14" t="s">
        <v>26</v>
      </c>
      <c r="C16" s="11" t="s">
        <v>27</v>
      </c>
    </row>
    <row r="17" spans="1:4">
      <c r="A17" s="11" t="s">
        <v>28</v>
      </c>
      <c r="C17" s="11" t="s">
        <v>29</v>
      </c>
    </row>
    <row r="18" spans="1:4">
      <c r="A18" s="11" t="s">
        <v>30</v>
      </c>
      <c r="C18" s="11" t="s">
        <v>31</v>
      </c>
    </row>
    <row r="19" spans="1:4">
      <c r="A19" s="11" t="s">
        <v>32</v>
      </c>
      <c r="C19" s="11" t="s">
        <v>33</v>
      </c>
    </row>
    <row r="20" spans="1:4">
      <c r="A20" s="11" t="s">
        <v>34</v>
      </c>
      <c r="C20" s="11"/>
    </row>
    <row r="21" spans="1:4" ht="13">
      <c r="A21" s="11" t="s">
        <v>35</v>
      </c>
      <c r="C21" s="26" t="s">
        <v>36</v>
      </c>
    </row>
    <row r="22" spans="1:4">
      <c r="A22" s="11" t="s">
        <v>37</v>
      </c>
      <c r="C22" s="11" t="s">
        <v>38</v>
      </c>
    </row>
    <row r="23" spans="1:4">
      <c r="A23" s="11" t="s">
        <v>39</v>
      </c>
      <c r="C23" s="11" t="s">
        <v>40</v>
      </c>
    </row>
    <row r="24" spans="1:4">
      <c r="A24" s="11" t="s">
        <v>41</v>
      </c>
      <c r="C24" s="11" t="s">
        <v>42</v>
      </c>
    </row>
    <row r="25" spans="1:4">
      <c r="A25" s="11" t="s">
        <v>43</v>
      </c>
      <c r="C25" s="11" t="s">
        <v>44</v>
      </c>
    </row>
    <row r="26" spans="1:4">
      <c r="A26" s="11" t="s">
        <v>45</v>
      </c>
      <c r="C26" s="11" t="s">
        <v>46</v>
      </c>
    </row>
    <row r="27" spans="1:4">
      <c r="C27" s="11" t="s">
        <v>47</v>
      </c>
    </row>
    <row r="28" spans="1:4" ht="14">
      <c r="A28" s="14" t="s">
        <v>48</v>
      </c>
    </row>
    <row r="29" spans="1:4" ht="14">
      <c r="A29" s="51" t="s">
        <v>49</v>
      </c>
      <c r="C29" s="14" t="s">
        <v>50</v>
      </c>
    </row>
    <row r="30" spans="1:4">
      <c r="A30" s="51" t="s">
        <v>51</v>
      </c>
      <c r="C30" s="52" t="s">
        <v>52</v>
      </c>
    </row>
    <row r="31" spans="1:4">
      <c r="A31" s="51" t="s">
        <v>53</v>
      </c>
      <c r="C31" s="52" t="s">
        <v>54</v>
      </c>
    </row>
    <row r="32" spans="1:4">
      <c r="A32" s="51" t="s">
        <v>55</v>
      </c>
      <c r="C32" s="52" t="s">
        <v>56</v>
      </c>
      <c r="D32"/>
    </row>
    <row r="33" spans="1:4">
      <c r="A33" s="51" t="s">
        <v>57</v>
      </c>
      <c r="C33" s="52" t="s">
        <v>58</v>
      </c>
      <c r="D33" s="47"/>
    </row>
    <row r="34" spans="1:4">
      <c r="C34" s="52" t="s">
        <v>59</v>
      </c>
    </row>
    <row r="35" spans="1:4" ht="14">
      <c r="A35" s="14" t="s">
        <v>60</v>
      </c>
      <c r="C35" s="52" t="s">
        <v>61</v>
      </c>
      <c r="D35" s="47"/>
    </row>
    <row r="36" spans="1:4">
      <c r="A36" s="11" t="s">
        <v>62</v>
      </c>
      <c r="C36" s="52" t="s">
        <v>63</v>
      </c>
      <c r="D36" s="47"/>
    </row>
    <row r="37" spans="1:4">
      <c r="A37" s="11" t="s">
        <v>64</v>
      </c>
      <c r="C37" s="52"/>
      <c r="D37" s="47"/>
    </row>
    <row r="38" spans="1:4">
      <c r="A38" s="11" t="s">
        <v>65</v>
      </c>
      <c r="D38" s="47"/>
    </row>
    <row r="39" spans="1:4" ht="14">
      <c r="A39" s="11" t="s">
        <v>66</v>
      </c>
      <c r="C39" s="14" t="s">
        <v>67</v>
      </c>
      <c r="D39" s="47"/>
    </row>
    <row r="40" spans="1:4">
      <c r="A40" s="11" t="s">
        <v>68</v>
      </c>
      <c r="B40" s="47"/>
      <c r="C40" s="11" t="s">
        <v>69</v>
      </c>
      <c r="D40" s="47"/>
    </row>
    <row r="41" spans="1:4">
      <c r="B41" s="47"/>
      <c r="C41" s="11" t="s">
        <v>70</v>
      </c>
    </row>
    <row r="42" spans="1:4">
      <c r="B42" s="47"/>
    </row>
    <row r="43" spans="1:4">
      <c r="B43" s="47"/>
    </row>
    <row r="44" spans="1:4" ht="14">
      <c r="B44" s="47"/>
      <c r="C44" s="14" t="s">
        <v>71</v>
      </c>
    </row>
    <row r="45" spans="1:4">
      <c r="B45" s="47"/>
      <c r="C45" s="11" t="s">
        <v>72</v>
      </c>
    </row>
    <row r="46" spans="1:4">
      <c r="B46" s="47"/>
      <c r="C46" s="11" t="s">
        <v>73</v>
      </c>
    </row>
    <row r="47" spans="1:4">
      <c r="B47" s="47"/>
    </row>
    <row r="48" spans="1:4" ht="14">
      <c r="B48" s="47"/>
      <c r="C48" s="14" t="s">
        <v>74</v>
      </c>
    </row>
    <row r="49" spans="3:3">
      <c r="C49" s="11" t="s">
        <v>75</v>
      </c>
    </row>
    <row r="50" spans="3:3">
      <c r="C50" s="11" t="s">
        <v>76</v>
      </c>
    </row>
    <row r="69" spans="1:1">
      <c r="A69" s="87"/>
    </row>
  </sheetData>
  <phoneticPr fontId="5" type="noConversion"/>
  <hyperlinks>
    <hyperlink ref="A5" location="'1.1, 1.2'!A1" display="Figure 1.1  Composition of the NZ Fleet" xr:uid="{00000000-0004-0000-0000-000000000000}"/>
    <hyperlink ref="D2" r:id="rId1" xr:uid="{00000000-0004-0000-0000-000001000000}"/>
    <hyperlink ref="A9" location="'1.4 to 1.7'!A1" display="Figure 1.4  Light fleet travel by year" xr:uid="{00000000-0004-0000-0000-000002000000}"/>
    <hyperlink ref="A11" location="'1.4 to 1.7'!A1" display="Figure 1.5  Light fleet ownership per capita by year" xr:uid="{00000000-0004-0000-0000-000003000000}"/>
    <hyperlink ref="A13" location="'1.4 to 1.7'!A1" display="Figure 1.6  Light fleet travel per capita by year" xr:uid="{00000000-0004-0000-0000-000004000000}"/>
    <hyperlink ref="A14" location="'1.4 to 1.7'!A1" display="Figure 1.7  Light fleet average vehicle travel by year" xr:uid="{00000000-0004-0000-0000-000005000000}"/>
    <hyperlink ref="A17" location="'2.1, 2.2, 2.3,2.4'!Print_Area" display="Figure 2.1  Number of new/used light vehicles by year " xr:uid="{00000000-0004-0000-0000-000007000000}"/>
    <hyperlink ref="A18" location="'2.1, 2.2, 2.3,2.4'!Print_Area" display="Figure 2.2  Percentage of used imports in the light/truck/bus fleets, by year" xr:uid="{00000000-0004-0000-0000-000008000000}"/>
    <hyperlink ref="A29" location="'3.1,3.2,3.4,8.3'!Print_Area" display="Figure 3.1  Total LPV, LCV, Truck and Bus travel by year of manufacture in 5 year blocks" xr:uid="{00000000-0004-0000-0000-000009000000}"/>
    <hyperlink ref="A31" location="'3.1,3.2,3.4,8.3'!Print_Area" display="Figure 3.4  LPV, LCV, Truck and Bus travel per vehicle by year of manufacture in 5 year blocks" xr:uid="{00000000-0004-0000-0000-00000A000000}"/>
    <hyperlink ref="A30" location="'3.1,3.2,3.4,8.3'!Print_Area" display="Figure 3.2 Light, truck, bus travel by new/used, by year of manufacture in 5 year blocks" xr:uid="{00000000-0004-0000-0000-00000B000000}"/>
    <hyperlink ref="A32" location="'3.5'!A1" display="Figure 3.5  Average light travel in 2007 by year of manufacture" xr:uid="{00000000-0004-0000-0000-00000C000000}"/>
    <hyperlink ref="A36" location="'4.1, 4.2'!A1" display="Tab 4.1 Light fleet average engine capacity by petrol/diesel by year " xr:uid="{00000000-0004-0000-0000-00000D000000}"/>
    <hyperlink ref="A38" location="'4.3a,b'!A1" display="Figure 4.3a  Light passenger average travel in 2007 by cc band, by year of manufacture" xr:uid="{00000000-0004-0000-0000-00000E000000}"/>
    <hyperlink ref="A39" location="'4.3a,b'!Print_Area" display="Figure 4.3b  Light commercial average travel by cc band, by year of manufacture" xr:uid="{00000000-0004-0000-0000-00000F000000}"/>
    <hyperlink ref="C10" location="'6.1,6.2c'!A1" display="Table 6.1  Number of NZ new/used imports entering the light fleet by year" xr:uid="{00000000-0004-0000-0000-000010000000}"/>
    <hyperlink ref="C13" location="'6.3'!A1" display="Figure 6.3  Average engine size of vehicles entering the light fleet, by petrol/diesel and year" xr:uid="{00000000-0004-0000-0000-000011000000}"/>
    <hyperlink ref="C14" location="'6.4a,b'!A1" display="Figure 6.4a  Numbers of used imports entering the light fleet, by engize size band and year" xr:uid="{00000000-0004-0000-0000-000012000000}"/>
    <hyperlink ref="C15" location="'6.4a,b'!Print_Area" display="Figure 6.4b  Numbers of NZ new entering the light fleet, by engize size band and year" xr:uid="{00000000-0004-0000-0000-000013000000}"/>
    <hyperlink ref="C22" location="'7.1,7.2'!A1" display="Figure 7.1a  Number of light fleet used imports/NZ new scrapped, by year" xr:uid="{00000000-0004-0000-0000-000014000000}"/>
    <hyperlink ref="C24" location="'7.1,7.2'!A1" display="Table 7.2a  Average age of light fleet used imports/NZ new when scrapped, by year" xr:uid="{00000000-0004-0000-0000-000015000000}"/>
    <hyperlink ref="C33" location="'8.2a,b'!A1" display="Table 8.2b  Percentage of light passenger/commercial travel by petrol/diesel" xr:uid="{00000000-0004-0000-0000-000016000000}"/>
    <hyperlink ref="C45" location="'10.1, 10.2'!A1" display="Figure 10.1  Travel weighted vehicle age by year" xr:uid="{00000000-0004-0000-0000-000017000000}"/>
    <hyperlink ref="C46" location="'10.1, 10.2'!A1" display="Figure 10.2  Travel weighted engine size by year" xr:uid="{00000000-0004-0000-0000-000018000000}"/>
    <hyperlink ref="A6" location="'1.1, 1.2'!A1" display="Figure 1.2  Composition of the NZ fleet relative to Jan 2000" xr:uid="{00000000-0004-0000-0000-000019000000}"/>
    <hyperlink ref="A8" location="'1.3'!A1" display="Table 1.3 Total collective distance travelled" xr:uid="{00000000-0004-0000-0000-00001A000000}"/>
    <hyperlink ref="C7" location="'5.2abcd'!A1" display="Figure 5.2abcd  Vehicles entering/leaving the fleet in 2010 by Year of Manufacture" xr:uid="{00000000-0004-0000-0000-00001B000000}"/>
    <hyperlink ref="A25" location="'2.9'!A1" display="Figure 2.9 Heavy vehicle mass" xr:uid="{00000000-0004-0000-0000-00001C000000}"/>
    <hyperlink ref="C34" location="'3.1,3.2,3.4,8.3'!A1" display="Table 8.3  Light fleet petrol and diesel travel by year of manufacture in 5 year blocks" xr:uid="{00000000-0004-0000-0000-00001D000000}"/>
    <hyperlink ref="C49" location="'11.1,11.2'!A1" display="Tab 11.1  Truck and trailer travel" xr:uid="{00000000-0004-0000-0000-00001E000000}"/>
    <hyperlink ref="C50" location="'11.1,11.2'!A1" display="Tab 11.2  Truck+trailer tonne-km" xr:uid="{00000000-0004-0000-0000-00001F000000}"/>
    <hyperlink ref="C6" location="'5.1'!A1" display="Figure 5.1  Entry and exit from the fleet, 2000-2010" xr:uid="{00000000-0004-0000-0000-000020000000}"/>
    <hyperlink ref="C12" location="'6.1,6.2c'!A1" display="Table 6.2c  Average age of used imports entering the truck and bus fleets by year" xr:uid="{00000000-0004-0000-0000-000021000000}"/>
    <hyperlink ref="C23" location="'7.1,7.2'!A1" display="Figure 7.1b  Number of heavy fleet used imports/NZ new scrapped, by year" xr:uid="{00000000-0004-0000-0000-000022000000}"/>
    <hyperlink ref="C25" location="'7.1,7.2'!A1" display="Table 7.2b  Average age of heavy fleet used imports/NZ new when scrapped, by year" xr:uid="{00000000-0004-0000-0000-000023000000}"/>
    <hyperlink ref="C16" location="'6.5a,b'!A1" display="Figure 6.5a  Numbers of motorcycles entering the fleet, by engize size band and year" xr:uid="{00000000-0004-0000-0000-000024000000}"/>
    <hyperlink ref="C17" location="'6.5a,b'!A1" display="Table 6.5b  Average engine capacity of motorcycles entering the fleet, by year" xr:uid="{00000000-0004-0000-0000-000025000000}"/>
    <hyperlink ref="A19" location="'2.1, 2.2, 2.3,2.4'!A1" display="Figure 2.3 Average age of Light, Trucks and Buses by year" xr:uid="{00000000-0004-0000-0000-000026000000}"/>
    <hyperlink ref="A20" location="'2.1, 2.2, 2.3,2.4'!A1" display="Figure 2.4 Light fleet average age in detail, by year" xr:uid="{00000000-0004-0000-0000-000027000000}"/>
    <hyperlink ref="A21" location="'2.5a-2.8a'!A1" display="Figure 2.5a Light fleet year of manufacture, Dec 2010" xr:uid="{00000000-0004-0000-0000-000028000000}"/>
    <hyperlink ref="A22" location="'2.5a-2.8a'!Print_Area" display="Figure 2.6a Motorcycle year of manufacture, Dec 2010" xr:uid="{00000000-0004-0000-0000-000029000000}"/>
    <hyperlink ref="A23" location="'2.5a-2.8a'!Print_Area" display="Figure 2.7a Truck year of manufacture, Dec 2010" xr:uid="{00000000-0004-0000-0000-00002A000000}"/>
    <hyperlink ref="A24" location="'2.5a-2.8a'!Print_Area" display="Figure 2.8a Bus year of manufacture, Dec 2010" xr:uid="{00000000-0004-0000-0000-00002B000000}"/>
    <hyperlink ref="A40" location="'4.4'!A1" display="Figure 4.4 Motorcycle fleet engine composition by year" xr:uid="{00000000-0004-0000-0000-00002C000000}"/>
    <hyperlink ref="C11" location="'6.2b'!A1" display="Figure 6.2b 2010 used light imports : Year of manufacture and fuel" xr:uid="{00000000-0004-0000-0000-00002D000000}"/>
    <hyperlink ref="C40" location="'9.1'!A1" display="Tab 9.1 Average quarterly CO2 emissions of light fleet registrations" xr:uid="{00000000-0004-0000-0000-00002E000000}"/>
    <hyperlink ref="A33" location="'3.6'!A1" display="Tab 3.6 Light fleet travel by engine size" xr:uid="{00000000-0004-0000-0000-00002F000000}"/>
    <hyperlink ref="C26" location="'7.3abc'!A1" display="Figure 7.3a,b,c Last odometer reading of scrapped vehicles" xr:uid="{00000000-0004-0000-0000-000030000000}"/>
    <hyperlink ref="C27" location="'7.3de'!A1" display="Figure 7.3d,e Last odometer reading of scrapped vehicles" xr:uid="{00000000-0004-0000-0000-000031000000}"/>
    <hyperlink ref="C41" location="'9.2'!A1" display="Tab 9.2 Emissions standards of vehicles in the light fleet" xr:uid="{00000000-0004-0000-0000-000032000000}"/>
    <hyperlink ref="A12" location="'1.5b'!A1" display="Figure 1.5b Regional light fleet ownership per capita" xr:uid="{00000000-0004-0000-0000-000033000000}"/>
    <hyperlink ref="A7" location="'1.1extra'!A1" display="Table 1.1 extra Fleet Average Age" xr:uid="{00000000-0004-0000-0000-000036000000}"/>
    <hyperlink ref="A26" location="'2.10'!A1" display="Table 2.10 Light fleet age distribution" xr:uid="{00000000-0004-0000-0000-000037000000}"/>
    <hyperlink ref="C18" location="'6.7a, b'!A1" display="Table 6.7a Vehicles entering the fleet: country of manufacture" xr:uid="{00000000-0004-0000-0000-000038000000}"/>
    <hyperlink ref="C19" location="'6.7a, b'!A1" display="Table 6.7b Vehicles entering the fleet: country imported from" xr:uid="{00000000-0004-0000-0000-000039000000}"/>
    <hyperlink ref="C32" location="'8.2a,b'!A1" display="Table 8.2a  Percentage of light passenger/commercial vehicles by petrol/diesel" xr:uid="{00000000-0004-0000-0000-00003A000000}"/>
    <hyperlink ref="C31" location="'8.2a,b'!A1" display="Table 8.2  Petrol and diesel travel" xr:uid="{00000000-0004-0000-0000-00003B000000}"/>
    <hyperlink ref="C30" location="'8.1a,b'!A1" display="Table 8.1 Diesel vehicles in the light, truck and bus fleets" xr:uid="{00000000-0004-0000-0000-00003C000000}"/>
    <hyperlink ref="C35" location="'8.4'!A1" display="Tab 8.4 Light vehicle fleet by fuel type" xr:uid="{00000000-0004-0000-0000-00003D000000}"/>
    <hyperlink ref="C36" location="'8.5'!A1" display="Tab 8.5 Primary fuel types by vehicle type" xr:uid="{00000000-0004-0000-0000-00003E000000}"/>
    <hyperlink ref="A10" location="'1.4b'!A1" display="Tab 1.4b  Regional vehicle travel" xr:uid="{00000000-0004-0000-0000-00003F000000}"/>
    <hyperlink ref="A37" location="'4.1, 4.2'!A1" display="Tab 4.2 Number of light vehicles by engine capacity by year " xr:uid="{61484F80-2C42-48A8-852E-2A73448B31AA}"/>
  </hyperlinks>
  <pageMargins left="0.75" right="0.75" top="1" bottom="1" header="0.5" footer="0.5"/>
  <pageSetup paperSize="8" scale="58" orientation="landscape"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W26"/>
  <sheetViews>
    <sheetView zoomScale="90" zoomScaleNormal="90" workbookViewId="0"/>
  </sheetViews>
  <sheetFormatPr defaultColWidth="8.81640625" defaultRowHeight="12.5"/>
  <cols>
    <col min="1" max="1" width="8.81640625" style="104" customWidth="1"/>
    <col min="2" max="9" width="10.26953125" customWidth="1"/>
    <col min="10" max="10" width="5.7265625" customWidth="1"/>
    <col min="11" max="18" width="11.26953125" customWidth="1"/>
    <col min="19" max="19" width="5.7265625" customWidth="1"/>
    <col min="20" max="20" width="11.81640625" bestFit="1" customWidth="1"/>
    <col min="22" max="22" width="20.7265625" bestFit="1" customWidth="1"/>
  </cols>
  <sheetData>
    <row r="1" spans="1:23" ht="27" customHeight="1">
      <c r="B1" s="103" t="s">
        <v>77</v>
      </c>
      <c r="C1" s="18"/>
      <c r="D1" s="18"/>
      <c r="E1" s="18"/>
      <c r="F1" s="18"/>
      <c r="G1" s="18"/>
      <c r="H1" s="18"/>
      <c r="I1" s="17"/>
      <c r="K1" s="17" t="s">
        <v>78</v>
      </c>
      <c r="L1" s="13"/>
      <c r="M1" s="13"/>
      <c r="N1" s="13"/>
      <c r="O1" s="13"/>
      <c r="P1" s="13"/>
      <c r="Q1" s="13"/>
      <c r="R1" s="13"/>
      <c r="T1" s="207" t="s">
        <v>79</v>
      </c>
      <c r="U1" s="207"/>
    </row>
    <row r="2" spans="1:23" ht="20">
      <c r="A2" s="74" t="s">
        <v>80</v>
      </c>
      <c r="B2" s="58" t="s">
        <v>81</v>
      </c>
      <c r="C2" s="58" t="s">
        <v>82</v>
      </c>
      <c r="D2" s="58" t="s">
        <v>83</v>
      </c>
      <c r="E2" s="58" t="s">
        <v>84</v>
      </c>
      <c r="F2" s="58" t="s">
        <v>85</v>
      </c>
      <c r="G2" s="58" t="s">
        <v>86</v>
      </c>
      <c r="H2" s="58" t="s">
        <v>87</v>
      </c>
      <c r="I2" s="58" t="s">
        <v>88</v>
      </c>
      <c r="J2" s="42"/>
      <c r="K2" s="58" t="str">
        <f>B2</f>
        <v>Light passenger</v>
      </c>
      <c r="L2" s="58" t="str">
        <f t="shared" ref="L2:R2" si="0">C2</f>
        <v>Light commercial</v>
      </c>
      <c r="M2" s="58" t="str">
        <f t="shared" si="0"/>
        <v>MCycle</v>
      </c>
      <c r="N2" s="58" t="str">
        <f t="shared" si="0"/>
        <v>Trucks</v>
      </c>
      <c r="O2" s="58" t="str">
        <f t="shared" si="0"/>
        <v>Bus</v>
      </c>
      <c r="P2" s="58" t="str">
        <f t="shared" si="0"/>
        <v>Other</v>
      </c>
      <c r="Q2" s="58" t="str">
        <f t="shared" si="0"/>
        <v>Total</v>
      </c>
      <c r="R2" s="58" t="str">
        <f t="shared" si="0"/>
        <v>Total light</v>
      </c>
    </row>
    <row r="3" spans="1:23">
      <c r="A3" s="77">
        <v>2000</v>
      </c>
      <c r="B3" s="42">
        <v>2147516</v>
      </c>
      <c r="C3" s="42">
        <v>347339</v>
      </c>
      <c r="D3" s="42">
        <v>78641</v>
      </c>
      <c r="E3" s="42">
        <v>95622</v>
      </c>
      <c r="F3" s="42">
        <v>4412</v>
      </c>
      <c r="G3" s="42">
        <v>12288</v>
      </c>
      <c r="H3" s="45">
        <f t="shared" ref="H3:H22" si="1">SUM(B3:G3)</f>
        <v>2685818</v>
      </c>
      <c r="I3" s="45">
        <f t="shared" ref="I3:I22" si="2">B3+C3</f>
        <v>2494855</v>
      </c>
      <c r="J3" s="42"/>
      <c r="K3" s="60" t="s">
        <v>89</v>
      </c>
      <c r="L3" s="60" t="s">
        <v>89</v>
      </c>
      <c r="M3" s="60" t="s">
        <v>89</v>
      </c>
      <c r="N3" s="60" t="s">
        <v>89</v>
      </c>
      <c r="O3" s="60" t="s">
        <v>89</v>
      </c>
      <c r="P3" s="60" t="s">
        <v>89</v>
      </c>
      <c r="Q3" s="60" t="s">
        <v>89</v>
      </c>
      <c r="R3" s="60" t="s">
        <v>89</v>
      </c>
    </row>
    <row r="4" spans="1:23">
      <c r="A4" s="77">
        <v>2001</v>
      </c>
      <c r="B4" s="42">
        <v>2213672</v>
      </c>
      <c r="C4" s="42">
        <v>349979</v>
      </c>
      <c r="D4" s="42">
        <v>79230</v>
      </c>
      <c r="E4" s="42">
        <v>97867</v>
      </c>
      <c r="F4" s="42">
        <v>4698</v>
      </c>
      <c r="G4" s="42">
        <v>12488</v>
      </c>
      <c r="H4" s="45">
        <f t="shared" si="1"/>
        <v>2757934</v>
      </c>
      <c r="I4" s="45">
        <f t="shared" si="2"/>
        <v>2563651</v>
      </c>
      <c r="J4" s="42"/>
      <c r="K4" s="71">
        <f t="shared" ref="K4:K20" si="3">B4/B$3-1</f>
        <v>3.0805824031113094E-2</v>
      </c>
      <c r="L4" s="71">
        <f t="shared" ref="L4:L20" si="4">C4/C$3-1</f>
        <v>7.6006437514934966E-3</v>
      </c>
      <c r="M4" s="71">
        <f t="shared" ref="M4:M20" si="5">D4/D$3-1</f>
        <v>7.4897318192799212E-3</v>
      </c>
      <c r="N4" s="71">
        <f t="shared" ref="N4:N20" si="6">E4/E$3-1</f>
        <v>2.3477860743343681E-2</v>
      </c>
      <c r="O4" s="71">
        <f t="shared" ref="O4:O20" si="7">F4/F$3-1</f>
        <v>6.4823209428830353E-2</v>
      </c>
      <c r="P4" s="71">
        <f t="shared" ref="P4:P20" si="8">G4/G$3-1</f>
        <v>1.6276041666666741E-2</v>
      </c>
      <c r="Q4" s="71">
        <f t="shared" ref="Q4:Q20" si="9">H4/H$3-1</f>
        <v>2.6850665234948945E-2</v>
      </c>
      <c r="R4" s="71">
        <f t="shared" ref="R4:R22" si="10">H4/H$3-1</f>
        <v>2.6850665234948945E-2</v>
      </c>
      <c r="T4" s="158"/>
      <c r="U4" s="23"/>
    </row>
    <row r="5" spans="1:23">
      <c r="A5" s="77">
        <v>2002</v>
      </c>
      <c r="B5" s="42">
        <v>2292383</v>
      </c>
      <c r="C5" s="42">
        <v>355629</v>
      </c>
      <c r="D5" s="42">
        <v>80760</v>
      </c>
      <c r="E5" s="42">
        <v>101701</v>
      </c>
      <c r="F5" s="42">
        <v>5084</v>
      </c>
      <c r="G5" s="42">
        <v>13103</v>
      </c>
      <c r="H5" s="45">
        <f t="shared" si="1"/>
        <v>2848660</v>
      </c>
      <c r="I5" s="45">
        <f t="shared" si="2"/>
        <v>2648012</v>
      </c>
      <c r="J5" s="42"/>
      <c r="K5" s="71">
        <f t="shared" si="3"/>
        <v>6.7457937449592942E-2</v>
      </c>
      <c r="L5" s="71">
        <f t="shared" si="4"/>
        <v>2.3867172992379171E-2</v>
      </c>
      <c r="M5" s="71">
        <f t="shared" si="5"/>
        <v>2.6945232130822339E-2</v>
      </c>
      <c r="N5" s="71">
        <f t="shared" si="6"/>
        <v>6.3573236284536927E-2</v>
      </c>
      <c r="O5" s="71">
        <f t="shared" si="7"/>
        <v>0.15231187669990942</v>
      </c>
      <c r="P5" s="71">
        <f t="shared" si="8"/>
        <v>6.6324869791666741E-2</v>
      </c>
      <c r="Q5" s="71">
        <f t="shared" si="9"/>
        <v>6.0630318212179679E-2</v>
      </c>
      <c r="R5" s="71">
        <f t="shared" si="10"/>
        <v>6.0630318212179679E-2</v>
      </c>
      <c r="T5" s="158"/>
      <c r="U5" s="23"/>
    </row>
    <row r="6" spans="1:23">
      <c r="A6" s="77">
        <v>2003</v>
      </c>
      <c r="B6" s="42">
        <v>2395130</v>
      </c>
      <c r="C6" s="42">
        <v>364350</v>
      </c>
      <c r="D6" s="42">
        <v>83623</v>
      </c>
      <c r="E6" s="42">
        <v>106870</v>
      </c>
      <c r="F6" s="42">
        <v>5451</v>
      </c>
      <c r="G6" s="42">
        <v>13747</v>
      </c>
      <c r="H6" s="45">
        <f t="shared" si="1"/>
        <v>2969171</v>
      </c>
      <c r="I6" s="45">
        <f t="shared" si="2"/>
        <v>2759480</v>
      </c>
      <c r="J6" s="42"/>
      <c r="K6" s="71">
        <f t="shared" si="3"/>
        <v>0.11530251695447213</v>
      </c>
      <c r="L6" s="71">
        <f t="shared" si="4"/>
        <v>4.8975208657824121E-2</v>
      </c>
      <c r="M6" s="71">
        <f t="shared" si="5"/>
        <v>6.3351178138630004E-2</v>
      </c>
      <c r="N6" s="71">
        <f t="shared" si="6"/>
        <v>0.1176298341385873</v>
      </c>
      <c r="O6" s="71">
        <f t="shared" si="7"/>
        <v>0.23549410698096107</v>
      </c>
      <c r="P6" s="71">
        <f t="shared" si="8"/>
        <v>0.11873372395833326</v>
      </c>
      <c r="Q6" s="71">
        <f t="shared" si="9"/>
        <v>0.1054997025114881</v>
      </c>
      <c r="R6" s="71">
        <f t="shared" si="10"/>
        <v>0.1054997025114881</v>
      </c>
      <c r="T6" s="158"/>
      <c r="U6" s="23"/>
    </row>
    <row r="7" spans="1:23">
      <c r="A7" s="77">
        <v>2004</v>
      </c>
      <c r="B7" s="42">
        <v>2490911</v>
      </c>
      <c r="C7" s="42">
        <v>376168</v>
      </c>
      <c r="D7" s="42">
        <v>88466</v>
      </c>
      <c r="E7" s="42">
        <v>113751</v>
      </c>
      <c r="F7" s="42">
        <v>5876</v>
      </c>
      <c r="G7" s="42">
        <v>14400</v>
      </c>
      <c r="H7" s="45">
        <f t="shared" si="1"/>
        <v>3089572</v>
      </c>
      <c r="I7" s="45">
        <f t="shared" si="2"/>
        <v>2867079</v>
      </c>
      <c r="J7" s="42"/>
      <c r="K7" s="71">
        <f t="shared" si="3"/>
        <v>0.15990334879926382</v>
      </c>
      <c r="L7" s="71">
        <f t="shared" si="4"/>
        <v>8.2999605572653845E-2</v>
      </c>
      <c r="M7" s="71">
        <f t="shared" si="5"/>
        <v>0.12493483043196307</v>
      </c>
      <c r="N7" s="71">
        <f t="shared" si="6"/>
        <v>0.1895902616552676</v>
      </c>
      <c r="O7" s="71">
        <f t="shared" si="7"/>
        <v>0.33182230281051672</v>
      </c>
      <c r="P7" s="71">
        <f t="shared" si="8"/>
        <v>0.171875</v>
      </c>
      <c r="Q7" s="71">
        <f t="shared" si="9"/>
        <v>0.15032813094558151</v>
      </c>
      <c r="R7" s="71">
        <f t="shared" si="10"/>
        <v>0.15032813094558151</v>
      </c>
      <c r="T7" s="158"/>
      <c r="U7" s="23"/>
    </row>
    <row r="8" spans="1:23">
      <c r="A8" s="77">
        <v>2005</v>
      </c>
      <c r="B8" s="42">
        <v>2578516</v>
      </c>
      <c r="C8" s="42">
        <v>388686</v>
      </c>
      <c r="D8" s="42">
        <v>97398</v>
      </c>
      <c r="E8" s="42">
        <v>119819</v>
      </c>
      <c r="F8" s="42">
        <v>6205</v>
      </c>
      <c r="G8" s="42">
        <v>15015</v>
      </c>
      <c r="H8" s="45">
        <f t="shared" si="1"/>
        <v>3205639</v>
      </c>
      <c r="I8" s="45">
        <f t="shared" si="2"/>
        <v>2967202</v>
      </c>
      <c r="J8" s="42"/>
      <c r="K8" s="71">
        <f t="shared" si="3"/>
        <v>0.2006969913146166</v>
      </c>
      <c r="L8" s="71">
        <f t="shared" si="4"/>
        <v>0.11903932469431888</v>
      </c>
      <c r="M8" s="71">
        <f t="shared" si="5"/>
        <v>0.2385142610088884</v>
      </c>
      <c r="N8" s="71">
        <f t="shared" si="6"/>
        <v>0.25304846165108441</v>
      </c>
      <c r="O8" s="71">
        <f t="shared" si="7"/>
        <v>0.40639165911151398</v>
      </c>
      <c r="P8" s="71">
        <f t="shared" si="8"/>
        <v>0.221923828125</v>
      </c>
      <c r="Q8" s="71">
        <f t="shared" si="9"/>
        <v>0.19354289829020432</v>
      </c>
      <c r="R8" s="71">
        <f t="shared" si="10"/>
        <v>0.19354289829020432</v>
      </c>
      <c r="T8" s="158"/>
      <c r="U8" s="23"/>
    </row>
    <row r="9" spans="1:23">
      <c r="A9" s="77">
        <v>2006</v>
      </c>
      <c r="B9" s="42">
        <v>2631661</v>
      </c>
      <c r="C9" s="42">
        <v>398206</v>
      </c>
      <c r="D9" s="42">
        <v>108056</v>
      </c>
      <c r="E9" s="42">
        <v>124349</v>
      </c>
      <c r="F9" s="42">
        <v>6449</v>
      </c>
      <c r="G9" s="42">
        <v>15319</v>
      </c>
      <c r="H9" s="45">
        <f t="shared" si="1"/>
        <v>3284040</v>
      </c>
      <c r="I9" s="45">
        <f t="shared" si="2"/>
        <v>3029867</v>
      </c>
      <c r="J9" s="42"/>
      <c r="K9" s="71">
        <f t="shared" si="3"/>
        <v>0.22544418761024354</v>
      </c>
      <c r="L9" s="71">
        <f t="shared" si="4"/>
        <v>0.14644770670728025</v>
      </c>
      <c r="M9" s="71">
        <f t="shared" si="5"/>
        <v>0.37404153049935784</v>
      </c>
      <c r="N9" s="71">
        <f t="shared" si="6"/>
        <v>0.30042249691493583</v>
      </c>
      <c r="O9" s="71">
        <f t="shared" si="7"/>
        <v>0.46169537624660029</v>
      </c>
      <c r="P9" s="71">
        <f t="shared" si="8"/>
        <v>0.24666341145833326</v>
      </c>
      <c r="Q9" s="71">
        <f t="shared" si="9"/>
        <v>0.22273363273311886</v>
      </c>
      <c r="R9" s="71">
        <f t="shared" si="10"/>
        <v>0.22273363273311886</v>
      </c>
      <c r="T9" s="158"/>
      <c r="U9" s="23"/>
      <c r="W9" s="8"/>
    </row>
    <row r="10" spans="1:23">
      <c r="A10" s="77">
        <v>2007</v>
      </c>
      <c r="B10" s="42">
        <v>2679348</v>
      </c>
      <c r="C10" s="42">
        <v>409538</v>
      </c>
      <c r="D10" s="42">
        <v>119784</v>
      </c>
      <c r="E10" s="42">
        <v>128816</v>
      </c>
      <c r="F10" s="42">
        <v>6881</v>
      </c>
      <c r="G10" s="42">
        <v>15546</v>
      </c>
      <c r="H10" s="45">
        <f t="shared" si="1"/>
        <v>3359913</v>
      </c>
      <c r="I10" s="45">
        <f t="shared" si="2"/>
        <v>3088886</v>
      </c>
      <c r="J10" s="42"/>
      <c r="K10" s="71">
        <f t="shared" si="3"/>
        <v>0.24764984288824854</v>
      </c>
      <c r="L10" s="71">
        <f t="shared" si="4"/>
        <v>0.17907289420422123</v>
      </c>
      <c r="M10" s="71">
        <f t="shared" si="5"/>
        <v>0.52317493419463124</v>
      </c>
      <c r="N10" s="71">
        <f t="shared" si="6"/>
        <v>0.34713768797975364</v>
      </c>
      <c r="O10" s="71">
        <f t="shared" si="7"/>
        <v>0.55961015412511328</v>
      </c>
      <c r="P10" s="71">
        <f t="shared" si="8"/>
        <v>0.26513671875</v>
      </c>
      <c r="Q10" s="71">
        <f t="shared" si="9"/>
        <v>0.25098312692818348</v>
      </c>
      <c r="R10" s="71">
        <f t="shared" si="10"/>
        <v>0.25098312692818348</v>
      </c>
      <c r="T10" s="158"/>
      <c r="U10" s="23"/>
    </row>
    <row r="11" spans="1:23">
      <c r="A11" s="77">
        <v>2008</v>
      </c>
      <c r="B11" s="42">
        <v>2692948</v>
      </c>
      <c r="C11" s="42">
        <v>416004</v>
      </c>
      <c r="D11" s="42">
        <v>133685</v>
      </c>
      <c r="E11" s="42">
        <v>131259</v>
      </c>
      <c r="F11" s="42">
        <v>7329</v>
      </c>
      <c r="G11" s="42">
        <v>15865</v>
      </c>
      <c r="H11" s="45">
        <f t="shared" si="1"/>
        <v>3397090</v>
      </c>
      <c r="I11" s="45">
        <f t="shared" si="2"/>
        <v>3108952</v>
      </c>
      <c r="J11" s="42"/>
      <c r="K11" s="71">
        <f t="shared" si="3"/>
        <v>0.25398274099005547</v>
      </c>
      <c r="L11" s="71">
        <f t="shared" si="4"/>
        <v>0.19768871333193228</v>
      </c>
      <c r="M11" s="71">
        <f t="shared" si="5"/>
        <v>0.69994023473760514</v>
      </c>
      <c r="N11" s="71">
        <f t="shared" si="6"/>
        <v>0.3726862019200603</v>
      </c>
      <c r="O11" s="71">
        <f t="shared" si="7"/>
        <v>0.66115140525838623</v>
      </c>
      <c r="P11" s="71">
        <f t="shared" si="8"/>
        <v>0.29109700520833326</v>
      </c>
      <c r="Q11" s="71">
        <f t="shared" si="9"/>
        <v>0.26482509239270868</v>
      </c>
      <c r="R11" s="71">
        <f t="shared" si="10"/>
        <v>0.26482509239270868</v>
      </c>
      <c r="T11" s="158"/>
      <c r="U11" s="23"/>
    </row>
    <row r="12" spans="1:23">
      <c r="A12" s="77">
        <v>2009</v>
      </c>
      <c r="B12" s="42">
        <v>2684863</v>
      </c>
      <c r="C12" s="42">
        <v>415398</v>
      </c>
      <c r="D12" s="42">
        <v>138534</v>
      </c>
      <c r="E12" s="42">
        <v>130405</v>
      </c>
      <c r="F12" s="42">
        <v>7697</v>
      </c>
      <c r="G12" s="42">
        <v>15812</v>
      </c>
      <c r="H12" s="45">
        <f t="shared" si="1"/>
        <v>3392709</v>
      </c>
      <c r="I12" s="45">
        <f t="shared" si="2"/>
        <v>3100261</v>
      </c>
      <c r="J12" s="42"/>
      <c r="K12" s="71">
        <f t="shared" si="3"/>
        <v>0.25021792619938577</v>
      </c>
      <c r="L12" s="71">
        <f t="shared" si="4"/>
        <v>0.19594402010715761</v>
      </c>
      <c r="M12" s="71">
        <f t="shared" si="5"/>
        <v>0.76160018311059119</v>
      </c>
      <c r="N12" s="71">
        <f t="shared" si="6"/>
        <v>0.36375520277760343</v>
      </c>
      <c r="O12" s="71">
        <f t="shared" si="7"/>
        <v>0.74456029011786029</v>
      </c>
      <c r="P12" s="71">
        <f t="shared" si="8"/>
        <v>0.28678385416666674</v>
      </c>
      <c r="Q12" s="71">
        <f t="shared" si="9"/>
        <v>0.26319393197900975</v>
      </c>
      <c r="R12" s="71">
        <f t="shared" si="10"/>
        <v>0.26319393197900975</v>
      </c>
      <c r="T12" s="158"/>
      <c r="U12" s="23"/>
    </row>
    <row r="13" spans="1:23">
      <c r="A13" s="77">
        <v>2010</v>
      </c>
      <c r="B13" s="42">
        <v>2705457</v>
      </c>
      <c r="C13" s="42">
        <v>417462</v>
      </c>
      <c r="D13" s="42">
        <v>140372</v>
      </c>
      <c r="E13" s="42">
        <v>129044</v>
      </c>
      <c r="F13" s="42">
        <v>7832</v>
      </c>
      <c r="G13" s="42">
        <v>15547</v>
      </c>
      <c r="H13" s="45">
        <f t="shared" si="1"/>
        <v>3415714</v>
      </c>
      <c r="I13" s="45">
        <f t="shared" si="2"/>
        <v>3122919</v>
      </c>
      <c r="J13" s="42"/>
      <c r="K13" s="71">
        <f t="shared" si="3"/>
        <v>0.25980761028090127</v>
      </c>
      <c r="L13" s="71">
        <f t="shared" si="4"/>
        <v>0.20188634158559804</v>
      </c>
      <c r="M13" s="71">
        <f t="shared" si="5"/>
        <v>0.78497221551099305</v>
      </c>
      <c r="N13" s="71">
        <f t="shared" si="6"/>
        <v>0.34952207650958989</v>
      </c>
      <c r="O13" s="71">
        <f t="shared" si="7"/>
        <v>0.77515865820489571</v>
      </c>
      <c r="P13" s="71">
        <f t="shared" si="8"/>
        <v>0.26521809895833326</v>
      </c>
      <c r="Q13" s="71">
        <f t="shared" si="9"/>
        <v>0.27175929269965415</v>
      </c>
      <c r="R13" s="71">
        <f t="shared" si="10"/>
        <v>0.27175929269965415</v>
      </c>
      <c r="T13" s="158"/>
      <c r="U13" s="23"/>
    </row>
    <row r="14" spans="1:23">
      <c r="A14" s="77">
        <v>2011</v>
      </c>
      <c r="B14" s="42">
        <v>2698491</v>
      </c>
      <c r="C14" s="42">
        <v>419672</v>
      </c>
      <c r="D14" s="42">
        <v>140984</v>
      </c>
      <c r="E14" s="42">
        <v>127823</v>
      </c>
      <c r="F14" s="42">
        <v>7939</v>
      </c>
      <c r="G14" s="42">
        <v>15776</v>
      </c>
      <c r="H14" s="45">
        <f t="shared" si="1"/>
        <v>3410685</v>
      </c>
      <c r="I14" s="45">
        <f t="shared" si="2"/>
        <v>3118163</v>
      </c>
      <c r="J14" s="42"/>
      <c r="K14" s="71">
        <f t="shared" si="3"/>
        <v>0.25656386262081399</v>
      </c>
      <c r="L14" s="71">
        <f t="shared" si="4"/>
        <v>0.20824900169574967</v>
      </c>
      <c r="M14" s="71">
        <f t="shared" si="5"/>
        <v>0.79275441563560989</v>
      </c>
      <c r="N14" s="71">
        <f t="shared" si="6"/>
        <v>0.33675304846165099</v>
      </c>
      <c r="O14" s="71">
        <f t="shared" si="7"/>
        <v>0.79941069809610155</v>
      </c>
      <c r="P14" s="71">
        <f t="shared" si="8"/>
        <v>0.28385416666666674</v>
      </c>
      <c r="Q14" s="71">
        <f t="shared" si="9"/>
        <v>0.26988686500723436</v>
      </c>
      <c r="R14" s="71">
        <f t="shared" si="10"/>
        <v>0.26988686500723436</v>
      </c>
      <c r="T14" s="158"/>
      <c r="U14" s="23"/>
    </row>
    <row r="15" spans="1:23">
      <c r="A15" s="77">
        <v>2012</v>
      </c>
      <c r="B15" s="42">
        <v>2736658</v>
      </c>
      <c r="C15" s="42">
        <v>429688</v>
      </c>
      <c r="D15" s="42">
        <v>143732</v>
      </c>
      <c r="E15" s="42">
        <v>127837</v>
      </c>
      <c r="F15" s="42">
        <v>8063</v>
      </c>
      <c r="G15" s="42">
        <v>16107</v>
      </c>
      <c r="H15" s="45">
        <f t="shared" si="1"/>
        <v>3462085</v>
      </c>
      <c r="I15" s="45">
        <f t="shared" si="2"/>
        <v>3166346</v>
      </c>
      <c r="J15" s="42"/>
      <c r="K15" s="71">
        <f t="shared" si="3"/>
        <v>0.27433648922755416</v>
      </c>
      <c r="L15" s="71">
        <f t="shared" si="4"/>
        <v>0.23708538344384023</v>
      </c>
      <c r="M15" s="71">
        <f t="shared" si="5"/>
        <v>0.82769802011673299</v>
      </c>
      <c r="N15" s="71">
        <f t="shared" si="6"/>
        <v>0.33689945828365864</v>
      </c>
      <c r="O15" s="71">
        <f t="shared" si="7"/>
        <v>0.82751586582048953</v>
      </c>
      <c r="P15" s="71">
        <f t="shared" si="8"/>
        <v>0.310791015625</v>
      </c>
      <c r="Q15" s="71">
        <f t="shared" si="9"/>
        <v>0.28902442384405802</v>
      </c>
      <c r="R15" s="71">
        <f t="shared" si="10"/>
        <v>0.28902442384405802</v>
      </c>
      <c r="T15" s="158"/>
      <c r="U15" s="23"/>
      <c r="V15" s="37"/>
      <c r="W15" s="8"/>
    </row>
    <row r="16" spans="1:23">
      <c r="A16" s="77">
        <v>2013</v>
      </c>
      <c r="B16" s="42">
        <v>2794838</v>
      </c>
      <c r="C16" s="42">
        <v>449230</v>
      </c>
      <c r="D16" s="42">
        <v>147823</v>
      </c>
      <c r="E16" s="42">
        <v>129787</v>
      </c>
      <c r="F16" s="42">
        <v>8316</v>
      </c>
      <c r="G16" s="42">
        <v>17637</v>
      </c>
      <c r="H16" s="45">
        <f t="shared" si="1"/>
        <v>3547631</v>
      </c>
      <c r="I16" s="45">
        <f t="shared" si="2"/>
        <v>3244068</v>
      </c>
      <c r="J16" s="42"/>
      <c r="K16" s="71">
        <f t="shared" si="3"/>
        <v>0.30142825478366642</v>
      </c>
      <c r="L16" s="71">
        <f t="shared" si="4"/>
        <v>0.29334742139523629</v>
      </c>
      <c r="M16" s="71">
        <f t="shared" si="5"/>
        <v>0.87971923042687661</v>
      </c>
      <c r="N16" s="71">
        <f t="shared" si="6"/>
        <v>0.35729225492041583</v>
      </c>
      <c r="O16" s="71">
        <f t="shared" si="7"/>
        <v>0.884859474161378</v>
      </c>
      <c r="P16" s="71">
        <f t="shared" si="8"/>
        <v>0.435302734375</v>
      </c>
      <c r="Q16" s="71">
        <f t="shared" si="9"/>
        <v>0.32087542789571</v>
      </c>
      <c r="R16" s="71">
        <f t="shared" si="10"/>
        <v>0.32087542789571</v>
      </c>
      <c r="T16" s="158"/>
      <c r="U16" s="23"/>
    </row>
    <row r="17" spans="1:23">
      <c r="A17" s="77">
        <v>2014</v>
      </c>
      <c r="B17" s="42">
        <v>2884205</v>
      </c>
      <c r="C17" s="42">
        <v>475562</v>
      </c>
      <c r="D17" s="42">
        <v>153106</v>
      </c>
      <c r="E17" s="42">
        <v>133329</v>
      </c>
      <c r="F17" s="42">
        <v>8532</v>
      </c>
      <c r="G17" s="42">
        <v>22117</v>
      </c>
      <c r="H17" s="45">
        <f t="shared" si="1"/>
        <v>3676851</v>
      </c>
      <c r="I17" s="45">
        <f t="shared" si="2"/>
        <v>3359767</v>
      </c>
      <c r="J17" s="42"/>
      <c r="K17" s="71">
        <f t="shared" si="3"/>
        <v>0.34304238012662069</v>
      </c>
      <c r="L17" s="71">
        <f t="shared" si="4"/>
        <v>0.36915808475293588</v>
      </c>
      <c r="M17" s="71">
        <f t="shared" si="5"/>
        <v>0.9468979285614374</v>
      </c>
      <c r="N17" s="71">
        <f t="shared" si="6"/>
        <v>0.39433393988831011</v>
      </c>
      <c r="O17" s="71">
        <f t="shared" si="7"/>
        <v>0.93381686310063472</v>
      </c>
      <c r="P17" s="71">
        <f t="shared" si="8"/>
        <v>0.79988606770833326</v>
      </c>
      <c r="Q17" s="71">
        <f t="shared" si="9"/>
        <v>0.36898739974190353</v>
      </c>
      <c r="R17" s="71">
        <f t="shared" si="10"/>
        <v>0.36898739974190353</v>
      </c>
      <c r="T17" s="158"/>
      <c r="U17" s="23"/>
    </row>
    <row r="18" spans="1:23">
      <c r="A18" s="77">
        <v>2015</v>
      </c>
      <c r="B18" s="42">
        <v>2979194</v>
      </c>
      <c r="C18" s="42">
        <v>504066</v>
      </c>
      <c r="D18" s="42">
        <v>158914</v>
      </c>
      <c r="E18" s="42">
        <v>136832</v>
      </c>
      <c r="F18" s="42">
        <v>8760</v>
      </c>
      <c r="G18" s="42">
        <v>24790</v>
      </c>
      <c r="H18" s="45">
        <f t="shared" si="1"/>
        <v>3812556</v>
      </c>
      <c r="I18" s="45">
        <f t="shared" si="2"/>
        <v>3483260</v>
      </c>
      <c r="J18" s="42"/>
      <c r="K18" s="71">
        <f t="shared" si="3"/>
        <v>0.38727441378783678</v>
      </c>
      <c r="L18" s="71">
        <f t="shared" si="4"/>
        <v>0.45122200501527332</v>
      </c>
      <c r="M18" s="71">
        <f t="shared" si="5"/>
        <v>1.0207525336656453</v>
      </c>
      <c r="N18" s="71">
        <f t="shared" si="6"/>
        <v>0.43096776892346944</v>
      </c>
      <c r="O18" s="71">
        <f t="shared" si="7"/>
        <v>0.98549410698096107</v>
      </c>
      <c r="P18" s="71">
        <f t="shared" si="8"/>
        <v>1.0174153645833335</v>
      </c>
      <c r="Q18" s="71">
        <f t="shared" si="9"/>
        <v>0.41951390600554461</v>
      </c>
      <c r="R18" s="71">
        <f t="shared" si="10"/>
        <v>0.41951390600554461</v>
      </c>
      <c r="T18" s="158"/>
      <c r="U18" s="23"/>
    </row>
    <row r="19" spans="1:23">
      <c r="A19" s="77">
        <v>2016</v>
      </c>
      <c r="B19" s="42">
        <v>3090995</v>
      </c>
      <c r="C19" s="42">
        <v>540545</v>
      </c>
      <c r="D19" s="42">
        <v>164351</v>
      </c>
      <c r="E19" s="42">
        <v>140169</v>
      </c>
      <c r="F19" s="42">
        <v>9371</v>
      </c>
      <c r="G19" s="42">
        <v>27246</v>
      </c>
      <c r="H19" s="45">
        <f t="shared" si="1"/>
        <v>3972677</v>
      </c>
      <c r="I19" s="45">
        <f t="shared" si="2"/>
        <v>3631540</v>
      </c>
      <c r="J19" s="42"/>
      <c r="K19" s="71">
        <f t="shared" si="3"/>
        <v>0.43933502707313932</v>
      </c>
      <c r="L19" s="71">
        <f t="shared" si="4"/>
        <v>0.55624620327691399</v>
      </c>
      <c r="M19" s="71">
        <f t="shared" si="5"/>
        <v>1.0898894978446356</v>
      </c>
      <c r="N19" s="71">
        <f t="shared" si="6"/>
        <v>0.46586559578339704</v>
      </c>
      <c r="O19" s="71">
        <f t="shared" si="7"/>
        <v>1.1239800543970988</v>
      </c>
      <c r="P19" s="71">
        <f t="shared" si="8"/>
        <v>1.21728515625</v>
      </c>
      <c r="Q19" s="71">
        <f t="shared" si="9"/>
        <v>0.47913112504272437</v>
      </c>
      <c r="R19" s="71">
        <f t="shared" si="10"/>
        <v>0.47913112504272437</v>
      </c>
      <c r="T19" s="158"/>
      <c r="U19" s="23"/>
    </row>
    <row r="20" spans="1:23">
      <c r="A20" s="77">
        <v>2017</v>
      </c>
      <c r="B20" s="42">
        <v>3201258</v>
      </c>
      <c r="C20" s="42">
        <v>582475</v>
      </c>
      <c r="D20" s="42">
        <v>170329</v>
      </c>
      <c r="E20" s="42">
        <v>144828</v>
      </c>
      <c r="F20" s="42">
        <v>9888</v>
      </c>
      <c r="G20" s="42">
        <v>29111</v>
      </c>
      <c r="H20" s="45">
        <f t="shared" si="1"/>
        <v>4137889</v>
      </c>
      <c r="I20" s="45">
        <f t="shared" si="2"/>
        <v>3783733</v>
      </c>
      <c r="J20" s="42"/>
      <c r="K20" s="71">
        <f t="shared" si="3"/>
        <v>0.49067946408781116</v>
      </c>
      <c r="L20" s="71">
        <f t="shared" si="4"/>
        <v>0.67696400346635421</v>
      </c>
      <c r="M20" s="71">
        <f t="shared" si="5"/>
        <v>1.1659058252056815</v>
      </c>
      <c r="N20" s="71">
        <f t="shared" si="6"/>
        <v>0.51458869297860321</v>
      </c>
      <c r="O20" s="71">
        <f t="shared" si="7"/>
        <v>1.241160471441523</v>
      </c>
      <c r="P20" s="71">
        <f t="shared" si="8"/>
        <v>1.3690592447916665</v>
      </c>
      <c r="Q20" s="71">
        <f t="shared" si="9"/>
        <v>0.5406438559872635</v>
      </c>
      <c r="R20" s="71">
        <f t="shared" si="10"/>
        <v>0.5406438559872635</v>
      </c>
      <c r="T20" s="158"/>
      <c r="U20" s="23"/>
    </row>
    <row r="21" spans="1:23">
      <c r="A21" s="77">
        <v>2018</v>
      </c>
      <c r="B21" s="42">
        <v>3277200</v>
      </c>
      <c r="C21" s="42">
        <v>622818</v>
      </c>
      <c r="D21" s="42">
        <v>176063</v>
      </c>
      <c r="E21" s="42">
        <v>149360</v>
      </c>
      <c r="F21" s="42">
        <v>10664</v>
      </c>
      <c r="G21" s="42">
        <v>31035</v>
      </c>
      <c r="H21" s="45">
        <f t="shared" si="1"/>
        <v>4267140</v>
      </c>
      <c r="I21" s="45">
        <f t="shared" si="2"/>
        <v>3900018</v>
      </c>
      <c r="J21" s="42"/>
      <c r="K21" s="71">
        <f t="shared" ref="K21" si="11">B21/B$3-1</f>
        <v>0.52604218082659226</v>
      </c>
      <c r="L21" s="71">
        <f t="shared" ref="L21" si="12">C21/C$3-1</f>
        <v>0.79311278030972621</v>
      </c>
      <c r="M21" s="71">
        <f t="shared" ref="M21" si="13">D21/D$3-1</f>
        <v>1.238819445327501</v>
      </c>
      <c r="N21" s="71">
        <f t="shared" ref="N21" si="14">E21/E$3-1</f>
        <v>0.56198364393131284</v>
      </c>
      <c r="O21" s="71">
        <f t="shared" ref="O21:O26" si="15">F21/F$3-1</f>
        <v>1.4170444242973708</v>
      </c>
      <c r="P21" s="71">
        <f t="shared" ref="P21:Q21" si="16">G21/G$3-1</f>
        <v>1.525634765625</v>
      </c>
      <c r="Q21" s="71">
        <f t="shared" si="16"/>
        <v>0.58876736994092682</v>
      </c>
      <c r="R21" s="71">
        <f t="shared" si="10"/>
        <v>0.58876736994092682</v>
      </c>
      <c r="T21" s="158"/>
      <c r="U21" s="23"/>
      <c r="V21" s="37"/>
      <c r="W21" s="8"/>
    </row>
    <row r="22" spans="1:23">
      <c r="A22" s="77">
        <v>2019</v>
      </c>
      <c r="B22" s="42">
        <v>3338044</v>
      </c>
      <c r="C22" s="42">
        <v>658551</v>
      </c>
      <c r="D22" s="42">
        <v>181676</v>
      </c>
      <c r="E22" s="42">
        <v>153473</v>
      </c>
      <c r="F22" s="42">
        <v>10939</v>
      </c>
      <c r="G22" s="42">
        <v>32754</v>
      </c>
      <c r="H22" s="45">
        <f t="shared" si="1"/>
        <v>4375437</v>
      </c>
      <c r="I22" s="45">
        <f t="shared" si="2"/>
        <v>3996595</v>
      </c>
      <c r="J22" s="56"/>
      <c r="K22" s="71">
        <f t="shared" ref="K22" si="17">B22/B$3-1</f>
        <v>0.55437444936382319</v>
      </c>
      <c r="L22" s="71">
        <f t="shared" ref="L22" si="18">C22/C$3-1</f>
        <v>0.89598922090522515</v>
      </c>
      <c r="M22" s="71">
        <f t="shared" ref="M22" si="19">D22/D$3-1</f>
        <v>1.3101944278429825</v>
      </c>
      <c r="N22" s="71">
        <f t="shared" ref="N22" si="20">E22/E$3-1</f>
        <v>0.60499675806822695</v>
      </c>
      <c r="O22" s="71">
        <f t="shared" si="15"/>
        <v>1.4793744333635539</v>
      </c>
      <c r="P22" s="71">
        <f t="shared" ref="P22:Q22" si="21">G22/G$3-1</f>
        <v>1.66552734375</v>
      </c>
      <c r="Q22" s="71">
        <f t="shared" si="21"/>
        <v>0.62908916389718139</v>
      </c>
      <c r="R22" s="71">
        <f t="shared" si="10"/>
        <v>0.62908916389718139</v>
      </c>
      <c r="T22" s="158"/>
      <c r="U22" s="23"/>
    </row>
    <row r="23" spans="1:23">
      <c r="A23" s="77">
        <v>2020</v>
      </c>
      <c r="B23" s="42">
        <v>3355564</v>
      </c>
      <c r="C23" s="42">
        <v>682228</v>
      </c>
      <c r="D23" s="42">
        <v>187487</v>
      </c>
      <c r="E23" s="42">
        <v>156488</v>
      </c>
      <c r="F23" s="42">
        <v>10981</v>
      </c>
      <c r="G23" s="42">
        <v>33591</v>
      </c>
      <c r="H23" s="45">
        <f t="shared" ref="H23" si="22">SUM(B23:G23)</f>
        <v>4426339</v>
      </c>
      <c r="I23" s="45">
        <f t="shared" ref="I23" si="23">B23+C23</f>
        <v>4037792</v>
      </c>
      <c r="J23" s="56"/>
      <c r="K23" s="71">
        <f t="shared" ref="K23" si="24">B23/B$3-1</f>
        <v>0.56253271221262136</v>
      </c>
      <c r="L23" s="71">
        <f>C23/C$3-1</f>
        <v>0.96415605503557034</v>
      </c>
      <c r="M23" s="71">
        <f t="shared" ref="M23" si="25">D23/D$3-1</f>
        <v>1.384087180987017</v>
      </c>
      <c r="N23" s="71">
        <f t="shared" ref="N23" si="26">E23/E$3-1</f>
        <v>0.63652715902198231</v>
      </c>
      <c r="O23" s="71">
        <f t="shared" si="15"/>
        <v>1.4888939256572984</v>
      </c>
      <c r="P23" s="71">
        <f t="shared" ref="P23" si="27">G23/G$3-1</f>
        <v>1.733642578125</v>
      </c>
      <c r="Q23" s="71">
        <f t="shared" ref="Q23" si="28">H23/H$3-1</f>
        <v>0.64804130436239538</v>
      </c>
      <c r="R23" s="71">
        <f>H23/H$3-1</f>
        <v>0.64804130436239538</v>
      </c>
      <c r="T23" s="158"/>
      <c r="U23" s="23"/>
    </row>
    <row r="24" spans="1:23">
      <c r="A24" s="77">
        <v>2021</v>
      </c>
      <c r="B24" s="42">
        <v>3409597</v>
      </c>
      <c r="C24" s="42">
        <v>716204</v>
      </c>
      <c r="D24" s="42">
        <v>193921</v>
      </c>
      <c r="E24" s="42">
        <v>161071</v>
      </c>
      <c r="F24" s="42">
        <v>11125</v>
      </c>
      <c r="G24" s="42">
        <v>35010</v>
      </c>
      <c r="H24" s="45">
        <f>SUM(B24:G24)</f>
        <v>4526928</v>
      </c>
      <c r="I24" s="45">
        <f>B24+C24</f>
        <v>4125801</v>
      </c>
      <c r="K24" s="71">
        <f>B24/B$3-1</f>
        <v>0.58769340950195481</v>
      </c>
      <c r="L24" s="71">
        <f>C24/C$3-1</f>
        <v>1.0619740368919124</v>
      </c>
      <c r="M24" s="71">
        <f t="shared" ref="M24:N26" si="29">D24/D$3-1</f>
        <v>1.4659020104016989</v>
      </c>
      <c r="N24" s="71">
        <f t="shared" si="29"/>
        <v>0.68445546004057634</v>
      </c>
      <c r="O24" s="71">
        <f t="shared" si="15"/>
        <v>1.5215321849501362</v>
      </c>
      <c r="P24" s="71">
        <f t="shared" ref="P24:Q26" si="30">G24/G$3-1</f>
        <v>1.84912109375</v>
      </c>
      <c r="Q24" s="71">
        <f t="shared" si="30"/>
        <v>0.68549320914522127</v>
      </c>
      <c r="R24" s="71">
        <f>H24/H$3-1</f>
        <v>0.68549320914522127</v>
      </c>
    </row>
    <row r="25" spans="1:23">
      <c r="A25" s="77">
        <v>2022</v>
      </c>
      <c r="B25" s="42">
        <v>3462006</v>
      </c>
      <c r="C25" s="42">
        <v>745623</v>
      </c>
      <c r="D25" s="42">
        <v>198845</v>
      </c>
      <c r="E25" s="42">
        <v>166423</v>
      </c>
      <c r="F25" s="42">
        <v>11347</v>
      </c>
      <c r="G25" s="42">
        <v>37275</v>
      </c>
      <c r="H25" s="45">
        <f>SUM(B25:G25)</f>
        <v>4621519</v>
      </c>
      <c r="I25" s="45">
        <f>B25+C25</f>
        <v>4207629</v>
      </c>
      <c r="J25" s="42"/>
      <c r="K25" s="71">
        <f>B25/B$3-1</f>
        <v>0.61209788425324896</v>
      </c>
      <c r="L25" s="71">
        <f>C25/C$3-1</f>
        <v>1.1466722711817563</v>
      </c>
      <c r="M25" s="71">
        <f t="shared" si="29"/>
        <v>1.5285156597703486</v>
      </c>
      <c r="N25" s="71">
        <f t="shared" si="29"/>
        <v>0.74042584342515316</v>
      </c>
      <c r="O25" s="71">
        <f t="shared" si="15"/>
        <v>1.5718495013599276</v>
      </c>
      <c r="P25" s="71">
        <f t="shared" si="30"/>
        <v>2.033447265625</v>
      </c>
      <c r="Q25" s="71">
        <f t="shared" si="30"/>
        <v>0.72071190229568804</v>
      </c>
      <c r="R25" s="71">
        <f>H25/H$3-1</f>
        <v>0.72071190229568804</v>
      </c>
    </row>
    <row r="26" spans="1:23">
      <c r="A26" s="77">
        <v>2023</v>
      </c>
      <c r="B26" s="42">
        <v>3509955</v>
      </c>
      <c r="C26" s="42">
        <v>755025</v>
      </c>
      <c r="D26" s="42">
        <v>203183</v>
      </c>
      <c r="E26" s="42">
        <v>170868</v>
      </c>
      <c r="F26" s="42">
        <v>11519</v>
      </c>
      <c r="G26" s="42">
        <v>39122</v>
      </c>
      <c r="H26" s="45">
        <f>SUM(B26:G26)</f>
        <v>4689672</v>
      </c>
      <c r="I26" s="45">
        <f>B26+C26</f>
        <v>4264980</v>
      </c>
      <c r="K26" s="71">
        <f>B26/B$3-1</f>
        <v>0.63442554095056791</v>
      </c>
      <c r="L26" s="71">
        <f>C26/C$3-1</f>
        <v>1.1737409274512798</v>
      </c>
      <c r="M26" s="71">
        <f t="shared" si="29"/>
        <v>1.5836777253595451</v>
      </c>
      <c r="N26" s="71">
        <f t="shared" si="29"/>
        <v>0.78691096191253052</v>
      </c>
      <c r="O26" s="71">
        <f t="shared" si="15"/>
        <v>1.6108340888485948</v>
      </c>
      <c r="P26" s="71">
        <f t="shared" si="30"/>
        <v>2.1837565104166665</v>
      </c>
      <c r="Q26" s="71">
        <f t="shared" si="30"/>
        <v>0.74608703940475496</v>
      </c>
      <c r="R26" s="71">
        <f>H26/H$3-1</f>
        <v>0.74608703940475496</v>
      </c>
    </row>
  </sheetData>
  <mergeCells count="1">
    <mergeCell ref="T1:U1"/>
  </mergeCells>
  <phoneticPr fontId="0" type="noConversion"/>
  <hyperlinks>
    <hyperlink ref="T1:U1" location="Contents!A1" display="Back to Contents" xr:uid="{00000000-0004-0000-0100-000000000000}"/>
  </hyperlinks>
  <pageMargins left="0.75" right="0.75" top="1" bottom="1" header="0.5" footer="0.5"/>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X26"/>
  <sheetViews>
    <sheetView workbookViewId="0"/>
  </sheetViews>
  <sheetFormatPr defaultColWidth="8.81640625" defaultRowHeight="12.5"/>
  <cols>
    <col min="1" max="1" width="6.26953125" bestFit="1" customWidth="1"/>
    <col min="2" max="11" width="11.26953125" style="1" customWidth="1"/>
    <col min="12" max="12" width="5.7265625" style="1" customWidth="1"/>
    <col min="13" max="16" width="11.26953125" style="1" customWidth="1"/>
    <col min="17" max="17" width="5.7265625" style="1" customWidth="1"/>
    <col min="18" max="21" width="11.26953125" style="1" customWidth="1"/>
    <col min="22" max="22" width="5.7265625" customWidth="1"/>
  </cols>
  <sheetData>
    <row r="1" spans="1:24" ht="24.75" customHeight="1">
      <c r="B1" s="17" t="s">
        <v>90</v>
      </c>
      <c r="C1" s="19"/>
      <c r="D1" s="19"/>
      <c r="E1" s="19"/>
      <c r="F1" s="19"/>
      <c r="G1" s="19"/>
      <c r="H1" s="30"/>
      <c r="I1" s="19"/>
      <c r="J1" s="19"/>
      <c r="K1" s="31"/>
      <c r="M1" s="17" t="s">
        <v>91</v>
      </c>
      <c r="N1" s="31"/>
      <c r="O1" s="31"/>
      <c r="P1" s="31"/>
      <c r="Q1" s="36"/>
      <c r="R1" s="17" t="s">
        <v>92</v>
      </c>
      <c r="S1" s="31"/>
      <c r="T1" s="31"/>
      <c r="U1" s="31"/>
      <c r="W1" s="207" t="s">
        <v>79</v>
      </c>
      <c r="X1" s="207"/>
    </row>
    <row r="2" spans="1:24" ht="20">
      <c r="A2" s="74" t="s">
        <v>80</v>
      </c>
      <c r="B2" s="122" t="s">
        <v>93</v>
      </c>
      <c r="C2" s="62" t="s">
        <v>94</v>
      </c>
      <c r="D2" s="122" t="s">
        <v>95</v>
      </c>
      <c r="E2" s="62" t="s">
        <v>96</v>
      </c>
      <c r="F2" s="128" t="s">
        <v>97</v>
      </c>
      <c r="G2" s="61" t="s">
        <v>83</v>
      </c>
      <c r="H2" s="58" t="s">
        <v>98</v>
      </c>
      <c r="I2" s="58" t="s">
        <v>85</v>
      </c>
      <c r="J2" s="58" t="s">
        <v>86</v>
      </c>
      <c r="K2" s="128" t="s">
        <v>99</v>
      </c>
      <c r="L2" s="76"/>
      <c r="M2" s="58" t="s">
        <v>100</v>
      </c>
      <c r="N2" s="58" t="s">
        <v>101</v>
      </c>
      <c r="O2" s="58" t="s">
        <v>102</v>
      </c>
      <c r="P2" s="58" t="s">
        <v>103</v>
      </c>
      <c r="Q2" s="58"/>
      <c r="R2" s="122" t="s">
        <v>104</v>
      </c>
      <c r="S2" s="58" t="s">
        <v>105</v>
      </c>
      <c r="T2" s="58" t="s">
        <v>106</v>
      </c>
      <c r="U2" s="58" t="s">
        <v>107</v>
      </c>
    </row>
    <row r="3" spans="1:24">
      <c r="A3" s="42">
        <v>2000</v>
      </c>
      <c r="B3" s="177">
        <v>11.725914963999999</v>
      </c>
      <c r="C3" s="177">
        <v>12.436973676999999</v>
      </c>
      <c r="D3" s="177">
        <v>12.005417187000001</v>
      </c>
      <c r="E3" s="177">
        <v>11.546686999</v>
      </c>
      <c r="F3" s="177">
        <v>11.824910064999999</v>
      </c>
      <c r="G3" s="177">
        <v>16.194421484999999</v>
      </c>
      <c r="H3" s="177">
        <v>14.321275439000001</v>
      </c>
      <c r="I3" s="177">
        <v>16.177697189</v>
      </c>
      <c r="J3" s="177">
        <v>17.345784505000001</v>
      </c>
      <c r="K3" s="177">
        <v>11.95411629</v>
      </c>
      <c r="L3" s="49"/>
      <c r="M3" s="192">
        <v>12.4</v>
      </c>
      <c r="N3" s="192">
        <v>11.7</v>
      </c>
      <c r="O3" s="192">
        <v>7</v>
      </c>
      <c r="P3" s="192">
        <v>10.8</v>
      </c>
      <c r="Q3" s="61"/>
      <c r="R3" s="192">
        <v>1408018</v>
      </c>
      <c r="S3" s="192">
        <v>793410</v>
      </c>
      <c r="T3" s="192">
        <v>105129</v>
      </c>
      <c r="U3" s="192">
        <v>188298</v>
      </c>
    </row>
    <row r="4" spans="1:24">
      <c r="A4" s="42">
        <v>2001</v>
      </c>
      <c r="B4" s="177">
        <v>11.876418458</v>
      </c>
      <c r="C4" s="177">
        <v>12.622338769000001</v>
      </c>
      <c r="D4" s="177">
        <v>12.076298467000001</v>
      </c>
      <c r="E4" s="177">
        <v>11.84070816</v>
      </c>
      <c r="F4" s="177">
        <v>11.978248404</v>
      </c>
      <c r="G4" s="177">
        <v>16.593657704999998</v>
      </c>
      <c r="H4" s="177">
        <v>14.612029591000001</v>
      </c>
      <c r="I4" s="177">
        <v>16.300127713999998</v>
      </c>
      <c r="J4" s="177">
        <v>17.294442664999998</v>
      </c>
      <c r="K4" s="177">
        <v>12.111692099000001</v>
      </c>
      <c r="L4" s="49"/>
      <c r="M4" s="192">
        <v>12.5</v>
      </c>
      <c r="N4" s="192">
        <v>11.9</v>
      </c>
      <c r="O4" s="192">
        <v>7</v>
      </c>
      <c r="P4" s="192">
        <v>11.5</v>
      </c>
      <c r="Q4" s="61"/>
      <c r="R4" s="192">
        <v>1380351</v>
      </c>
      <c r="S4" s="192">
        <v>869784</v>
      </c>
      <c r="T4" s="192">
        <v>116337</v>
      </c>
      <c r="U4" s="192">
        <v>197179</v>
      </c>
    </row>
    <row r="5" spans="1:24">
      <c r="A5" s="42">
        <v>2002</v>
      </c>
      <c r="B5" s="177">
        <v>11.970411358</v>
      </c>
      <c r="C5" s="177">
        <v>12.705372733999999</v>
      </c>
      <c r="D5" s="177">
        <v>12.079227111</v>
      </c>
      <c r="E5" s="177">
        <v>12.056082054000001</v>
      </c>
      <c r="F5" s="177">
        <v>12.069116944999999</v>
      </c>
      <c r="G5" s="177">
        <v>16.818567359999999</v>
      </c>
      <c r="H5" s="177">
        <v>14.727603465</v>
      </c>
      <c r="I5" s="177">
        <v>16.313532650999999</v>
      </c>
      <c r="J5" s="177">
        <v>16.963329008999999</v>
      </c>
      <c r="K5" s="177">
        <v>12.203679062999999</v>
      </c>
      <c r="L5" s="49"/>
      <c r="M5" s="192">
        <v>12.6</v>
      </c>
      <c r="N5" s="192">
        <v>12.1</v>
      </c>
      <c r="O5" s="192">
        <v>7</v>
      </c>
      <c r="P5" s="192">
        <v>12</v>
      </c>
      <c r="Q5" s="61"/>
      <c r="R5" s="192">
        <v>1363113</v>
      </c>
      <c r="S5" s="192">
        <v>946207</v>
      </c>
      <c r="T5" s="192">
        <v>128201</v>
      </c>
      <c r="U5" s="192">
        <v>210491</v>
      </c>
    </row>
    <row r="6" spans="1:24">
      <c r="A6" s="42">
        <v>2003</v>
      </c>
      <c r="B6" s="177">
        <v>12.023839833</v>
      </c>
      <c r="C6" s="177">
        <v>12.716392205</v>
      </c>
      <c r="D6" s="177">
        <v>12.025734635999999</v>
      </c>
      <c r="E6" s="177">
        <v>12.221578750000001</v>
      </c>
      <c r="F6" s="177">
        <v>12.115281502</v>
      </c>
      <c r="G6" s="177">
        <v>16.819015104000002</v>
      </c>
      <c r="H6" s="177">
        <v>14.768279218</v>
      </c>
      <c r="I6" s="177">
        <v>16.243166390999999</v>
      </c>
      <c r="J6" s="177">
        <v>16.598057757999999</v>
      </c>
      <c r="K6" s="177">
        <v>12.248121155</v>
      </c>
      <c r="L6" s="49"/>
      <c r="M6" s="192">
        <v>12.5</v>
      </c>
      <c r="N6" s="192">
        <v>12.2</v>
      </c>
      <c r="O6" s="192">
        <v>7.1</v>
      </c>
      <c r="P6" s="192">
        <v>12.3</v>
      </c>
      <c r="Q6" s="61"/>
      <c r="R6" s="192">
        <v>1357037</v>
      </c>
      <c r="S6" s="192">
        <v>1031579</v>
      </c>
      <c r="T6" s="192">
        <v>140711</v>
      </c>
      <c r="U6" s="192">
        <v>230153</v>
      </c>
    </row>
    <row r="7" spans="1:24">
      <c r="A7" s="42">
        <v>2004</v>
      </c>
      <c r="B7" s="177">
        <v>12.106600557</v>
      </c>
      <c r="C7" s="177">
        <v>12.667115491000001</v>
      </c>
      <c r="D7" s="177">
        <v>11.927095736</v>
      </c>
      <c r="E7" s="177">
        <v>12.462061429</v>
      </c>
      <c r="F7" s="177">
        <v>12.180141531</v>
      </c>
      <c r="G7" s="177">
        <v>16.468654623999999</v>
      </c>
      <c r="H7" s="177">
        <v>14.751013177999999</v>
      </c>
      <c r="I7" s="177">
        <v>16.095983661999998</v>
      </c>
      <c r="J7" s="177">
        <v>16.287013889000001</v>
      </c>
      <c r="K7" s="177">
        <v>12.306718574</v>
      </c>
      <c r="L7" s="49"/>
      <c r="M7" s="192">
        <v>12.5</v>
      </c>
      <c r="N7" s="192">
        <v>12.4</v>
      </c>
      <c r="O7" s="192">
        <v>7.1</v>
      </c>
      <c r="P7" s="192">
        <v>12.7</v>
      </c>
      <c r="Q7" s="61"/>
      <c r="R7" s="192">
        <v>1355829</v>
      </c>
      <c r="S7" s="192">
        <v>1109629</v>
      </c>
      <c r="T7" s="192">
        <v>155084</v>
      </c>
      <c r="U7" s="192">
        <v>246537</v>
      </c>
    </row>
    <row r="8" spans="1:24">
      <c r="A8" s="42">
        <v>2005</v>
      </c>
      <c r="B8" s="177">
        <v>12.225263872999999</v>
      </c>
      <c r="C8" s="177">
        <v>12.598180793999999</v>
      </c>
      <c r="D8" s="177">
        <v>11.816060397999999</v>
      </c>
      <c r="E8" s="177">
        <v>12.761644328999999</v>
      </c>
      <c r="F8" s="177">
        <v>12.274113795</v>
      </c>
      <c r="G8" s="177">
        <v>15.682442145</v>
      </c>
      <c r="H8" s="177">
        <v>14.753791135</v>
      </c>
      <c r="I8" s="177">
        <v>16.178887994</v>
      </c>
      <c r="J8" s="177">
        <v>15.884548785</v>
      </c>
      <c r="K8" s="177">
        <v>12.388731461000001</v>
      </c>
      <c r="L8" s="49"/>
      <c r="M8" s="192">
        <v>12.4</v>
      </c>
      <c r="N8" s="192">
        <v>12.7</v>
      </c>
      <c r="O8" s="192">
        <v>7.1</v>
      </c>
      <c r="P8" s="192">
        <v>13.2</v>
      </c>
      <c r="Q8" s="61"/>
      <c r="R8" s="192">
        <v>1357015</v>
      </c>
      <c r="S8" s="192">
        <v>1178584</v>
      </c>
      <c r="T8" s="192">
        <v>172835</v>
      </c>
      <c r="U8" s="192">
        <v>258768</v>
      </c>
    </row>
    <row r="9" spans="1:24">
      <c r="A9" s="42">
        <v>2006</v>
      </c>
      <c r="B9" s="177">
        <v>12.414620272000001</v>
      </c>
      <c r="C9" s="177">
        <v>12.612245923</v>
      </c>
      <c r="D9" s="177">
        <v>11.750667719999999</v>
      </c>
      <c r="E9" s="177">
        <v>13.162550108</v>
      </c>
      <c r="F9" s="177">
        <v>12.440593596999999</v>
      </c>
      <c r="G9" s="177">
        <v>15.011100726</v>
      </c>
      <c r="H9" s="177">
        <v>14.941841108</v>
      </c>
      <c r="I9" s="177">
        <v>16.548999845000001</v>
      </c>
      <c r="J9" s="177">
        <v>15.909622038</v>
      </c>
      <c r="K9" s="177">
        <v>12.546458872000001</v>
      </c>
      <c r="L9" s="49"/>
      <c r="M9" s="192">
        <v>12.4</v>
      </c>
      <c r="N9" s="192">
        <v>13</v>
      </c>
      <c r="O9" s="192">
        <v>7.1</v>
      </c>
      <c r="P9" s="192">
        <v>13.8</v>
      </c>
      <c r="Q9" s="61"/>
      <c r="R9" s="192">
        <v>1357891</v>
      </c>
      <c r="S9" s="192">
        <v>1220622</v>
      </c>
      <c r="T9" s="192">
        <v>191411</v>
      </c>
      <c r="U9" s="192">
        <v>259943</v>
      </c>
    </row>
    <row r="10" spans="1:24">
      <c r="A10" s="42">
        <v>2007</v>
      </c>
      <c r="B10" s="177">
        <v>12.604469446</v>
      </c>
      <c r="C10" s="177">
        <v>12.585952952</v>
      </c>
      <c r="D10" s="177">
        <v>11.692788453</v>
      </c>
      <c r="E10" s="177">
        <v>13.545774808000001</v>
      </c>
      <c r="F10" s="177">
        <v>12.602014448</v>
      </c>
      <c r="G10" s="177">
        <v>14.357092766999999</v>
      </c>
      <c r="H10" s="177">
        <v>15.115203080000001</v>
      </c>
      <c r="I10" s="177">
        <v>16.596061619</v>
      </c>
      <c r="J10" s="177">
        <v>15.949697670999999</v>
      </c>
      <c r="K10" s="177">
        <v>12.697147717</v>
      </c>
      <c r="L10" s="49"/>
      <c r="M10" s="192">
        <v>12.4</v>
      </c>
      <c r="N10" s="192">
        <v>13.4</v>
      </c>
      <c r="O10" s="192">
        <v>7.1</v>
      </c>
      <c r="P10" s="192">
        <v>14.4</v>
      </c>
      <c r="Q10" s="61"/>
      <c r="R10" s="192">
        <v>1359785</v>
      </c>
      <c r="S10" s="192">
        <v>1258427</v>
      </c>
      <c r="T10" s="192">
        <v>213442</v>
      </c>
      <c r="U10" s="192">
        <v>257232</v>
      </c>
    </row>
    <row r="11" spans="1:24">
      <c r="A11" s="42">
        <v>2008</v>
      </c>
      <c r="B11" s="177">
        <v>12.856607330999999</v>
      </c>
      <c r="C11" s="177">
        <v>12.650997346</v>
      </c>
      <c r="D11" s="177">
        <v>11.701329828</v>
      </c>
      <c r="E11" s="177">
        <v>14.015422698</v>
      </c>
      <c r="F11" s="177">
        <v>12.829094981000001</v>
      </c>
      <c r="G11" s="177">
        <v>13.748359950999999</v>
      </c>
      <c r="H11" s="177">
        <v>15.328705079000001</v>
      </c>
      <c r="I11" s="177">
        <v>16.498362668999999</v>
      </c>
      <c r="J11" s="177">
        <v>15.834509927999999</v>
      </c>
      <c r="K11" s="177">
        <v>12.909875467000001</v>
      </c>
      <c r="L11" s="49"/>
      <c r="M11" s="192">
        <v>12.5</v>
      </c>
      <c r="N11" s="192">
        <v>13.8</v>
      </c>
      <c r="O11" s="192">
        <v>7.1</v>
      </c>
      <c r="P11" s="192">
        <v>15.1</v>
      </c>
      <c r="Q11" s="61"/>
      <c r="R11" s="192">
        <v>1358019</v>
      </c>
      <c r="S11" s="192">
        <v>1269191</v>
      </c>
      <c r="T11" s="192">
        <v>235796</v>
      </c>
      <c r="U11" s="192">
        <v>245946</v>
      </c>
    </row>
    <row r="12" spans="1:24">
      <c r="A12" s="42">
        <v>2009</v>
      </c>
      <c r="B12" s="177">
        <v>13.246121497000001</v>
      </c>
      <c r="C12" s="177">
        <v>12.980888208</v>
      </c>
      <c r="D12" s="177">
        <v>11.948539369000001</v>
      </c>
      <c r="E12" s="177">
        <v>14.555684936</v>
      </c>
      <c r="F12" s="177">
        <v>13.210583399000001</v>
      </c>
      <c r="G12" s="177">
        <v>14.028166370999999</v>
      </c>
      <c r="H12" s="177">
        <v>15.81194356</v>
      </c>
      <c r="I12" s="177">
        <v>16.299402364999999</v>
      </c>
      <c r="J12" s="177">
        <v>15.970338983</v>
      </c>
      <c r="K12" s="177">
        <v>13.290655431999999</v>
      </c>
      <c r="L12" s="49"/>
      <c r="M12" s="192">
        <v>12.8</v>
      </c>
      <c r="N12" s="192">
        <v>14.3</v>
      </c>
      <c r="O12" s="192">
        <v>7.4</v>
      </c>
      <c r="P12" s="192">
        <v>15.8</v>
      </c>
      <c r="Q12" s="61"/>
      <c r="R12" s="192">
        <v>1347813</v>
      </c>
      <c r="S12" s="192">
        <v>1267587</v>
      </c>
      <c r="T12" s="192">
        <v>251701</v>
      </c>
      <c r="U12" s="192">
        <v>233160</v>
      </c>
    </row>
    <row r="13" spans="1:24">
      <c r="A13" s="42">
        <v>2010</v>
      </c>
      <c r="B13" s="177">
        <v>13.545503588000001</v>
      </c>
      <c r="C13" s="177">
        <v>13.198103060999999</v>
      </c>
      <c r="D13" s="177">
        <v>12.114408490000001</v>
      </c>
      <c r="E13" s="177">
        <v>14.986964389000001</v>
      </c>
      <c r="F13" s="177">
        <v>13.499064176999999</v>
      </c>
      <c r="G13" s="177">
        <v>14.471710883</v>
      </c>
      <c r="H13" s="177">
        <v>16.277947831999999</v>
      </c>
      <c r="I13" s="177">
        <v>16.512129724000001</v>
      </c>
      <c r="J13" s="177">
        <v>16.321830578</v>
      </c>
      <c r="K13" s="177">
        <v>13.585108845000001</v>
      </c>
      <c r="L13" s="49"/>
      <c r="M13" s="192">
        <v>13</v>
      </c>
      <c r="N13" s="192">
        <v>14.7</v>
      </c>
      <c r="O13" s="192">
        <v>7.6</v>
      </c>
      <c r="P13" s="192">
        <v>16.600000000000001</v>
      </c>
      <c r="Q13" s="61"/>
      <c r="R13" s="192">
        <v>1346895</v>
      </c>
      <c r="S13" s="192">
        <v>1285930</v>
      </c>
      <c r="T13" s="192">
        <v>270686</v>
      </c>
      <c r="U13" s="192">
        <v>219408</v>
      </c>
    </row>
    <row r="14" spans="1:24">
      <c r="A14" s="42">
        <v>2011</v>
      </c>
      <c r="B14" s="177">
        <v>13.826251783</v>
      </c>
      <c r="C14" s="177">
        <v>13.328116958000001</v>
      </c>
      <c r="D14" s="177">
        <v>12.236375312</v>
      </c>
      <c r="E14" s="177">
        <v>15.433095913000001</v>
      </c>
      <c r="F14" s="177">
        <v>13.759208065999999</v>
      </c>
      <c r="G14" s="177">
        <v>14.992474323</v>
      </c>
      <c r="H14" s="177">
        <v>16.665572705999999</v>
      </c>
      <c r="I14" s="177">
        <v>16.536906411</v>
      </c>
      <c r="J14" s="177">
        <v>16.474771805</v>
      </c>
      <c r="K14" s="177">
        <v>13.852679983</v>
      </c>
      <c r="L14" s="49"/>
      <c r="M14" s="192">
        <v>13.2</v>
      </c>
      <c r="N14" s="192">
        <v>15.1</v>
      </c>
      <c r="O14" s="192">
        <v>7.7</v>
      </c>
      <c r="P14" s="192">
        <v>17.399999999999999</v>
      </c>
      <c r="Q14" s="61"/>
      <c r="R14" s="192">
        <v>1341315</v>
      </c>
      <c r="S14" s="192">
        <v>1282191</v>
      </c>
      <c r="T14" s="192">
        <v>291438</v>
      </c>
      <c r="U14" s="192">
        <v>203219</v>
      </c>
    </row>
    <row r="15" spans="1:24">
      <c r="A15" s="42">
        <v>2012</v>
      </c>
      <c r="B15" s="177">
        <v>14.060281372</v>
      </c>
      <c r="C15" s="177">
        <v>13.433779858999999</v>
      </c>
      <c r="D15" s="177">
        <v>12.310100379</v>
      </c>
      <c r="E15" s="177">
        <v>15.856516688999999</v>
      </c>
      <c r="F15" s="177">
        <v>13.975262179</v>
      </c>
      <c r="G15" s="177">
        <v>15.454689978999999</v>
      </c>
      <c r="H15" s="177">
        <v>17.037047177000002</v>
      </c>
      <c r="I15" s="177">
        <v>16.599838770000002</v>
      </c>
      <c r="J15" s="177">
        <v>16.508133109999999</v>
      </c>
      <c r="K15" s="177">
        <v>14.07573987</v>
      </c>
      <c r="L15" s="49"/>
      <c r="M15" s="192">
        <v>13.4</v>
      </c>
      <c r="N15" s="192">
        <v>15.5</v>
      </c>
      <c r="O15" s="192">
        <v>7.8</v>
      </c>
      <c r="P15" s="192">
        <v>18.100000000000001</v>
      </c>
      <c r="Q15" s="61"/>
      <c r="R15" s="192">
        <v>1360359</v>
      </c>
      <c r="S15" s="192">
        <v>1294258</v>
      </c>
      <c r="T15" s="192">
        <v>319281</v>
      </c>
      <c r="U15" s="192">
        <v>192448</v>
      </c>
    </row>
    <row r="16" spans="1:24">
      <c r="A16" s="42">
        <v>2013</v>
      </c>
      <c r="B16" s="177">
        <v>14.206893208</v>
      </c>
      <c r="C16" s="177">
        <v>13.375796362999999</v>
      </c>
      <c r="D16" s="177">
        <v>12.330564189</v>
      </c>
      <c r="E16" s="177">
        <v>16.123873758999999</v>
      </c>
      <c r="F16" s="177">
        <v>14.091805104000001</v>
      </c>
      <c r="G16" s="177">
        <v>15.817247654000001</v>
      </c>
      <c r="H16" s="177">
        <v>17.298377340999998</v>
      </c>
      <c r="I16" s="177">
        <v>16.583453583000001</v>
      </c>
      <c r="J16" s="177">
        <v>16.629783976999999</v>
      </c>
      <c r="K16" s="177">
        <v>14.200277869000001</v>
      </c>
      <c r="L16" s="49"/>
      <c r="M16" s="192">
        <v>13.5</v>
      </c>
      <c r="N16" s="192">
        <v>15.8</v>
      </c>
      <c r="O16" s="192">
        <v>7.8</v>
      </c>
      <c r="P16" s="192">
        <v>18.7</v>
      </c>
      <c r="Q16" s="61"/>
      <c r="R16" s="192">
        <v>1383409</v>
      </c>
      <c r="S16" s="192">
        <v>1321512</v>
      </c>
      <c r="T16" s="192">
        <v>354432</v>
      </c>
      <c r="U16" s="192">
        <v>184715</v>
      </c>
    </row>
    <row r="17" spans="1:21">
      <c r="A17" s="42">
        <v>2014</v>
      </c>
      <c r="B17" s="177">
        <v>14.256950875999999</v>
      </c>
      <c r="C17" s="177">
        <v>13.212789289</v>
      </c>
      <c r="D17" s="177">
        <v>12.283416552</v>
      </c>
      <c r="E17" s="177">
        <v>16.234048828999999</v>
      </c>
      <c r="F17" s="177">
        <v>14.109153849</v>
      </c>
      <c r="G17" s="177">
        <v>16.133913758999999</v>
      </c>
      <c r="H17" s="177">
        <v>17.439964299</v>
      </c>
      <c r="I17" s="177">
        <v>16.664908578999999</v>
      </c>
      <c r="J17" s="177">
        <v>16.452479993000001</v>
      </c>
      <c r="K17" s="177">
        <v>14.226785581</v>
      </c>
      <c r="L17" s="49"/>
      <c r="M17" s="192">
        <v>13.5</v>
      </c>
      <c r="N17" s="192">
        <v>15.9</v>
      </c>
      <c r="O17" s="192">
        <v>7.8</v>
      </c>
      <c r="P17" s="192">
        <v>19.2</v>
      </c>
      <c r="Q17" s="61"/>
      <c r="R17" s="192">
        <v>1413380</v>
      </c>
      <c r="S17" s="192">
        <v>1374915</v>
      </c>
      <c r="T17" s="192">
        <v>393711</v>
      </c>
      <c r="U17" s="192">
        <v>177761</v>
      </c>
    </row>
    <row r="18" spans="1:21">
      <c r="A18" s="42">
        <v>2015</v>
      </c>
      <c r="B18" s="177">
        <v>14.275763848</v>
      </c>
      <c r="C18" s="177">
        <v>13.047494773</v>
      </c>
      <c r="D18" s="177">
        <v>12.207804171999999</v>
      </c>
      <c r="E18" s="177">
        <v>16.309313892999999</v>
      </c>
      <c r="F18" s="177">
        <v>14.098019815000001</v>
      </c>
      <c r="G18" s="177">
        <v>16.346829103000001</v>
      </c>
      <c r="H18" s="177">
        <v>17.568792387999999</v>
      </c>
      <c r="I18" s="177">
        <v>16.74543379</v>
      </c>
      <c r="J18" s="177">
        <v>16.387898346</v>
      </c>
      <c r="K18" s="177">
        <v>14.223055516000001</v>
      </c>
      <c r="L18" s="49"/>
      <c r="M18" s="192">
        <v>13.5</v>
      </c>
      <c r="N18" s="192">
        <v>15.9</v>
      </c>
      <c r="O18" s="192">
        <v>7.8</v>
      </c>
      <c r="P18" s="192">
        <v>19.7</v>
      </c>
      <c r="Q18" s="61"/>
      <c r="R18" s="192">
        <v>1442118</v>
      </c>
      <c r="S18" s="192">
        <v>1434264</v>
      </c>
      <c r="T18" s="192">
        <v>435852</v>
      </c>
      <c r="U18" s="192">
        <v>171026</v>
      </c>
    </row>
    <row r="19" spans="1:21">
      <c r="A19" s="42">
        <v>2016</v>
      </c>
      <c r="B19" s="177">
        <v>14.314621505</v>
      </c>
      <c r="C19" s="177">
        <v>12.822667862999999</v>
      </c>
      <c r="D19" s="177">
        <v>12.104622752999999</v>
      </c>
      <c r="E19" s="177">
        <v>16.434349667999999</v>
      </c>
      <c r="F19" s="177">
        <v>14.092548203</v>
      </c>
      <c r="G19" s="177">
        <v>16.599047161000001</v>
      </c>
      <c r="H19" s="177">
        <v>17.736236258000002</v>
      </c>
      <c r="I19" s="177">
        <v>16.279959449</v>
      </c>
      <c r="J19" s="177">
        <v>16.334287602</v>
      </c>
      <c r="K19" s="177">
        <v>14.224613658000001</v>
      </c>
      <c r="L19" s="49"/>
      <c r="M19" s="192">
        <v>13.5</v>
      </c>
      <c r="N19" s="192">
        <v>16</v>
      </c>
      <c r="O19" s="192">
        <v>7.8</v>
      </c>
      <c r="P19" s="192">
        <v>20.100000000000001</v>
      </c>
      <c r="Q19" s="61"/>
      <c r="R19" s="192">
        <v>1479280</v>
      </c>
      <c r="S19" s="192">
        <v>1500607</v>
      </c>
      <c r="T19" s="192">
        <v>484896</v>
      </c>
      <c r="U19" s="192">
        <v>166757</v>
      </c>
    </row>
    <row r="20" spans="1:21">
      <c r="A20" s="42">
        <v>2017</v>
      </c>
      <c r="B20" s="177">
        <v>14.310631789</v>
      </c>
      <c r="C20" s="177">
        <v>12.539012832999999</v>
      </c>
      <c r="D20" s="177">
        <v>11.95619389</v>
      </c>
      <c r="E20" s="177">
        <v>16.506640246</v>
      </c>
      <c r="F20" s="177">
        <v>14.037905423</v>
      </c>
      <c r="G20" s="177">
        <v>16.834634736000002</v>
      </c>
      <c r="H20" s="177">
        <v>17.736335515</v>
      </c>
      <c r="I20" s="177">
        <v>15.978863269</v>
      </c>
      <c r="J20" s="177">
        <v>16.147933771000002</v>
      </c>
      <c r="K20" s="177">
        <v>14.175833939</v>
      </c>
      <c r="L20" s="49"/>
      <c r="M20" s="192">
        <v>13.5</v>
      </c>
      <c r="N20" s="192">
        <v>16.100000000000001</v>
      </c>
      <c r="O20" s="192">
        <v>7.7</v>
      </c>
      <c r="P20" s="192">
        <v>20.3</v>
      </c>
      <c r="Q20" s="61"/>
      <c r="R20" s="192">
        <v>1514661</v>
      </c>
      <c r="S20" s="192">
        <v>1566038</v>
      </c>
      <c r="T20" s="192">
        <v>538112</v>
      </c>
      <c r="U20" s="192">
        <v>164922</v>
      </c>
    </row>
    <row r="21" spans="1:21">
      <c r="A21" s="42">
        <v>2018</v>
      </c>
      <c r="B21" s="177">
        <v>14.347651195999999</v>
      </c>
      <c r="C21" s="177">
        <v>12.315409959</v>
      </c>
      <c r="D21" s="177">
        <v>11.833554063999999</v>
      </c>
      <c r="E21" s="177">
        <v>16.67462901</v>
      </c>
      <c r="F21" s="177">
        <v>14.023110021999999</v>
      </c>
      <c r="G21" s="177">
        <v>17.115137763</v>
      </c>
      <c r="H21" s="177">
        <v>17.735829539000001</v>
      </c>
      <c r="I21" s="177">
        <v>15.382220555</v>
      </c>
      <c r="J21" s="177">
        <v>15.882406960000001</v>
      </c>
      <c r="K21" s="177">
        <v>14.166503881000001</v>
      </c>
      <c r="L21" s="49"/>
      <c r="M21" s="192">
        <v>13.4</v>
      </c>
      <c r="N21" s="192">
        <v>16.3</v>
      </c>
      <c r="O21" s="192">
        <v>7.8</v>
      </c>
      <c r="P21" s="192">
        <v>20.5</v>
      </c>
      <c r="Q21" s="61"/>
      <c r="R21" s="192">
        <v>1545642</v>
      </c>
      <c r="S21" s="192">
        <v>1602647</v>
      </c>
      <c r="T21" s="192">
        <v>590448</v>
      </c>
      <c r="U21" s="192">
        <v>161281</v>
      </c>
    </row>
    <row r="22" spans="1:21">
      <c r="A22" s="42">
        <v>2019</v>
      </c>
      <c r="B22" s="177">
        <v>14.419004062999999</v>
      </c>
      <c r="C22" s="177">
        <v>12.212029896000001</v>
      </c>
      <c r="D22" s="177">
        <v>11.782520304</v>
      </c>
      <c r="E22" s="177">
        <v>16.867579305</v>
      </c>
      <c r="F22" s="177">
        <v>14.055343236000001</v>
      </c>
      <c r="G22" s="177">
        <v>17.418211541000002</v>
      </c>
      <c r="H22" s="177">
        <v>17.738250376</v>
      </c>
      <c r="I22" s="177">
        <v>15.570664595</v>
      </c>
      <c r="J22" s="177">
        <v>15.861299383</v>
      </c>
      <c r="K22" s="177">
        <v>14.204877741000001</v>
      </c>
      <c r="L22" s="49"/>
      <c r="M22" s="192">
        <v>13.3</v>
      </c>
      <c r="N22" s="192">
        <v>16.5</v>
      </c>
      <c r="O22" s="192">
        <v>7.9</v>
      </c>
      <c r="P22" s="192">
        <v>20.7</v>
      </c>
      <c r="Q22" s="61"/>
      <c r="R22" s="192">
        <v>1573021</v>
      </c>
      <c r="S22" s="192">
        <v>1629149</v>
      </c>
      <c r="T22" s="192">
        <v>637252</v>
      </c>
      <c r="U22" s="192">
        <v>157173</v>
      </c>
    </row>
    <row r="23" spans="1:21">
      <c r="A23" s="42">
        <v>2020</v>
      </c>
      <c r="B23" s="177">
        <v>14.647124745999999</v>
      </c>
      <c r="C23" s="177">
        <v>12.366450804999999</v>
      </c>
      <c r="D23" s="177">
        <v>11.948427059</v>
      </c>
      <c r="E23" s="177">
        <v>17.183147454</v>
      </c>
      <c r="F23" s="177">
        <v>14.261780571999999</v>
      </c>
      <c r="G23" s="177">
        <v>17.699216479</v>
      </c>
      <c r="H23" s="177">
        <v>17.920984356999998</v>
      </c>
      <c r="I23" s="177">
        <v>16.042755669000002</v>
      </c>
      <c r="J23" s="177">
        <v>16.063067488000002</v>
      </c>
      <c r="K23" s="177">
        <v>14.415034337</v>
      </c>
      <c r="L23" s="49"/>
      <c r="M23" s="192">
        <v>13.5</v>
      </c>
      <c r="N23" s="192">
        <v>16.8</v>
      </c>
      <c r="O23" s="192">
        <v>8.3000000000000007</v>
      </c>
      <c r="P23" s="192">
        <v>20.9</v>
      </c>
      <c r="Q23" s="61"/>
      <c r="R23" s="192">
        <v>1585191</v>
      </c>
      <c r="S23" s="192">
        <v>1630486</v>
      </c>
      <c r="T23" s="192">
        <v>668200</v>
      </c>
      <c r="U23" s="192">
        <v>153915</v>
      </c>
    </row>
    <row r="24" spans="1:21">
      <c r="A24" s="42">
        <v>2021</v>
      </c>
      <c r="B24" s="177">
        <v>14.717567355</v>
      </c>
      <c r="C24" s="177">
        <v>12.322630144</v>
      </c>
      <c r="D24" s="177">
        <v>11.899037584</v>
      </c>
      <c r="E24" s="177">
        <v>17.448824703</v>
      </c>
      <c r="F24" s="177">
        <v>14.301826603</v>
      </c>
      <c r="G24" s="177">
        <v>17.900101071999998</v>
      </c>
      <c r="H24" s="177">
        <v>17.901496855000001</v>
      </c>
      <c r="I24" s="177">
        <v>16.310831460999999</v>
      </c>
      <c r="J24" s="177">
        <v>15.940102828000001</v>
      </c>
      <c r="K24" s="177">
        <v>14.458689218</v>
      </c>
      <c r="M24" s="192">
        <v>13.4</v>
      </c>
      <c r="N24" s="192">
        <v>17.100000000000001</v>
      </c>
      <c r="O24" s="192">
        <v>8.5</v>
      </c>
      <c r="P24" s="192">
        <v>21.1</v>
      </c>
      <c r="R24" s="192">
        <v>1627557</v>
      </c>
      <c r="S24" s="192">
        <v>1634372</v>
      </c>
      <c r="T24" s="192">
        <v>711972</v>
      </c>
      <c r="U24" s="192">
        <v>151900</v>
      </c>
    </row>
    <row r="25" spans="1:21">
      <c r="A25" s="42">
        <v>2022</v>
      </c>
      <c r="B25" s="191">
        <v>14.805515646</v>
      </c>
      <c r="C25" s="191">
        <v>12.424046066000001</v>
      </c>
      <c r="D25" s="191">
        <v>11.905625067000001</v>
      </c>
      <c r="E25" s="191">
        <v>17.759075921000001</v>
      </c>
      <c r="F25" s="191">
        <v>14.383501611</v>
      </c>
      <c r="G25" s="191">
        <v>18.182933943999998</v>
      </c>
      <c r="H25" s="191">
        <v>17.834148525</v>
      </c>
      <c r="I25" s="191">
        <v>16.419890720000001</v>
      </c>
      <c r="J25" s="191">
        <v>15.828826291</v>
      </c>
      <c r="K25" s="191">
        <v>14.542831425999999</v>
      </c>
      <c r="M25" s="192">
        <v>13.3</v>
      </c>
      <c r="N25" s="192">
        <v>17.399999999999999</v>
      </c>
      <c r="O25" s="192">
        <v>8.8000000000000007</v>
      </c>
      <c r="P25" s="192">
        <v>21.3</v>
      </c>
      <c r="R25" s="192">
        <v>1677713</v>
      </c>
      <c r="S25" s="192">
        <v>1631711</v>
      </c>
      <c r="T25" s="192">
        <v>748747</v>
      </c>
      <c r="U25" s="192">
        <v>149458</v>
      </c>
    </row>
    <row r="26" spans="1:21">
      <c r="A26" s="42">
        <v>2023</v>
      </c>
      <c r="B26" s="191">
        <v>14.98209393</v>
      </c>
      <c r="C26" s="191">
        <v>12.777960995000001</v>
      </c>
      <c r="D26" s="191">
        <v>12.088563142</v>
      </c>
      <c r="E26" s="191">
        <v>18.079849205999999</v>
      </c>
      <c r="F26" s="191">
        <v>14.591898555</v>
      </c>
      <c r="G26" s="191">
        <v>18.629553161</v>
      </c>
      <c r="H26" s="191">
        <v>17.827984175000001</v>
      </c>
      <c r="I26" s="191">
        <v>16.804279885</v>
      </c>
      <c r="J26" s="191">
        <v>15.987935177000001</v>
      </c>
      <c r="K26" s="191">
        <v>14.754208203999999</v>
      </c>
      <c r="M26" s="192">
        <v>13.4</v>
      </c>
      <c r="N26" s="192">
        <v>17.7</v>
      </c>
      <c r="O26" s="192">
        <v>9.1999999999999993</v>
      </c>
      <c r="P26" s="192">
        <v>21.9</v>
      </c>
      <c r="R26" s="192">
        <v>1720821</v>
      </c>
      <c r="S26" s="192">
        <v>1637646</v>
      </c>
      <c r="T26" s="192">
        <v>762125</v>
      </c>
      <c r="U26" s="192">
        <v>144388</v>
      </c>
    </row>
  </sheetData>
  <mergeCells count="1">
    <mergeCell ref="W1:X1"/>
  </mergeCells>
  <phoneticPr fontId="5" type="noConversion"/>
  <hyperlinks>
    <hyperlink ref="W1:X1" location="Contents!A1" display="Back to Contents" xr:uid="{00000000-0004-0000-0200-000000000000}"/>
  </hyperlinks>
  <pageMargins left="0.46" right="0.55000000000000004" top="0.53" bottom="0.53"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K26"/>
  <sheetViews>
    <sheetView workbookViewId="0"/>
  </sheetViews>
  <sheetFormatPr defaultColWidth="8.81640625" defaultRowHeight="12.5"/>
  <cols>
    <col min="1" max="1" width="19.453125" bestFit="1" customWidth="1"/>
    <col min="2" max="2" width="15.1796875" style="1" customWidth="1"/>
    <col min="3" max="3" width="12.7265625" style="1" customWidth="1"/>
    <col min="4" max="4" width="11.1796875" style="1" customWidth="1"/>
    <col min="5" max="5" width="13.26953125" style="1" customWidth="1"/>
    <col min="6" max="6" width="11.81640625" style="1" customWidth="1"/>
    <col min="7" max="7" width="10.453125" style="1" bestFit="1" customWidth="1"/>
    <col min="8" max="8" width="10.453125" style="1" customWidth="1"/>
    <col min="9" max="9" width="5.7265625" customWidth="1"/>
  </cols>
  <sheetData>
    <row r="1" spans="1:11" ht="26.25" customHeight="1">
      <c r="B1" s="103" t="s">
        <v>108</v>
      </c>
      <c r="C1" s="31"/>
      <c r="D1" s="31"/>
      <c r="E1" s="31"/>
      <c r="F1" s="31"/>
      <c r="G1" s="31"/>
      <c r="H1" s="31"/>
      <c r="J1" s="207" t="s">
        <v>79</v>
      </c>
      <c r="K1" s="207"/>
    </row>
    <row r="2" spans="1:11" ht="30">
      <c r="A2" s="42"/>
      <c r="B2" s="58" t="s">
        <v>109</v>
      </c>
      <c r="C2" s="58" t="s">
        <v>110</v>
      </c>
      <c r="D2" s="58" t="s">
        <v>111</v>
      </c>
      <c r="E2" s="58" t="s">
        <v>112</v>
      </c>
      <c r="F2" s="58" t="s">
        <v>113</v>
      </c>
      <c r="G2" s="61" t="s">
        <v>86</v>
      </c>
      <c r="H2" s="61" t="s">
        <v>87</v>
      </c>
    </row>
    <row r="3" spans="1:11">
      <c r="A3" s="42" t="s">
        <v>114</v>
      </c>
      <c r="B3" s="186">
        <v>18914.672350000001</v>
      </c>
      <c r="C3" s="186">
        <v>16068.59347</v>
      </c>
      <c r="D3" s="186">
        <v>9285.5258310000008</v>
      </c>
      <c r="E3" s="186">
        <v>1216.435491</v>
      </c>
      <c r="F3" s="186">
        <v>3236.841981</v>
      </c>
      <c r="G3" s="186">
        <v>697.25675909999995</v>
      </c>
      <c r="H3" s="45">
        <f>SUM(B3:G3)</f>
        <v>49419.325882099991</v>
      </c>
    </row>
    <row r="4" spans="1:11">
      <c r="A4" s="42" t="s">
        <v>115</v>
      </c>
      <c r="B4" s="187">
        <f>B3/$H3</f>
        <v>0.38273837233484037</v>
      </c>
      <c r="C4" s="187">
        <f t="shared" ref="C4:G4" si="0">C3/$H3</f>
        <v>0.32514796960879128</v>
      </c>
      <c r="D4" s="187">
        <f t="shared" si="0"/>
        <v>0.18789260406247832</v>
      </c>
      <c r="E4" s="187">
        <f t="shared" si="0"/>
        <v>2.4614570702604446E-2</v>
      </c>
      <c r="F4" s="187">
        <f t="shared" si="0"/>
        <v>6.5497493606492221E-2</v>
      </c>
      <c r="G4" s="187">
        <f t="shared" si="0"/>
        <v>1.4108989684793556E-2</v>
      </c>
      <c r="H4" s="129" t="s">
        <v>89</v>
      </c>
    </row>
    <row r="6" spans="1:11" ht="13">
      <c r="B6" s="32"/>
    </row>
    <row r="7" spans="1:11">
      <c r="B7" s="41"/>
      <c r="C7" s="41"/>
      <c r="D7" s="41"/>
      <c r="E7" s="41"/>
      <c r="F7" s="41"/>
      <c r="G7" s="41"/>
      <c r="H7" s="41"/>
    </row>
    <row r="8" spans="1:11">
      <c r="B8"/>
      <c r="C8"/>
      <c r="D8"/>
      <c r="E8"/>
      <c r="F8"/>
    </row>
    <row r="25" customFormat="1"/>
    <row r="26" customFormat="1"/>
  </sheetData>
  <mergeCells count="1">
    <mergeCell ref="J1:K1"/>
  </mergeCells>
  <phoneticPr fontId="0" type="noConversion"/>
  <hyperlinks>
    <hyperlink ref="J1:K1" location="Contents!A1" display="Back to Contents" xr:uid="{00000000-0004-0000-0300-000000000000}"/>
  </hyperlinks>
  <pageMargins left="0.75" right="0.75" top="1" bottom="1" header="0.5" footer="0.5"/>
  <pageSetup paperSize="9" orientation="landscape" horizontalDpi="4294967292" verticalDpi="4294967292"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X101"/>
  <sheetViews>
    <sheetView zoomScale="80" zoomScaleNormal="80" workbookViewId="0">
      <pane xSplit="1" ySplit="2" topLeftCell="B3" activePane="bottomRight" state="frozen"/>
      <selection pane="topRight" activeCell="B1" sqref="B1"/>
      <selection pane="bottomLeft" activeCell="A3" sqref="A3"/>
      <selection pane="bottomRight"/>
    </sheetView>
  </sheetViews>
  <sheetFormatPr defaultColWidth="8.81640625" defaultRowHeight="12.5"/>
  <cols>
    <col min="1" max="1" width="11.453125" customWidth="1"/>
    <col min="2" max="2" width="19.7265625" customWidth="1"/>
    <col min="3" max="5" width="13.26953125" customWidth="1"/>
    <col min="6" max="6" width="15.1796875" customWidth="1"/>
    <col min="7" max="8" width="19.7265625" customWidth="1"/>
    <col min="9" max="9" width="13.26953125" customWidth="1"/>
    <col min="10" max="10" width="13.26953125" style="1" customWidth="1"/>
    <col min="11" max="12" width="13.26953125" customWidth="1"/>
    <col min="13" max="13" width="5.7265625" customWidth="1"/>
    <col min="14" max="15" width="16.81640625" customWidth="1"/>
    <col min="16" max="20" width="13.26953125" customWidth="1"/>
    <col min="21" max="21" width="15.81640625" customWidth="1"/>
    <col min="22" max="23" width="16.7265625" customWidth="1"/>
  </cols>
  <sheetData>
    <row r="1" spans="1:24" ht="30" customHeight="1">
      <c r="B1" s="17" t="s">
        <v>116</v>
      </c>
      <c r="C1" s="18"/>
      <c r="D1" s="18"/>
      <c r="E1" s="18"/>
      <c r="F1" s="18"/>
      <c r="G1" s="18"/>
      <c r="H1" s="18"/>
      <c r="I1" s="18"/>
      <c r="J1" s="19"/>
      <c r="K1" s="183"/>
      <c r="L1" s="18"/>
      <c r="M1" s="184"/>
      <c r="N1" s="17" t="s">
        <v>117</v>
      </c>
      <c r="O1" s="185"/>
      <c r="P1" s="185"/>
      <c r="Q1" s="185"/>
      <c r="R1" s="13"/>
      <c r="S1" s="13"/>
      <c r="T1" s="13"/>
      <c r="U1" s="207" t="s">
        <v>79</v>
      </c>
      <c r="V1" s="207"/>
      <c r="W1" s="13"/>
      <c r="X1" s="24"/>
    </row>
    <row r="2" spans="1:24" ht="25">
      <c r="A2" s="9" t="s">
        <v>80</v>
      </c>
      <c r="B2" s="2" t="s">
        <v>118</v>
      </c>
      <c r="C2" s="2" t="s">
        <v>119</v>
      </c>
      <c r="D2" s="2" t="s">
        <v>120</v>
      </c>
      <c r="E2" s="36" t="s">
        <v>121</v>
      </c>
      <c r="F2" s="2" t="s">
        <v>122</v>
      </c>
      <c r="G2" s="2" t="s">
        <v>123</v>
      </c>
      <c r="H2" s="2" t="s">
        <v>124</v>
      </c>
      <c r="I2" s="2" t="s">
        <v>125</v>
      </c>
      <c r="J2" s="2" t="s">
        <v>126</v>
      </c>
      <c r="K2" s="36" t="s">
        <v>127</v>
      </c>
      <c r="L2" s="2" t="s">
        <v>128</v>
      </c>
      <c r="N2" s="2" t="s">
        <v>129</v>
      </c>
      <c r="O2" s="2" t="s">
        <v>130</v>
      </c>
      <c r="P2" s="2" t="s">
        <v>131</v>
      </c>
      <c r="Q2" s="2" t="s">
        <v>132</v>
      </c>
      <c r="R2" s="2" t="s">
        <v>133</v>
      </c>
      <c r="S2" s="2" t="s">
        <v>86</v>
      </c>
      <c r="T2" s="2" t="s">
        <v>134</v>
      </c>
      <c r="U2" s="2" t="s">
        <v>135</v>
      </c>
      <c r="V2" s="2" t="s">
        <v>136</v>
      </c>
      <c r="W2" s="2" t="s">
        <v>137</v>
      </c>
      <c r="X2" s="2"/>
    </row>
    <row r="3" spans="1:24">
      <c r="A3" s="9">
        <v>2000</v>
      </c>
      <c r="B3" s="102">
        <f>'1.1, 1.2'!I3</f>
        <v>2494855</v>
      </c>
      <c r="C3" s="2"/>
      <c r="D3" s="2"/>
      <c r="E3" s="102">
        <v>3857.7</v>
      </c>
      <c r="F3" s="102">
        <f t="shared" ref="F3:F11" si="0">B3/E3</f>
        <v>646.72084402623329</v>
      </c>
      <c r="G3" s="102">
        <f>'1.1, 1.2'!B3/E3</f>
        <v>556.68299764108156</v>
      </c>
      <c r="H3" s="102">
        <f>'1.1, 1.2'!C3/E3</f>
        <v>90.037846385151781</v>
      </c>
      <c r="I3" s="102"/>
      <c r="J3" s="102"/>
      <c r="K3" s="36"/>
      <c r="L3" s="2"/>
      <c r="N3" s="2"/>
      <c r="O3" s="2"/>
      <c r="P3" s="2"/>
      <c r="Q3" s="2"/>
      <c r="R3" s="2"/>
      <c r="S3" s="2"/>
      <c r="T3" s="2"/>
      <c r="U3" s="2"/>
      <c r="V3" s="2"/>
      <c r="W3" s="2"/>
      <c r="X3" s="2"/>
    </row>
    <row r="4" spans="1:24">
      <c r="A4">
        <v>2001</v>
      </c>
      <c r="B4" s="102">
        <f>'1.1, 1.2'!I4</f>
        <v>2563651</v>
      </c>
      <c r="C4" s="25">
        <v>33.979814279999999</v>
      </c>
      <c r="D4" s="25">
        <v>2.590414548</v>
      </c>
      <c r="E4" s="102">
        <v>3880.5</v>
      </c>
      <c r="F4" s="102">
        <f t="shared" si="0"/>
        <v>660.64965854915602</v>
      </c>
      <c r="G4" s="102">
        <f>'1.1, 1.2'!B4/E4</f>
        <v>570.46050766653786</v>
      </c>
      <c r="H4" s="102">
        <f>'1.1, 1.2'!C4/E4</f>
        <v>90.189150882618222</v>
      </c>
      <c r="I4" s="102">
        <f>C4*1000000/E4</f>
        <v>8756.5556706609968</v>
      </c>
      <c r="J4" s="102">
        <f t="shared" ref="J4:J15" si="1">C4/B4*1000000000</f>
        <v>13254.461812469794</v>
      </c>
      <c r="N4" s="25">
        <v>28.79826787</v>
      </c>
      <c r="O4" s="25">
        <v>5.1815464049999997</v>
      </c>
      <c r="P4" s="25">
        <v>2.1892506090000001</v>
      </c>
      <c r="Q4" s="25">
        <v>0.14085492499999999</v>
      </c>
      <c r="R4" s="25">
        <v>0.231503405</v>
      </c>
      <c r="S4" s="25">
        <v>2.8805608999999999E-2</v>
      </c>
      <c r="T4" s="4">
        <f>SUM(N4:S4)</f>
        <v>36.570228823000001</v>
      </c>
      <c r="U4" s="102">
        <f t="shared" ref="U4:U26" si="2">T4/E4*1000000</f>
        <v>9424.1022607911345</v>
      </c>
      <c r="V4" s="48">
        <f t="shared" ref="V4:V26" si="3">N4/E4*1000000</f>
        <v>7421.2776369024605</v>
      </c>
      <c r="W4" s="48">
        <f t="shared" ref="W4:W26" si="4">O4/E4*1000000</f>
        <v>1335.2780324700423</v>
      </c>
    </row>
    <row r="5" spans="1:24">
      <c r="A5">
        <v>2002</v>
      </c>
      <c r="B5" s="102">
        <f>'1.1, 1.2'!I5</f>
        <v>2648012</v>
      </c>
      <c r="C5" s="25">
        <v>35.07346313</v>
      </c>
      <c r="D5" s="25">
        <v>2.6978970360000001</v>
      </c>
      <c r="E5" s="102">
        <v>3948.5</v>
      </c>
      <c r="F5" s="102">
        <f t="shared" si="0"/>
        <v>670.63745726225147</v>
      </c>
      <c r="G5" s="102">
        <f>'1.1, 1.2'!B5/E5</f>
        <v>580.57059642902368</v>
      </c>
      <c r="H5" s="102">
        <f>'1.1, 1.2'!C5/E5</f>
        <v>90.066860833227807</v>
      </c>
      <c r="I5" s="102">
        <f t="shared" ref="I5:I15" si="5">C5*1000000/E5</f>
        <v>8882.7309433962273</v>
      </c>
      <c r="J5" s="102">
        <f t="shared" si="1"/>
        <v>13245.205508887422</v>
      </c>
      <c r="K5" s="23">
        <f t="shared" ref="K5:K26" si="6">E5/E4-1</f>
        <v>1.7523515010952284E-2</v>
      </c>
      <c r="L5" s="23">
        <f t="shared" ref="L5:L26" si="7">B5/B4-1</f>
        <v>3.2906585178715808E-2</v>
      </c>
      <c r="N5" s="25">
        <v>29.794649</v>
      </c>
      <c r="O5" s="25">
        <v>5.2788141230000001</v>
      </c>
      <c r="P5" s="25">
        <v>2.2825876940000001</v>
      </c>
      <c r="Q5" s="25">
        <v>0.14989797799999999</v>
      </c>
      <c r="R5" s="25">
        <v>0.229400407</v>
      </c>
      <c r="S5" s="25">
        <v>3.6010957000000003E-2</v>
      </c>
      <c r="T5" s="4">
        <f t="shared" ref="T5:T19" si="8">SUM(N5:S5)</f>
        <v>37.771360158999997</v>
      </c>
      <c r="U5" s="102">
        <f t="shared" si="2"/>
        <v>9566.0023196150432</v>
      </c>
      <c r="V5" s="48">
        <f t="shared" si="3"/>
        <v>7545.8146131442318</v>
      </c>
      <c r="W5" s="48">
        <f t="shared" si="4"/>
        <v>1336.9163284791694</v>
      </c>
    </row>
    <row r="6" spans="1:24">
      <c r="A6">
        <v>2003</v>
      </c>
      <c r="B6" s="102">
        <f>'1.1, 1.2'!I6</f>
        <v>2759480</v>
      </c>
      <c r="C6" s="25">
        <v>36.14077709</v>
      </c>
      <c r="D6" s="25">
        <v>2.7992663119999999</v>
      </c>
      <c r="E6" s="102">
        <v>4027.2</v>
      </c>
      <c r="F6" s="102">
        <f t="shared" si="0"/>
        <v>685.21056813667064</v>
      </c>
      <c r="G6" s="102">
        <f>'1.1, 1.2'!B6/E6</f>
        <v>594.73827969805325</v>
      </c>
      <c r="H6" s="102">
        <f>'1.1, 1.2'!C6/E6</f>
        <v>90.472288438617412</v>
      </c>
      <c r="I6" s="102">
        <f t="shared" si="5"/>
        <v>8974.1699170639658</v>
      </c>
      <c r="J6" s="102">
        <f t="shared" si="1"/>
        <v>13096.951994578689</v>
      </c>
      <c r="K6" s="23">
        <f t="shared" si="6"/>
        <v>1.9931619602380657E-2</v>
      </c>
      <c r="L6" s="23">
        <f t="shared" si="7"/>
        <v>4.2094975400413626E-2</v>
      </c>
      <c r="N6" s="25">
        <v>30.746309950000001</v>
      </c>
      <c r="O6" s="25">
        <v>5.3944671350000002</v>
      </c>
      <c r="P6" s="25">
        <v>2.3631248970000001</v>
      </c>
      <c r="Q6" s="25">
        <v>0.159661935</v>
      </c>
      <c r="R6" s="25">
        <v>0.23192043700000001</v>
      </c>
      <c r="S6" s="25">
        <v>4.4559043999999999E-2</v>
      </c>
      <c r="T6" s="4">
        <f t="shared" si="8"/>
        <v>38.940043398000007</v>
      </c>
      <c r="U6" s="102">
        <f t="shared" si="2"/>
        <v>9669.2598823003591</v>
      </c>
      <c r="V6" s="48">
        <f t="shared" si="3"/>
        <v>7634.6617873460482</v>
      </c>
      <c r="W6" s="48">
        <f t="shared" si="4"/>
        <v>1339.508128476361</v>
      </c>
    </row>
    <row r="7" spans="1:24">
      <c r="A7">
        <v>2004</v>
      </c>
      <c r="B7" s="102">
        <f>'1.1, 1.2'!I7</f>
        <v>2867079</v>
      </c>
      <c r="C7" s="25">
        <v>37.099953220000003</v>
      </c>
      <c r="D7" s="25">
        <v>2.9810789070000001</v>
      </c>
      <c r="E7" s="102">
        <v>4087.5</v>
      </c>
      <c r="F7" s="102">
        <f t="shared" si="0"/>
        <v>701.42605504587152</v>
      </c>
      <c r="G7" s="102">
        <f>'1.1, 1.2'!B7/E7</f>
        <v>609.3971865443425</v>
      </c>
      <c r="H7" s="102">
        <f>'1.1, 1.2'!C7/E7</f>
        <v>92.028868501529047</v>
      </c>
      <c r="I7" s="102">
        <f t="shared" si="5"/>
        <v>9076.4411547400632</v>
      </c>
      <c r="J7" s="102">
        <f t="shared" si="1"/>
        <v>12939.982895483523</v>
      </c>
      <c r="K7" s="23">
        <f t="shared" si="6"/>
        <v>1.4973182359952375E-2</v>
      </c>
      <c r="L7" s="23">
        <f t="shared" si="7"/>
        <v>3.8992491338947888E-2</v>
      </c>
      <c r="N7" s="25">
        <v>31.540926599999999</v>
      </c>
      <c r="O7" s="25">
        <v>5.5590266189999999</v>
      </c>
      <c r="P7" s="25">
        <v>2.513145653</v>
      </c>
      <c r="Q7" s="25">
        <v>0.17675106700000001</v>
      </c>
      <c r="R7" s="25">
        <v>0.237772497</v>
      </c>
      <c r="S7" s="25">
        <v>5.3409689000000003E-2</v>
      </c>
      <c r="T7" s="4">
        <f t="shared" si="8"/>
        <v>40.081032125</v>
      </c>
      <c r="U7" s="102">
        <f t="shared" si="2"/>
        <v>9805.7570948012217</v>
      </c>
      <c r="V7" s="48">
        <f t="shared" si="3"/>
        <v>7716.4346422018343</v>
      </c>
      <c r="W7" s="48">
        <f t="shared" si="4"/>
        <v>1360.006512293578</v>
      </c>
    </row>
    <row r="8" spans="1:24">
      <c r="A8">
        <v>2005</v>
      </c>
      <c r="B8" s="102">
        <f>'1.1, 1.2'!I8</f>
        <v>2967202</v>
      </c>
      <c r="C8" s="25">
        <v>37.383994180000002</v>
      </c>
      <c r="D8" s="25">
        <v>3.111419932</v>
      </c>
      <c r="E8" s="102">
        <v>4133.8999999999996</v>
      </c>
      <c r="F8" s="102">
        <f t="shared" si="0"/>
        <v>717.77304724352314</v>
      </c>
      <c r="G8" s="102">
        <f>'1.1, 1.2'!B8/E8</f>
        <v>623.74900215293076</v>
      </c>
      <c r="H8" s="102">
        <f>'1.1, 1.2'!C8/E8</f>
        <v>94.024045090592423</v>
      </c>
      <c r="I8" s="102">
        <f t="shared" si="5"/>
        <v>9043.2749171484556</v>
      </c>
      <c r="J8" s="102">
        <f t="shared" si="1"/>
        <v>12599.07285719004</v>
      </c>
      <c r="K8" s="23">
        <f t="shared" si="6"/>
        <v>1.1351681957186388E-2</v>
      </c>
      <c r="L8" s="23">
        <f t="shared" si="7"/>
        <v>3.4921604880786328E-2</v>
      </c>
      <c r="N8" s="25">
        <v>31.722382140000001</v>
      </c>
      <c r="O8" s="25">
        <v>5.6616120390000004</v>
      </c>
      <c r="P8" s="25">
        <v>2.5821993989999998</v>
      </c>
      <c r="Q8" s="25">
        <v>0.189974903</v>
      </c>
      <c r="R8" s="25">
        <v>0.26674245699999999</v>
      </c>
      <c r="S8" s="25">
        <v>7.2503173000000004E-2</v>
      </c>
      <c r="T8" s="4">
        <f t="shared" si="8"/>
        <v>40.495414110999995</v>
      </c>
      <c r="U8" s="102">
        <f t="shared" si="2"/>
        <v>9795.9346164638719</v>
      </c>
      <c r="V8" s="48">
        <f t="shared" si="3"/>
        <v>7673.7178306199967</v>
      </c>
      <c r="W8" s="48">
        <f t="shared" si="4"/>
        <v>1369.5570862865577</v>
      </c>
    </row>
    <row r="9" spans="1:24">
      <c r="A9">
        <v>2006</v>
      </c>
      <c r="B9" s="102">
        <f>'1.1, 1.2'!I9</f>
        <v>3029867</v>
      </c>
      <c r="C9" s="25">
        <v>37.28719289</v>
      </c>
      <c r="D9" s="25">
        <v>3.2237591189999999</v>
      </c>
      <c r="E9" s="102">
        <v>4184.6000000000004</v>
      </c>
      <c r="F9" s="102">
        <f t="shared" si="0"/>
        <v>724.05176121971033</v>
      </c>
      <c r="G9" s="102">
        <f>'1.1, 1.2'!B9/E9</f>
        <v>628.89188930841647</v>
      </c>
      <c r="H9" s="102">
        <f>'1.1, 1.2'!C9/E9</f>
        <v>95.159871911293777</v>
      </c>
      <c r="I9" s="102">
        <f t="shared" si="5"/>
        <v>8910.5751780337414</v>
      </c>
      <c r="J9" s="102">
        <f t="shared" si="1"/>
        <v>12306.544442379814</v>
      </c>
      <c r="K9" s="23">
        <f t="shared" si="6"/>
        <v>1.226444761605272E-2</v>
      </c>
      <c r="L9" s="23">
        <f t="shared" si="7"/>
        <v>2.1119222755983547E-2</v>
      </c>
      <c r="N9" s="25">
        <v>31.53146465</v>
      </c>
      <c r="O9" s="25">
        <v>5.7557282369999996</v>
      </c>
      <c r="P9" s="25">
        <v>2.6151123190000001</v>
      </c>
      <c r="Q9" s="25">
        <v>0.19792258900000001</v>
      </c>
      <c r="R9" s="25">
        <v>0.30311012599999998</v>
      </c>
      <c r="S9" s="25">
        <v>0.107614086</v>
      </c>
      <c r="T9" s="4">
        <f t="shared" si="8"/>
        <v>40.510952007</v>
      </c>
      <c r="U9" s="102">
        <f t="shared" si="2"/>
        <v>9680.9616228552313</v>
      </c>
      <c r="V9" s="48">
        <f t="shared" si="3"/>
        <v>7535.1203579792564</v>
      </c>
      <c r="W9" s="48">
        <f t="shared" si="4"/>
        <v>1375.4548193375708</v>
      </c>
    </row>
    <row r="10" spans="1:24">
      <c r="A10">
        <v>2007</v>
      </c>
      <c r="B10" s="102">
        <f>'1.1, 1.2'!I10</f>
        <v>3088886</v>
      </c>
      <c r="C10" s="25">
        <v>37.82497017</v>
      </c>
      <c r="D10" s="25">
        <v>3.2966702040000002</v>
      </c>
      <c r="E10" s="102">
        <v>4223.8</v>
      </c>
      <c r="F10" s="102">
        <f t="shared" si="0"/>
        <v>731.30498603153558</v>
      </c>
      <c r="G10" s="102">
        <f>'1.1, 1.2'!B10/E10</f>
        <v>634.34537620152469</v>
      </c>
      <c r="H10" s="102">
        <f>'1.1, 1.2'!C10/E10</f>
        <v>96.959609830010891</v>
      </c>
      <c r="I10" s="102">
        <f t="shared" si="5"/>
        <v>8955.1991500544536</v>
      </c>
      <c r="J10" s="102">
        <f t="shared" si="1"/>
        <v>12245.505392559</v>
      </c>
      <c r="K10" s="23">
        <f t="shared" si="6"/>
        <v>9.3676814988290502E-3</v>
      </c>
      <c r="L10" s="23">
        <f t="shared" si="7"/>
        <v>1.9479072843791467E-2</v>
      </c>
      <c r="N10" s="25">
        <v>31.891748840000002</v>
      </c>
      <c r="O10" s="25">
        <v>5.9332213319999996</v>
      </c>
      <c r="P10" s="25">
        <v>2.6866016780000002</v>
      </c>
      <c r="Q10" s="25">
        <v>0.205289894</v>
      </c>
      <c r="R10" s="25">
        <v>0.33647022700000001</v>
      </c>
      <c r="S10" s="25">
        <v>6.8308406000000002E-2</v>
      </c>
      <c r="T10" s="4">
        <f t="shared" si="8"/>
        <v>41.121640377000006</v>
      </c>
      <c r="U10" s="102">
        <f t="shared" si="2"/>
        <v>9735.6978022160165</v>
      </c>
      <c r="V10" s="48">
        <f t="shared" si="3"/>
        <v>7550.4874378521708</v>
      </c>
      <c r="W10" s="48">
        <f t="shared" si="4"/>
        <v>1404.7117126757894</v>
      </c>
    </row>
    <row r="11" spans="1:24">
      <c r="A11">
        <v>2008</v>
      </c>
      <c r="B11" s="102">
        <f>'1.1, 1.2'!I11</f>
        <v>3108952</v>
      </c>
      <c r="C11" s="25">
        <v>37.220177849999999</v>
      </c>
      <c r="D11" s="25">
        <v>3.3342535739999999</v>
      </c>
      <c r="E11" s="102">
        <v>4259.8</v>
      </c>
      <c r="F11" s="102">
        <f t="shared" si="0"/>
        <v>729.83520353068218</v>
      </c>
      <c r="G11" s="102">
        <f>'1.1, 1.2'!B11/E11</f>
        <v>632.17709751631526</v>
      </c>
      <c r="H11" s="102">
        <f>'1.1, 1.2'!C11/E11</f>
        <v>97.658106014366865</v>
      </c>
      <c r="I11" s="102">
        <f t="shared" si="5"/>
        <v>8737.5411639044087</v>
      </c>
      <c r="J11" s="102">
        <f t="shared" si="1"/>
        <v>11971.937119003445</v>
      </c>
      <c r="K11" s="23">
        <f t="shared" si="6"/>
        <v>8.5231308300581787E-3</v>
      </c>
      <c r="L11" s="23">
        <f t="shared" si="7"/>
        <v>6.4961931259359673E-3</v>
      </c>
      <c r="N11" s="25">
        <v>31.197505710000001</v>
      </c>
      <c r="O11" s="25">
        <v>6.0226721410000001</v>
      </c>
      <c r="P11" s="25">
        <v>2.676706936</v>
      </c>
      <c r="Q11" s="25">
        <v>0.210990121</v>
      </c>
      <c r="R11" s="25">
        <v>0.37588016600000002</v>
      </c>
      <c r="S11" s="25">
        <v>7.0676350999999998E-2</v>
      </c>
      <c r="T11" s="4">
        <f t="shared" si="8"/>
        <v>40.554431425000011</v>
      </c>
      <c r="U11" s="102">
        <f t="shared" si="2"/>
        <v>9520.2665442039561</v>
      </c>
      <c r="V11" s="48">
        <f t="shared" si="3"/>
        <v>7323.7019836612044</v>
      </c>
      <c r="W11" s="48">
        <f t="shared" si="4"/>
        <v>1413.8391804779567</v>
      </c>
    </row>
    <row r="12" spans="1:24">
      <c r="A12">
        <v>2009</v>
      </c>
      <c r="B12" s="102">
        <f>'1.1, 1.2'!I12</f>
        <v>3100261</v>
      </c>
      <c r="C12" s="25">
        <v>37.301740909999999</v>
      </c>
      <c r="D12" s="25">
        <v>3.215808129</v>
      </c>
      <c r="E12" s="102">
        <v>4302.6000000000004</v>
      </c>
      <c r="F12" s="102">
        <f t="shared" ref="F12:F18" si="9">B12/E12</f>
        <v>720.55524566541158</v>
      </c>
      <c r="G12" s="102">
        <f>'1.1, 1.2'!B12/E12</f>
        <v>624.00943615488302</v>
      </c>
      <c r="H12" s="102">
        <f>'1.1, 1.2'!C12/E12</f>
        <v>96.545809510528514</v>
      </c>
      <c r="I12" s="102">
        <f t="shared" si="5"/>
        <v>8669.5813949704807</v>
      </c>
      <c r="J12" s="102">
        <f t="shared" si="1"/>
        <v>12031.806647891903</v>
      </c>
      <c r="K12" s="23">
        <f t="shared" si="6"/>
        <v>1.004742006666981E-2</v>
      </c>
      <c r="L12" s="23">
        <f t="shared" si="7"/>
        <v>-2.795475774473144E-3</v>
      </c>
      <c r="N12" s="25">
        <v>31.285059889999999</v>
      </c>
      <c r="O12" s="25">
        <v>6.0166810240000004</v>
      </c>
      <c r="P12" s="25">
        <v>2.5361512959999999</v>
      </c>
      <c r="Q12" s="25">
        <v>0.21732584899999999</v>
      </c>
      <c r="R12" s="25">
        <v>0.39091730899999999</v>
      </c>
      <c r="S12" s="25">
        <v>7.1413673999999996E-2</v>
      </c>
      <c r="T12" s="4">
        <f t="shared" si="8"/>
        <v>40.517549041999999</v>
      </c>
      <c r="U12" s="102">
        <f t="shared" si="2"/>
        <v>9416.9918286617376</v>
      </c>
      <c r="V12" s="48">
        <f t="shared" si="3"/>
        <v>7271.1987844559098</v>
      </c>
      <c r="W12" s="48">
        <f t="shared" si="4"/>
        <v>1398.3826114442429</v>
      </c>
    </row>
    <row r="13" spans="1:24">
      <c r="A13">
        <v>2010</v>
      </c>
      <c r="B13" s="102">
        <f>'1.1, 1.2'!I13</f>
        <v>3122919</v>
      </c>
      <c r="C13" s="25">
        <v>37.271603390000003</v>
      </c>
      <c r="D13" s="25">
        <v>3.2138904660000001</v>
      </c>
      <c r="E13" s="102">
        <v>4350.7</v>
      </c>
      <c r="F13" s="102">
        <f t="shared" si="9"/>
        <v>717.79690624497209</v>
      </c>
      <c r="G13" s="102">
        <f>'1.1, 1.2'!B13/E13</f>
        <v>621.84407106902336</v>
      </c>
      <c r="H13" s="102">
        <f>'1.1, 1.2'!C13/E13</f>
        <v>95.952835175948707</v>
      </c>
      <c r="I13" s="102">
        <f t="shared" si="5"/>
        <v>8566.8061208541167</v>
      </c>
      <c r="J13" s="102">
        <f t="shared" si="1"/>
        <v>11934.860747268824</v>
      </c>
      <c r="K13" s="23">
        <f t="shared" si="6"/>
        <v>1.1179286942778699E-2</v>
      </c>
      <c r="L13" s="23">
        <f t="shared" si="7"/>
        <v>7.3084169365096319E-3</v>
      </c>
      <c r="N13" s="25">
        <v>31.21840152</v>
      </c>
      <c r="O13" s="25">
        <v>6.053201874</v>
      </c>
      <c r="P13" s="25">
        <v>2.5346731770000002</v>
      </c>
      <c r="Q13" s="25">
        <v>0.224782864</v>
      </c>
      <c r="R13" s="25">
        <v>0.38595859199999999</v>
      </c>
      <c r="S13" s="25">
        <v>6.8475833E-2</v>
      </c>
      <c r="T13" s="4">
        <f t="shared" si="8"/>
        <v>40.485493860000005</v>
      </c>
      <c r="U13" s="102">
        <f t="shared" si="2"/>
        <v>9305.5126439423566</v>
      </c>
      <c r="V13" s="48">
        <f t="shared" si="3"/>
        <v>7175.4893511388973</v>
      </c>
      <c r="W13" s="48">
        <f t="shared" si="4"/>
        <v>1391.3167706346107</v>
      </c>
    </row>
    <row r="14" spans="1:24">
      <c r="A14">
        <v>2011</v>
      </c>
      <c r="B14" s="102">
        <f>'1.1, 1.2'!I14</f>
        <v>3118163</v>
      </c>
      <c r="C14" s="25">
        <v>36.814735419999998</v>
      </c>
      <c r="D14" s="25">
        <v>3.203927245</v>
      </c>
      <c r="E14" s="102">
        <v>4384</v>
      </c>
      <c r="F14" s="102">
        <f t="shared" si="9"/>
        <v>711.25980839416059</v>
      </c>
      <c r="G14" s="102">
        <f>'1.1, 1.2'!B14/E14</f>
        <v>615.53170620437959</v>
      </c>
      <c r="H14" s="102">
        <f>'1.1, 1.2'!C14/E14</f>
        <v>95.728102189781026</v>
      </c>
      <c r="I14" s="102">
        <f t="shared" si="5"/>
        <v>8397.52176551095</v>
      </c>
      <c r="J14" s="102">
        <f t="shared" si="1"/>
        <v>11806.546168369003</v>
      </c>
      <c r="K14" s="23">
        <f t="shared" si="6"/>
        <v>7.6539407451674535E-3</v>
      </c>
      <c r="L14" s="23">
        <f t="shared" si="7"/>
        <v>-1.5229341523107509E-3</v>
      </c>
      <c r="N14" s="25">
        <v>30.737007210000002</v>
      </c>
      <c r="O14" s="25">
        <v>6.0777282159999997</v>
      </c>
      <c r="P14" s="25">
        <v>2.5401427249999999</v>
      </c>
      <c r="Q14" s="25">
        <v>0.221511663</v>
      </c>
      <c r="R14" s="25">
        <v>0.37483477199999998</v>
      </c>
      <c r="S14" s="25">
        <v>6.7438084999999995E-2</v>
      </c>
      <c r="T14" s="4">
        <f t="shared" si="8"/>
        <v>40.018662671000001</v>
      </c>
      <c r="U14" s="102">
        <f t="shared" si="2"/>
        <v>9128.344587363139</v>
      </c>
      <c r="V14" s="48">
        <f t="shared" si="3"/>
        <v>7011.1786519160596</v>
      </c>
      <c r="W14" s="48">
        <f t="shared" si="4"/>
        <v>1386.3431149635035</v>
      </c>
    </row>
    <row r="15" spans="1:24">
      <c r="A15">
        <v>2012</v>
      </c>
      <c r="B15" s="102">
        <f>'1.1, 1.2'!I15</f>
        <v>3166346</v>
      </c>
      <c r="C15" s="25">
        <v>36.888902870000003</v>
      </c>
      <c r="D15" s="25">
        <v>3.1971231169999998</v>
      </c>
      <c r="E15" s="102">
        <v>4408.1000000000004</v>
      </c>
      <c r="F15" s="102">
        <f t="shared" si="9"/>
        <v>718.3017626641863</v>
      </c>
      <c r="G15" s="102">
        <f>'1.1, 1.2'!B15/E15</f>
        <v>620.82484517138903</v>
      </c>
      <c r="H15" s="102">
        <f>'1.1, 1.2'!C15/E15</f>
        <v>97.476917492797341</v>
      </c>
      <c r="I15" s="102">
        <f t="shared" si="5"/>
        <v>8368.4360313967481</v>
      </c>
      <c r="J15" s="102">
        <f t="shared" si="1"/>
        <v>11650.306968979385</v>
      </c>
      <c r="K15" s="23">
        <f t="shared" si="6"/>
        <v>5.4972627737226443E-3</v>
      </c>
      <c r="L15" s="23">
        <f t="shared" si="7"/>
        <v>1.5452367307289494E-2</v>
      </c>
      <c r="N15" s="25">
        <v>30.705906370000001</v>
      </c>
      <c r="O15" s="25">
        <v>6.1829965019999999</v>
      </c>
      <c r="P15" s="25">
        <v>2.5272596049999998</v>
      </c>
      <c r="Q15" s="25">
        <v>0.22757513300000001</v>
      </c>
      <c r="R15" s="25">
        <v>0.37346275800000001</v>
      </c>
      <c r="S15" s="25">
        <v>6.8825620000000004E-2</v>
      </c>
      <c r="T15" s="4">
        <f t="shared" si="8"/>
        <v>40.086025988000003</v>
      </c>
      <c r="U15" s="102">
        <f t="shared" si="2"/>
        <v>9093.719740477758</v>
      </c>
      <c r="V15" s="48">
        <f t="shared" si="3"/>
        <v>6965.7916948345091</v>
      </c>
      <c r="W15" s="48">
        <f t="shared" si="4"/>
        <v>1402.6443370159477</v>
      </c>
    </row>
    <row r="16" spans="1:24">
      <c r="A16">
        <v>2013</v>
      </c>
      <c r="B16" s="102">
        <f>'1.1, 1.2'!I16</f>
        <v>3244068</v>
      </c>
      <c r="C16" s="25">
        <v>37.436152470000003</v>
      </c>
      <c r="D16" s="25">
        <v>3.2684472250000001</v>
      </c>
      <c r="E16" s="102">
        <v>4442.1000000000004</v>
      </c>
      <c r="F16" s="102">
        <f t="shared" si="9"/>
        <v>730.30053353143774</v>
      </c>
      <c r="G16" s="102">
        <f>'1.1, 1.2'!B16/E16</f>
        <v>629.17043740573149</v>
      </c>
      <c r="H16" s="102">
        <f>'1.1, 1.2'!C16/E16</f>
        <v>101.1300961257063</v>
      </c>
      <c r="I16" s="102">
        <f t="shared" ref="I16" si="10">C16*1000000/E16</f>
        <v>8427.5798541230506</v>
      </c>
      <c r="J16" s="102">
        <f t="shared" ref="J16" si="11">C16/B16*1000000000</f>
        <v>11539.879086998177</v>
      </c>
      <c r="K16" s="23">
        <f t="shared" si="6"/>
        <v>7.7130736598534089E-3</v>
      </c>
      <c r="L16" s="23">
        <f t="shared" si="7"/>
        <v>2.4546275107016013E-2</v>
      </c>
      <c r="N16" s="25">
        <v>30.992188380000002</v>
      </c>
      <c r="O16" s="25">
        <v>6.443964083</v>
      </c>
      <c r="P16" s="25">
        <v>2.5819011089999999</v>
      </c>
      <c r="Q16" s="25">
        <v>0.23420848699999999</v>
      </c>
      <c r="R16" s="25">
        <v>0.38147637600000001</v>
      </c>
      <c r="S16" s="25">
        <v>7.0861253999999999E-2</v>
      </c>
      <c r="T16" s="4">
        <f t="shared" si="8"/>
        <v>40.704599688999998</v>
      </c>
      <c r="U16" s="102">
        <f t="shared" si="2"/>
        <v>9163.3686069651721</v>
      </c>
      <c r="V16" s="48">
        <f t="shared" si="3"/>
        <v>6976.9227122307011</v>
      </c>
      <c r="W16" s="48">
        <f t="shared" si="4"/>
        <v>1450.6571403165169</v>
      </c>
    </row>
    <row r="17" spans="1:23">
      <c r="A17">
        <v>2014</v>
      </c>
      <c r="B17" s="102">
        <f>'1.1, 1.2'!I17</f>
        <v>3359767</v>
      </c>
      <c r="C17" s="25">
        <v>38.35433115</v>
      </c>
      <c r="D17" s="25">
        <v>3.3722997960000001</v>
      </c>
      <c r="E17" s="102">
        <v>4516.5</v>
      </c>
      <c r="F17" s="102">
        <f t="shared" si="9"/>
        <v>743.88730211446921</v>
      </c>
      <c r="G17" s="102">
        <f>'1.1, 1.2'!B17/E17</f>
        <v>638.59293700874571</v>
      </c>
      <c r="H17" s="102">
        <f>'1.1, 1.2'!C17/E17</f>
        <v>105.29436510572346</v>
      </c>
      <c r="I17" s="102">
        <f t="shared" ref="I17:I18" si="12">C17*1000000/E17</f>
        <v>8492.0471936233807</v>
      </c>
      <c r="J17" s="102">
        <f t="shared" ref="J17:J18" si="13">C17/B17*1000000000</f>
        <v>11415.771138296197</v>
      </c>
      <c r="K17" s="23">
        <f t="shared" si="6"/>
        <v>1.6748835010467866E-2</v>
      </c>
      <c r="L17" s="23">
        <f t="shared" si="7"/>
        <v>3.5664788777547196E-2</v>
      </c>
      <c r="N17" s="25">
        <v>31.54999188</v>
      </c>
      <c r="O17" s="25">
        <v>6.8043392760000003</v>
      </c>
      <c r="P17" s="25">
        <v>2.6726010069999999</v>
      </c>
      <c r="Q17" s="25">
        <v>0.243555459</v>
      </c>
      <c r="R17" s="25">
        <v>0.38613294500000001</v>
      </c>
      <c r="S17" s="25">
        <v>7.0010383999999995E-2</v>
      </c>
      <c r="T17" s="4">
        <f t="shared" si="8"/>
        <v>41.726630950999997</v>
      </c>
      <c r="U17" s="102">
        <f t="shared" si="2"/>
        <v>9238.709388021698</v>
      </c>
      <c r="V17" s="48">
        <f t="shared" si="3"/>
        <v>6985.4958219860509</v>
      </c>
      <c r="W17" s="48">
        <f t="shared" si="4"/>
        <v>1506.5513729657923</v>
      </c>
    </row>
    <row r="18" spans="1:23">
      <c r="A18">
        <v>2015</v>
      </c>
      <c r="B18" s="102">
        <f>'1.1, 1.2'!I18</f>
        <v>3483260</v>
      </c>
      <c r="C18" s="25">
        <v>39.796801260000002</v>
      </c>
      <c r="D18" s="25">
        <v>3.446030972</v>
      </c>
      <c r="E18" s="102">
        <v>4609.3999999999996</v>
      </c>
      <c r="F18" s="102">
        <f t="shared" si="9"/>
        <v>755.68620644769385</v>
      </c>
      <c r="G18" s="102">
        <f>'1.1, 1.2'!B18/E18</f>
        <v>646.330108040092</v>
      </c>
      <c r="H18" s="102">
        <f>'1.1, 1.2'!C18/E18</f>
        <v>109.35609840760186</v>
      </c>
      <c r="I18" s="102">
        <f t="shared" si="12"/>
        <v>8633.8354796719759</v>
      </c>
      <c r="J18" s="102">
        <f t="shared" si="13"/>
        <v>11425.159551684343</v>
      </c>
      <c r="K18" s="23">
        <f t="shared" si="6"/>
        <v>2.0569024687257853E-2</v>
      </c>
      <c r="L18" s="23">
        <f t="shared" si="7"/>
        <v>3.6756417930172036E-2</v>
      </c>
      <c r="N18" s="25">
        <v>32.557774760000001</v>
      </c>
      <c r="O18" s="25">
        <v>7.2390265039999999</v>
      </c>
      <c r="P18" s="25">
        <v>2.7281951520000001</v>
      </c>
      <c r="Q18" s="25">
        <v>0.25079008000000003</v>
      </c>
      <c r="R18" s="25">
        <v>0.39550877000000001</v>
      </c>
      <c r="S18" s="25">
        <v>7.1536971000000005E-2</v>
      </c>
      <c r="T18" s="4">
        <f t="shared" si="8"/>
        <v>43.242832237000002</v>
      </c>
      <c r="U18" s="102">
        <f t="shared" si="2"/>
        <v>9381.4449249360023</v>
      </c>
      <c r="V18" s="48">
        <f t="shared" si="3"/>
        <v>7063.3433331887018</v>
      </c>
      <c r="W18" s="48">
        <f t="shared" si="4"/>
        <v>1570.4921473510653</v>
      </c>
    </row>
    <row r="19" spans="1:23">
      <c r="A19">
        <v>2016</v>
      </c>
      <c r="B19" s="102">
        <f>'1.1, 1.2'!I19</f>
        <v>3631540</v>
      </c>
      <c r="C19" s="25">
        <v>41.684358179999997</v>
      </c>
      <c r="D19" s="25">
        <v>3.5455319030000001</v>
      </c>
      <c r="E19" s="102">
        <v>4714.1000000000004</v>
      </c>
      <c r="F19" s="102">
        <f t="shared" ref="F19" si="14">B19/E19</f>
        <v>770.35701406419037</v>
      </c>
      <c r="G19" s="102">
        <f>'1.1, 1.2'!B19/E19</f>
        <v>655.69143632930991</v>
      </c>
      <c r="H19" s="102">
        <f>'1.1, 1.2'!C19/E19</f>
        <v>114.66557773488046</v>
      </c>
      <c r="I19" s="102">
        <f t="shared" ref="I19" si="15">C19*1000000/E19</f>
        <v>8842.4849239515497</v>
      </c>
      <c r="J19" s="102">
        <f t="shared" ref="J19" si="16">C19/B19*1000000000</f>
        <v>11478.424629771391</v>
      </c>
      <c r="K19" s="23">
        <f t="shared" si="6"/>
        <v>2.2714453074152985E-2</v>
      </c>
      <c r="L19" s="23">
        <f t="shared" si="7"/>
        <v>4.2569317248784211E-2</v>
      </c>
      <c r="N19" s="25">
        <v>33.877752549999997</v>
      </c>
      <c r="O19" s="25">
        <v>7.8066056320000001</v>
      </c>
      <c r="P19" s="25">
        <v>2.800606583</v>
      </c>
      <c r="Q19" s="25">
        <v>0.26314854900000001</v>
      </c>
      <c r="R19" s="25">
        <v>0.406057469</v>
      </c>
      <c r="S19" s="25">
        <v>7.5719303000000002E-2</v>
      </c>
      <c r="T19" s="4">
        <f t="shared" si="8"/>
        <v>45.22989008599999</v>
      </c>
      <c r="U19" s="102">
        <f t="shared" si="2"/>
        <v>9594.5970781273172</v>
      </c>
      <c r="V19" s="48">
        <f t="shared" si="3"/>
        <v>7186.4730383318119</v>
      </c>
      <c r="W19" s="48">
        <f t="shared" si="4"/>
        <v>1656.0118860439954</v>
      </c>
    </row>
    <row r="20" spans="1:23">
      <c r="A20">
        <v>2017</v>
      </c>
      <c r="B20" s="102">
        <f>'1.1, 1.2'!I20</f>
        <v>3783733</v>
      </c>
      <c r="C20" s="25">
        <v>43.082136179999999</v>
      </c>
      <c r="D20" s="25">
        <v>3.7054911860000002</v>
      </c>
      <c r="E20" s="102">
        <v>4813.6000000000004</v>
      </c>
      <c r="F20" s="102">
        <f t="shared" ref="F20:F21" si="17">B20/E20</f>
        <v>786.05056506564722</v>
      </c>
      <c r="G20" s="102">
        <f>'1.1, 1.2'!B20/E20</f>
        <v>665.04445737078277</v>
      </c>
      <c r="H20" s="102">
        <f>'1.1, 1.2'!C20/E20</f>
        <v>121.00610769486454</v>
      </c>
      <c r="I20" s="102">
        <f t="shared" ref="I20:I21" si="18">C20*1000000/E20</f>
        <v>8950.0864591989357</v>
      </c>
      <c r="J20" s="102">
        <f t="shared" ref="J20" si="19">C20/B20*1000000000</f>
        <v>11386.145951630308</v>
      </c>
      <c r="K20" s="23">
        <f t="shared" si="6"/>
        <v>2.1106892089688412E-2</v>
      </c>
      <c r="L20" s="23">
        <f t="shared" si="7"/>
        <v>4.1908666846572018E-2</v>
      </c>
      <c r="N20" s="25">
        <v>34.68740425</v>
      </c>
      <c r="O20" s="25">
        <v>8.3947319250000003</v>
      </c>
      <c r="P20" s="25">
        <v>2.9361171349999999</v>
      </c>
      <c r="Q20" s="25">
        <v>0.28132180400000001</v>
      </c>
      <c r="R20" s="25">
        <v>0.41091944899999999</v>
      </c>
      <c r="S20" s="25">
        <v>7.7132797000000003E-2</v>
      </c>
      <c r="T20" s="4">
        <f t="shared" ref="T20" si="20">SUM(N20:S20)</f>
        <v>46.787627360000002</v>
      </c>
      <c r="U20" s="102">
        <f t="shared" si="2"/>
        <v>9719.8826990194448</v>
      </c>
      <c r="V20" s="48">
        <f t="shared" si="3"/>
        <v>7206.1251973574872</v>
      </c>
      <c r="W20" s="48">
        <f t="shared" si="4"/>
        <v>1743.9612608027255</v>
      </c>
    </row>
    <row r="21" spans="1:23">
      <c r="A21">
        <v>2018</v>
      </c>
      <c r="B21" s="102">
        <f>'1.1, 1.2'!I21</f>
        <v>3900018</v>
      </c>
      <c r="C21" s="25">
        <v>44.140926059999998</v>
      </c>
      <c r="D21" s="25">
        <v>3.8237545700000002</v>
      </c>
      <c r="E21" s="102">
        <v>4900.6000000000004</v>
      </c>
      <c r="F21" s="102">
        <f t="shared" si="17"/>
        <v>795.82459290699092</v>
      </c>
      <c r="G21" s="102">
        <f>'1.1, 1.2'!B21/E21</f>
        <v>668.73444068073297</v>
      </c>
      <c r="H21" s="102">
        <f>'1.1, 1.2'!C21/E21</f>
        <v>127.090152226258</v>
      </c>
      <c r="I21" s="102">
        <f t="shared" si="18"/>
        <v>9007.2493286536319</v>
      </c>
      <c r="J21" s="102">
        <f t="shared" ref="J21" si="21">C21/B21*1000000000</f>
        <v>11318.133931689546</v>
      </c>
      <c r="K21" s="23">
        <f t="shared" si="6"/>
        <v>1.8073790925710487E-2</v>
      </c>
      <c r="L21" s="23">
        <f t="shared" si="7"/>
        <v>3.0732876764824502E-2</v>
      </c>
      <c r="N21" s="25">
        <v>35.181502870000003</v>
      </c>
      <c r="O21" s="25">
        <v>8.9594231890000007</v>
      </c>
      <c r="P21" s="25">
        <v>3.02261443</v>
      </c>
      <c r="Q21" s="25">
        <v>0.29864364900000001</v>
      </c>
      <c r="R21" s="25">
        <v>0.42414109999999999</v>
      </c>
      <c r="S21" s="25">
        <v>7.8355392999999995E-2</v>
      </c>
      <c r="T21" s="4">
        <f t="shared" ref="T21" si="22">SUM(N21:S21)</f>
        <v>47.964680631</v>
      </c>
      <c r="U21" s="102">
        <f t="shared" si="2"/>
        <v>9787.511862016896</v>
      </c>
      <c r="V21" s="48">
        <f t="shared" si="3"/>
        <v>7179.0194812880063</v>
      </c>
      <c r="W21" s="48">
        <f t="shared" si="4"/>
        <v>1828.229847161572</v>
      </c>
    </row>
    <row r="22" spans="1:23">
      <c r="A22">
        <v>2019</v>
      </c>
      <c r="B22" s="102">
        <f>'1.1, 1.2'!I22</f>
        <v>3996595</v>
      </c>
      <c r="C22" s="25">
        <v>43.707915059999998</v>
      </c>
      <c r="D22" s="25">
        <v>3.8505255119999999</v>
      </c>
      <c r="E22" s="102">
        <v>4979.2</v>
      </c>
      <c r="F22" s="102">
        <f t="shared" ref="F22" si="23">B22/E22</f>
        <v>802.65805751928019</v>
      </c>
      <c r="G22" s="102">
        <f>'1.1, 1.2'!B22/E22</f>
        <v>670.39765424164523</v>
      </c>
      <c r="H22" s="102">
        <f>'1.1, 1.2'!C22/E22</f>
        <v>132.26040327763496</v>
      </c>
      <c r="I22" s="102">
        <f t="shared" ref="I22" si="24">C22*1000000/E22</f>
        <v>8778.0999076156804</v>
      </c>
      <c r="J22" s="102">
        <f t="shared" ref="J22" si="25">C22/B22*1000000000</f>
        <v>10936.28828039869</v>
      </c>
      <c r="K22" s="23">
        <f t="shared" si="6"/>
        <v>1.603885238542202E-2</v>
      </c>
      <c r="L22" s="23">
        <f t="shared" si="7"/>
        <v>2.4763219041553208E-2</v>
      </c>
      <c r="N22" s="25">
        <v>34.449712720000001</v>
      </c>
      <c r="O22" s="25">
        <v>9.2582023450000008</v>
      </c>
      <c r="P22" s="25">
        <v>3.0372473840000001</v>
      </c>
      <c r="Q22" s="25">
        <v>0.30710841</v>
      </c>
      <c r="R22" s="25">
        <v>0.42711433399999998</v>
      </c>
      <c r="S22" s="25">
        <v>7.9055384000000006E-2</v>
      </c>
      <c r="T22" s="4">
        <f t="shared" ref="T22" si="26">SUM(N22:S22)</f>
        <v>47.558440576999999</v>
      </c>
      <c r="U22" s="102">
        <f t="shared" si="2"/>
        <v>9551.4220310491655</v>
      </c>
      <c r="V22" s="48">
        <f t="shared" si="3"/>
        <v>6918.7244376606695</v>
      </c>
      <c r="W22" s="48">
        <f t="shared" si="4"/>
        <v>1859.3754709591904</v>
      </c>
    </row>
    <row r="23" spans="1:23">
      <c r="A23">
        <v>2020</v>
      </c>
      <c r="B23" s="102">
        <f>'1.1, 1.2'!I23</f>
        <v>4037792</v>
      </c>
      <c r="C23" s="25">
        <v>42.015589300000002</v>
      </c>
      <c r="D23" s="25">
        <v>3.765125506</v>
      </c>
      <c r="E23" s="102">
        <v>5090.2</v>
      </c>
      <c r="F23" s="102">
        <f t="shared" ref="F23" si="27">B23/E23</f>
        <v>793.24820242819544</v>
      </c>
      <c r="G23" s="102">
        <f>'1.1, 1.2'!B23/E23</f>
        <v>659.22046285018268</v>
      </c>
      <c r="H23" s="102">
        <f>'1.1, 1.2'!C23/E23</f>
        <v>134.02773957801264</v>
      </c>
      <c r="I23" s="102">
        <f t="shared" ref="I23:I25" si="28">C23*1000000/E23</f>
        <v>8254.2118777258274</v>
      </c>
      <c r="J23" s="102">
        <f>C23/B23*1000000000</f>
        <v>10405.585354570023</v>
      </c>
      <c r="K23" s="23">
        <f t="shared" si="6"/>
        <v>2.2292737789203043E-2</v>
      </c>
      <c r="L23" s="23">
        <f t="shared" si="7"/>
        <v>1.0308024706030983E-2</v>
      </c>
      <c r="N23" s="25">
        <v>32.725784879999999</v>
      </c>
      <c r="O23" s="25">
        <v>9.2898044219999996</v>
      </c>
      <c r="P23" s="25">
        <v>3.0007873370000002</v>
      </c>
      <c r="Q23" s="25">
        <v>0.26003426400000001</v>
      </c>
      <c r="R23" s="25">
        <v>0.42468178299999998</v>
      </c>
      <c r="S23" s="25">
        <v>7.9622121000000004E-2</v>
      </c>
      <c r="T23" s="4">
        <f t="shared" ref="T23" si="29">SUM(N23:S23)</f>
        <v>45.780714806999988</v>
      </c>
      <c r="U23" s="102">
        <f t="shared" si="2"/>
        <v>8993.8931293465848</v>
      </c>
      <c r="V23" s="48">
        <f t="shared" si="3"/>
        <v>6429.1746650426312</v>
      </c>
      <c r="W23" s="48">
        <f t="shared" si="4"/>
        <v>1825.037213076107</v>
      </c>
    </row>
    <row r="24" spans="1:23">
      <c r="A24">
        <v>2021</v>
      </c>
      <c r="B24" s="171">
        <f>'1.1, 1.2'!I24</f>
        <v>4125801</v>
      </c>
      <c r="C24" s="25">
        <v>42.41411514</v>
      </c>
      <c r="D24" s="25">
        <v>3.8995851290000001</v>
      </c>
      <c r="E24" s="102">
        <v>5111.3</v>
      </c>
      <c r="F24" s="102">
        <f>B24/E24</f>
        <v>807.19210377007801</v>
      </c>
      <c r="G24" s="3">
        <f>'1.1, 1.2'!B24/E24</f>
        <v>667.07041261518589</v>
      </c>
      <c r="H24" s="3">
        <f>'1.1, 1.2'!C24/E24</f>
        <v>140.12169115489209</v>
      </c>
      <c r="I24" s="102">
        <f t="shared" si="28"/>
        <v>8298.107162561384</v>
      </c>
      <c r="J24" s="3">
        <f>C24/B24*1000000000</f>
        <v>10280.213500360294</v>
      </c>
      <c r="K24" s="23">
        <f t="shared" si="6"/>
        <v>4.1452202271030636E-3</v>
      </c>
      <c r="L24" s="23">
        <f t="shared" si="7"/>
        <v>2.1796318383908719E-2</v>
      </c>
      <c r="N24" s="25">
        <v>32.791070169999998</v>
      </c>
      <c r="O24" s="25">
        <v>9.6230449740000008</v>
      </c>
      <c r="P24" s="25">
        <v>3.1412454169999999</v>
      </c>
      <c r="Q24" s="25">
        <v>0.25020676600000002</v>
      </c>
      <c r="R24" s="25">
        <v>0.42725343500000001</v>
      </c>
      <c r="S24" s="25">
        <v>8.0879512000000001E-2</v>
      </c>
      <c r="T24" s="4">
        <f>SUM(N24:S24)</f>
        <v>46.313700273999999</v>
      </c>
      <c r="U24" s="102">
        <f t="shared" si="2"/>
        <v>9061.0412759963219</v>
      </c>
      <c r="V24" s="48">
        <f t="shared" si="3"/>
        <v>6415.4070725647089</v>
      </c>
      <c r="W24" s="48">
        <f t="shared" si="4"/>
        <v>1882.700090779254</v>
      </c>
    </row>
    <row r="25" spans="1:23">
      <c r="A25">
        <v>2022</v>
      </c>
      <c r="B25" s="171">
        <f>'1.1, 1.2'!I25</f>
        <v>4207629</v>
      </c>
      <c r="C25" s="25">
        <v>43.336006269999999</v>
      </c>
      <c r="D25" s="25">
        <v>3.960427991</v>
      </c>
      <c r="E25" s="102">
        <v>5117.1000000000004</v>
      </c>
      <c r="F25" s="102">
        <f t="shared" ref="F25" si="30">B25/E25</f>
        <v>822.26827695374323</v>
      </c>
      <c r="G25" s="102">
        <f>'1.1, 1.2'!B25/E25</f>
        <v>676.55625256492931</v>
      </c>
      <c r="H25" s="102">
        <f>'1.1, 1.2'!C25/E25</f>
        <v>145.71202438881397</v>
      </c>
      <c r="I25" s="102">
        <f t="shared" si="28"/>
        <v>8468.8605401496934</v>
      </c>
      <c r="J25" s="3">
        <f t="shared" ref="J25" si="31">C25/B25*1000000000</f>
        <v>10299.388627181721</v>
      </c>
      <c r="K25" s="23">
        <f t="shared" si="6"/>
        <v>1.1347406726274212E-3</v>
      </c>
      <c r="L25" s="23">
        <f t="shared" si="7"/>
        <v>1.9833239654554413E-2</v>
      </c>
      <c r="N25" s="25">
        <v>33.285336579999999</v>
      </c>
      <c r="O25" s="25">
        <v>10.050669689999999</v>
      </c>
      <c r="P25" s="25">
        <v>3.1974192920000002</v>
      </c>
      <c r="Q25" s="25">
        <v>0.25856221899999998</v>
      </c>
      <c r="R25" s="25">
        <v>0.41557332600000002</v>
      </c>
      <c r="S25" s="25">
        <v>8.8873153999999996E-2</v>
      </c>
      <c r="T25" s="4">
        <f>SUM(N25:S25)</f>
        <v>47.296434260999995</v>
      </c>
      <c r="U25" s="102">
        <f t="shared" si="2"/>
        <v>9242.8200076215035</v>
      </c>
      <c r="V25" s="48">
        <f t="shared" si="3"/>
        <v>6504.7266185925619</v>
      </c>
      <c r="W25" s="48">
        <f t="shared" si="4"/>
        <v>1964.1339215571318</v>
      </c>
    </row>
    <row r="26" spans="1:23" ht="14.5">
      <c r="A26" s="204">
        <v>2023</v>
      </c>
      <c r="B26" s="171">
        <f>'1.1, 1.2'!I26</f>
        <v>4264980</v>
      </c>
      <c r="C26" s="25">
        <v>45.48522715</v>
      </c>
      <c r="D26" s="25">
        <v>4.0241550579999998</v>
      </c>
      <c r="E26" s="102">
        <v>5245</v>
      </c>
      <c r="F26" s="102">
        <f t="shared" ref="F26" si="32">B26/E26</f>
        <v>813.15157292659671</v>
      </c>
      <c r="G26" s="102">
        <f>'1.1, 1.2'!B26/E26</f>
        <v>669.20019065776933</v>
      </c>
      <c r="H26" s="102">
        <f>'1.1, 1.2'!C26/E26</f>
        <v>143.95138226882744</v>
      </c>
      <c r="I26" s="102">
        <f t="shared" ref="I26" si="33">C26*1000000/E26</f>
        <v>8672.111944709246</v>
      </c>
      <c r="J26" s="3">
        <f t="shared" ref="J26" si="34">C26/B26*1000000000</f>
        <v>10664.816048375373</v>
      </c>
      <c r="K26" s="23">
        <f t="shared" si="6"/>
        <v>2.4994625862304831E-2</v>
      </c>
      <c r="L26" s="23">
        <f t="shared" si="7"/>
        <v>1.363024163965032E-2</v>
      </c>
      <c r="N26" s="25">
        <v>34.98326582</v>
      </c>
      <c r="O26" s="25">
        <v>10.501961319999999</v>
      </c>
      <c r="P26" s="25">
        <v>3.236841981</v>
      </c>
      <c r="Q26" s="25">
        <v>0.292909115</v>
      </c>
      <c r="R26" s="25">
        <v>0.40415677</v>
      </c>
      <c r="S26" s="25">
        <v>9.0247193000000003E-2</v>
      </c>
      <c r="T26" s="4">
        <f>SUM(N26:S26)</f>
        <v>49.509382199000001</v>
      </c>
      <c r="U26" s="102">
        <f t="shared" si="2"/>
        <v>9439.3483696854146</v>
      </c>
      <c r="V26" s="48">
        <f t="shared" si="3"/>
        <v>6669.8314242135366</v>
      </c>
      <c r="W26" s="48">
        <f t="shared" si="4"/>
        <v>2002.2805185891325</v>
      </c>
    </row>
    <row r="27" spans="1:23">
      <c r="J27" s="3"/>
    </row>
    <row r="28" spans="1:23">
      <c r="A28" t="s">
        <v>138</v>
      </c>
    </row>
    <row r="29" spans="1:23">
      <c r="A29" t="s">
        <v>139</v>
      </c>
    </row>
    <row r="30" spans="1:23" ht="87.5">
      <c r="A30" s="170" t="s">
        <v>140</v>
      </c>
      <c r="J30" s="9"/>
    </row>
    <row r="31" spans="1:23">
      <c r="J31"/>
    </row>
    <row r="32" spans="1:23">
      <c r="J32"/>
    </row>
    <row r="33" spans="10:24">
      <c r="J33"/>
      <c r="K33" s="8"/>
      <c r="L33" s="8"/>
      <c r="M33" s="106"/>
      <c r="N33" s="106"/>
      <c r="O33" s="106"/>
      <c r="P33" s="106"/>
      <c r="Q33" s="106"/>
      <c r="R33" s="106"/>
      <c r="S33" s="106"/>
      <c r="T33" s="106"/>
      <c r="U33" s="106"/>
      <c r="V33" s="106"/>
      <c r="W33" s="106"/>
      <c r="X33" s="8"/>
    </row>
    <row r="34" spans="10:24">
      <c r="J34"/>
      <c r="K34" s="8"/>
      <c r="L34" s="8"/>
      <c r="M34" s="106"/>
      <c r="N34" s="106"/>
      <c r="O34" s="106"/>
      <c r="P34" s="106"/>
      <c r="Q34" s="106"/>
      <c r="R34" s="106"/>
      <c r="S34" s="106"/>
      <c r="T34" s="106"/>
      <c r="U34" s="106"/>
      <c r="V34" s="106"/>
      <c r="W34" s="106"/>
      <c r="X34" s="8"/>
    </row>
    <row r="35" spans="10:24">
      <c r="J35"/>
      <c r="K35" s="8"/>
      <c r="L35" s="8"/>
      <c r="M35" s="106"/>
      <c r="N35" s="106"/>
      <c r="O35" s="106"/>
      <c r="P35" s="106"/>
      <c r="Q35" s="106"/>
      <c r="R35" s="106"/>
      <c r="S35" s="106"/>
      <c r="T35" s="106"/>
      <c r="U35" s="106"/>
      <c r="V35" s="106"/>
      <c r="W35" s="106"/>
      <c r="X35" s="8"/>
    </row>
    <row r="36" spans="10:24">
      <c r="J36"/>
      <c r="K36" s="8"/>
      <c r="L36" s="8"/>
      <c r="M36" s="106"/>
      <c r="N36" s="106"/>
      <c r="O36" s="106"/>
      <c r="P36" s="106"/>
      <c r="Q36" s="106"/>
      <c r="R36" s="106"/>
      <c r="S36" s="106"/>
      <c r="T36" s="106"/>
      <c r="U36" s="106"/>
      <c r="V36" s="106"/>
      <c r="W36" s="106"/>
      <c r="X36" s="8"/>
    </row>
    <row r="37" spans="10:24">
      <c r="J37"/>
      <c r="K37" s="8"/>
      <c r="L37" s="8"/>
      <c r="M37" s="106"/>
      <c r="N37" s="106"/>
      <c r="O37" s="106"/>
      <c r="P37" s="106"/>
      <c r="Q37" s="106"/>
      <c r="R37" s="106"/>
      <c r="S37" s="106"/>
      <c r="T37" s="106"/>
      <c r="U37" s="106"/>
      <c r="V37" s="106"/>
      <c r="W37" s="106"/>
      <c r="X37" s="8"/>
    </row>
    <row r="38" spans="10:24">
      <c r="J38"/>
      <c r="K38" s="8"/>
      <c r="L38" s="8"/>
      <c r="M38" s="106"/>
      <c r="N38" s="106"/>
      <c r="O38" s="106"/>
      <c r="P38" s="106"/>
      <c r="Q38" s="106"/>
      <c r="R38" s="106"/>
      <c r="S38" s="106"/>
      <c r="T38" s="106"/>
      <c r="U38" s="106"/>
      <c r="V38" s="106"/>
      <c r="W38" s="106"/>
      <c r="X38" s="8"/>
    </row>
    <row r="39" spans="10:24">
      <c r="J39"/>
      <c r="K39" s="8"/>
      <c r="L39" s="8"/>
      <c r="M39" s="106"/>
      <c r="N39" s="106"/>
      <c r="O39" s="106"/>
      <c r="P39" s="106"/>
      <c r="Q39" s="106"/>
      <c r="R39" s="106"/>
      <c r="S39" s="106"/>
      <c r="T39" s="106"/>
      <c r="U39" s="106"/>
      <c r="V39" s="106"/>
      <c r="W39" s="106"/>
      <c r="X39" s="8"/>
    </row>
    <row r="40" spans="10:24">
      <c r="J40"/>
      <c r="K40" s="8"/>
      <c r="L40" s="8"/>
      <c r="M40" s="106"/>
      <c r="N40" s="106"/>
      <c r="O40" s="106"/>
      <c r="P40" s="106"/>
      <c r="Q40" s="106"/>
      <c r="R40" s="106"/>
      <c r="S40" s="106"/>
      <c r="T40" s="106"/>
      <c r="U40" s="106"/>
      <c r="V40" s="106"/>
      <c r="W40" s="106"/>
      <c r="X40" s="8"/>
    </row>
    <row r="41" spans="10:24">
      <c r="J41"/>
      <c r="K41" s="8"/>
      <c r="L41" s="8"/>
      <c r="M41" s="106"/>
      <c r="N41" s="106"/>
      <c r="O41" s="106"/>
      <c r="P41" s="106"/>
      <c r="Q41" s="106"/>
      <c r="R41" s="106"/>
      <c r="S41" s="106"/>
      <c r="T41" s="106"/>
      <c r="U41" s="106"/>
      <c r="V41" s="106"/>
      <c r="W41" s="106"/>
      <c r="X41" s="8"/>
    </row>
    <row r="42" spans="10:24">
      <c r="J42"/>
      <c r="K42" s="8"/>
      <c r="L42" s="8"/>
      <c r="M42" s="106"/>
      <c r="N42" s="106"/>
      <c r="O42" s="106"/>
      <c r="P42" s="106"/>
      <c r="Q42" s="106"/>
      <c r="R42" s="106"/>
      <c r="S42" s="106"/>
      <c r="T42" s="106"/>
      <c r="U42" s="106"/>
      <c r="V42" s="106"/>
      <c r="W42" s="106"/>
      <c r="X42" s="8"/>
    </row>
    <row r="43" spans="10:24">
      <c r="J43"/>
      <c r="K43" s="8"/>
      <c r="L43" s="8"/>
      <c r="M43" s="106"/>
      <c r="N43" s="106"/>
      <c r="O43" s="106"/>
      <c r="P43" s="106"/>
      <c r="Q43" s="106"/>
      <c r="R43" s="106"/>
      <c r="S43" s="106"/>
      <c r="T43" s="106"/>
      <c r="U43" s="106"/>
      <c r="V43" s="106"/>
      <c r="W43" s="106"/>
      <c r="X43" s="8"/>
    </row>
    <row r="44" spans="10:24">
      <c r="J44"/>
      <c r="K44" s="8"/>
      <c r="L44" s="8"/>
      <c r="M44" s="106"/>
      <c r="N44" s="106"/>
      <c r="O44" s="106"/>
      <c r="P44" s="106"/>
      <c r="Q44" s="106"/>
      <c r="R44" s="106"/>
      <c r="S44" s="106"/>
      <c r="T44" s="106"/>
      <c r="U44" s="106"/>
      <c r="V44" s="106"/>
      <c r="W44" s="106"/>
      <c r="X44" s="8"/>
    </row>
    <row r="45" spans="10:24">
      <c r="J45"/>
      <c r="K45" s="8"/>
      <c r="L45" s="8"/>
      <c r="M45" s="106"/>
      <c r="N45" s="106"/>
      <c r="O45" s="106"/>
      <c r="P45" s="106"/>
      <c r="Q45" s="106"/>
      <c r="R45" s="106"/>
      <c r="S45" s="106"/>
      <c r="T45" s="106"/>
      <c r="U45" s="106"/>
      <c r="V45" s="106"/>
      <c r="W45" s="106"/>
      <c r="X45" s="8"/>
    </row>
    <row r="46" spans="10:24">
      <c r="J46"/>
      <c r="K46" s="8"/>
      <c r="L46" s="8"/>
      <c r="M46" s="106"/>
      <c r="N46" s="106"/>
      <c r="O46" s="106"/>
      <c r="P46" s="106"/>
      <c r="Q46" s="106"/>
      <c r="R46" s="106"/>
      <c r="S46" s="106"/>
      <c r="T46" s="106"/>
      <c r="U46" s="106"/>
      <c r="V46" s="106"/>
      <c r="W46" s="106"/>
      <c r="X46" s="8"/>
    </row>
    <row r="47" spans="10:24">
      <c r="J47"/>
      <c r="K47" s="8"/>
      <c r="L47" s="8"/>
      <c r="M47" s="106"/>
      <c r="N47" s="106"/>
      <c r="O47" s="106"/>
      <c r="P47" s="106"/>
      <c r="Q47" s="106"/>
      <c r="R47" s="106"/>
      <c r="S47" s="106"/>
      <c r="T47" s="106"/>
      <c r="U47" s="106"/>
      <c r="V47" s="106"/>
      <c r="W47" s="106"/>
      <c r="X47" s="8"/>
    </row>
    <row r="48" spans="10:24">
      <c r="J48"/>
      <c r="K48" s="8"/>
      <c r="L48" s="8"/>
      <c r="M48" s="106"/>
      <c r="N48" s="106"/>
      <c r="O48" s="106"/>
      <c r="P48" s="106"/>
      <c r="Q48" s="106"/>
      <c r="R48" s="106"/>
      <c r="S48" s="106"/>
      <c r="T48" s="106"/>
      <c r="U48" s="106"/>
      <c r="V48" s="106"/>
      <c r="W48" s="106"/>
      <c r="X48" s="8"/>
    </row>
    <row r="49" spans="10:14">
      <c r="J49"/>
    </row>
    <row r="62" spans="10:14" ht="13">
      <c r="N62" s="7"/>
    </row>
    <row r="101" spans="14:14">
      <c r="N101" s="37"/>
    </row>
  </sheetData>
  <mergeCells count="1">
    <mergeCell ref="U1:V1"/>
  </mergeCells>
  <phoneticPr fontId="0" type="noConversion"/>
  <hyperlinks>
    <hyperlink ref="U1:V1" location="Contents!A1" display="Back to Contents" xr:uid="{00000000-0004-0000-0400-000000000000}"/>
  </hyperlinks>
  <pageMargins left="0.75" right="0.75" top="1" bottom="1" header="0.5" footer="0.5"/>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AM44"/>
  <sheetViews>
    <sheetView workbookViewId="0"/>
  </sheetViews>
  <sheetFormatPr defaultColWidth="8.81640625" defaultRowHeight="12.5"/>
  <cols>
    <col min="2" max="2" width="10" customWidth="1"/>
    <col min="3" max="3" width="10.26953125" customWidth="1"/>
    <col min="5" max="5" width="10.81640625" customWidth="1"/>
    <col min="7" max="7" width="16.26953125" customWidth="1"/>
    <col min="9" max="9" width="14.54296875" customWidth="1"/>
    <col min="12" max="12" width="19.81640625" customWidth="1"/>
    <col min="13" max="13" width="11.453125" customWidth="1"/>
  </cols>
  <sheetData>
    <row r="1" spans="1:39" ht="21" customHeight="1">
      <c r="A1" s="104"/>
      <c r="B1" s="103" t="s">
        <v>141</v>
      </c>
      <c r="C1" s="18"/>
      <c r="D1" s="18"/>
      <c r="E1" s="18"/>
      <c r="F1" s="18"/>
      <c r="G1" s="18"/>
      <c r="H1" s="17"/>
      <c r="I1" s="18"/>
      <c r="J1" s="19"/>
      <c r="K1" s="13"/>
      <c r="L1" s="207" t="s">
        <v>79</v>
      </c>
      <c r="M1" s="207"/>
      <c r="N1" s="18"/>
      <c r="O1" s="18"/>
      <c r="P1" s="18"/>
      <c r="Q1" s="18"/>
      <c r="R1" s="18"/>
    </row>
    <row r="2" spans="1:39">
      <c r="A2" s="42"/>
      <c r="B2" s="49" t="s">
        <v>142</v>
      </c>
      <c r="C2" s="49" t="s">
        <v>143</v>
      </c>
      <c r="D2" s="49" t="s">
        <v>144</v>
      </c>
      <c r="E2" s="49" t="s">
        <v>145</v>
      </c>
      <c r="F2" s="49" t="s">
        <v>146</v>
      </c>
      <c r="G2" s="49" t="s">
        <v>147</v>
      </c>
      <c r="H2" s="49" t="s">
        <v>148</v>
      </c>
      <c r="I2" s="49" t="s">
        <v>149</v>
      </c>
      <c r="J2" s="49" t="s">
        <v>150</v>
      </c>
      <c r="K2" s="49" t="s">
        <v>151</v>
      </c>
      <c r="L2" s="49" t="s">
        <v>152</v>
      </c>
      <c r="M2" s="49" t="s">
        <v>153</v>
      </c>
    </row>
    <row r="3" spans="1:39">
      <c r="A3" s="42">
        <v>2001</v>
      </c>
      <c r="B3" s="65">
        <v>1.52</v>
      </c>
      <c r="C3" s="65">
        <v>11.26</v>
      </c>
      <c r="D3" s="65">
        <v>0.37</v>
      </c>
      <c r="E3" s="65">
        <v>1.32</v>
      </c>
      <c r="F3" s="65">
        <v>0.96</v>
      </c>
      <c r="G3" s="65">
        <v>2.12</v>
      </c>
      <c r="H3" s="65">
        <v>3.66</v>
      </c>
      <c r="I3" s="65">
        <v>1.18</v>
      </c>
      <c r="J3" s="65">
        <v>4.96</v>
      </c>
      <c r="K3" s="65">
        <v>1</v>
      </c>
      <c r="L3" s="65">
        <v>8.2200000000000006</v>
      </c>
      <c r="M3" s="65">
        <v>36.57</v>
      </c>
    </row>
    <row r="4" spans="1:39">
      <c r="A4" s="42">
        <v>2002</v>
      </c>
      <c r="B4" s="65">
        <v>1.44</v>
      </c>
      <c r="C4" s="65">
        <v>11.63</v>
      </c>
      <c r="D4" s="65">
        <v>0.38</v>
      </c>
      <c r="E4" s="65">
        <v>1.36</v>
      </c>
      <c r="F4" s="65">
        <v>0.99</v>
      </c>
      <c r="G4" s="65">
        <v>2.14</v>
      </c>
      <c r="H4" s="65">
        <v>3.72</v>
      </c>
      <c r="I4" s="65">
        <v>1.23</v>
      </c>
      <c r="J4" s="65">
        <v>5.22</v>
      </c>
      <c r="K4" s="65">
        <v>0.99</v>
      </c>
      <c r="L4" s="65">
        <v>8.67</v>
      </c>
      <c r="M4" s="65">
        <v>37.770000000000003</v>
      </c>
    </row>
    <row r="5" spans="1:39">
      <c r="A5" s="42">
        <v>2003</v>
      </c>
      <c r="B5" s="65">
        <v>1.47</v>
      </c>
      <c r="C5" s="65">
        <v>12.06</v>
      </c>
      <c r="D5" s="65">
        <v>0.38</v>
      </c>
      <c r="E5" s="65">
        <v>1.4</v>
      </c>
      <c r="F5" s="65">
        <v>1.01</v>
      </c>
      <c r="G5" s="65">
        <v>2.1800000000000002</v>
      </c>
      <c r="H5" s="65">
        <v>3.78</v>
      </c>
      <c r="I5" s="65">
        <v>1.28</v>
      </c>
      <c r="J5" s="65">
        <v>5.43</v>
      </c>
      <c r="K5" s="65">
        <v>1.01</v>
      </c>
      <c r="L5" s="65">
        <v>8.9499999999999993</v>
      </c>
      <c r="M5" s="65">
        <v>38.94</v>
      </c>
    </row>
    <row r="6" spans="1:39">
      <c r="A6" s="42">
        <v>2004</v>
      </c>
      <c r="B6" s="65">
        <v>1.53</v>
      </c>
      <c r="C6" s="65">
        <v>12.35</v>
      </c>
      <c r="D6" s="65">
        <v>0.39</v>
      </c>
      <c r="E6" s="65">
        <v>1.44</v>
      </c>
      <c r="F6" s="65">
        <v>1.03</v>
      </c>
      <c r="G6" s="65">
        <v>2.23</v>
      </c>
      <c r="H6" s="65">
        <v>3.86</v>
      </c>
      <c r="I6" s="65">
        <v>1.34</v>
      </c>
      <c r="J6" s="65">
        <v>5.6</v>
      </c>
      <c r="K6" s="65">
        <v>1.02</v>
      </c>
      <c r="L6" s="65">
        <v>9.2799999999999994</v>
      </c>
      <c r="M6" s="65">
        <v>40.08</v>
      </c>
    </row>
    <row r="7" spans="1:39" ht="14.5">
      <c r="A7" s="42">
        <v>2005</v>
      </c>
      <c r="B7" s="65">
        <v>1.58</v>
      </c>
      <c r="C7" s="65">
        <v>12.47</v>
      </c>
      <c r="D7" s="65">
        <v>0.39</v>
      </c>
      <c r="E7" s="65">
        <v>1.45</v>
      </c>
      <c r="F7" s="65">
        <v>1.05</v>
      </c>
      <c r="G7" s="65">
        <v>2.23</v>
      </c>
      <c r="H7" s="65">
        <v>3.85</v>
      </c>
      <c r="I7" s="65">
        <v>1.35</v>
      </c>
      <c r="J7" s="65">
        <v>5.61</v>
      </c>
      <c r="K7" s="65">
        <v>1.02</v>
      </c>
      <c r="L7" s="65">
        <v>9.5</v>
      </c>
      <c r="M7" s="65">
        <v>40.5</v>
      </c>
      <c r="P7" s="204"/>
      <c r="Q7" s="204"/>
      <c r="R7" s="204"/>
      <c r="S7" s="204"/>
      <c r="T7" s="204"/>
      <c r="U7" s="204"/>
      <c r="V7" s="204"/>
      <c r="W7" s="204"/>
      <c r="X7" s="204"/>
      <c r="Y7" s="204"/>
      <c r="Z7" s="204"/>
      <c r="AA7" s="204"/>
      <c r="AB7" s="204"/>
      <c r="AC7" s="204"/>
      <c r="AD7" s="204"/>
      <c r="AE7" s="204"/>
      <c r="AF7" s="204"/>
      <c r="AG7" s="204"/>
      <c r="AH7" s="204"/>
      <c r="AI7" s="204"/>
      <c r="AJ7" s="204"/>
      <c r="AK7" s="204"/>
      <c r="AL7" s="204"/>
      <c r="AM7" s="204"/>
    </row>
    <row r="8" spans="1:39" ht="14.5">
      <c r="A8" s="42">
        <v>2006</v>
      </c>
      <c r="B8" s="65">
        <v>1.6</v>
      </c>
      <c r="C8" s="65">
        <v>12.45</v>
      </c>
      <c r="D8" s="65">
        <v>0.39</v>
      </c>
      <c r="E8" s="65">
        <v>1.45</v>
      </c>
      <c r="F8" s="65">
        <v>1.05</v>
      </c>
      <c r="G8" s="65">
        <v>2.2200000000000002</v>
      </c>
      <c r="H8" s="65">
        <v>3.81</v>
      </c>
      <c r="I8" s="65">
        <v>1.34</v>
      </c>
      <c r="J8" s="65">
        <v>5.61</v>
      </c>
      <c r="K8" s="65">
        <v>1.02</v>
      </c>
      <c r="L8" s="65">
        <v>9.57</v>
      </c>
      <c r="M8" s="65">
        <v>40.51</v>
      </c>
      <c r="P8" s="204"/>
      <c r="Q8" s="204"/>
      <c r="R8" s="204"/>
      <c r="S8" s="204"/>
      <c r="T8" s="204"/>
      <c r="U8" s="204"/>
      <c r="V8" s="204"/>
      <c r="W8" s="204"/>
      <c r="X8" s="204"/>
      <c r="Y8" s="204"/>
      <c r="Z8" s="204"/>
      <c r="AA8" s="204"/>
      <c r="AB8" s="204"/>
      <c r="AC8" s="204"/>
      <c r="AD8" s="204"/>
      <c r="AE8" s="204"/>
      <c r="AF8" s="204"/>
      <c r="AG8" s="204"/>
      <c r="AH8" s="204"/>
      <c r="AI8" s="204"/>
      <c r="AJ8" s="204"/>
      <c r="AK8" s="204"/>
      <c r="AL8" s="204"/>
      <c r="AM8" s="204"/>
    </row>
    <row r="9" spans="1:39" ht="14.5">
      <c r="A9" s="42">
        <v>2007</v>
      </c>
      <c r="B9" s="65">
        <v>1.62</v>
      </c>
      <c r="C9" s="65">
        <v>12.55</v>
      </c>
      <c r="D9" s="65">
        <v>0.4</v>
      </c>
      <c r="E9" s="65">
        <v>1.48</v>
      </c>
      <c r="F9" s="65">
        <v>1.08</v>
      </c>
      <c r="G9" s="65">
        <v>2.2599999999999998</v>
      </c>
      <c r="H9" s="65">
        <v>3.85</v>
      </c>
      <c r="I9" s="65">
        <v>1.39</v>
      </c>
      <c r="J9" s="65">
        <v>5.74</v>
      </c>
      <c r="K9" s="65">
        <v>1.04</v>
      </c>
      <c r="L9" s="65">
        <v>9.7200000000000006</v>
      </c>
      <c r="M9" s="65">
        <v>41.12</v>
      </c>
      <c r="P9" s="204"/>
      <c r="Q9" s="204"/>
      <c r="R9" s="204"/>
      <c r="S9" s="204"/>
      <c r="T9" s="204"/>
      <c r="U9" s="204"/>
      <c r="V9" s="204"/>
      <c r="W9" s="204"/>
      <c r="X9" s="204"/>
      <c r="Y9" s="204"/>
      <c r="Z9" s="204"/>
      <c r="AA9" s="204"/>
      <c r="AB9" s="204"/>
      <c r="AC9" s="204"/>
      <c r="AD9" s="204"/>
      <c r="AE9" s="204"/>
      <c r="AF9" s="204"/>
      <c r="AG9" s="204"/>
      <c r="AH9" s="204"/>
      <c r="AI9" s="204"/>
      <c r="AJ9" s="204"/>
      <c r="AK9" s="204"/>
      <c r="AL9" s="204"/>
      <c r="AM9" s="204"/>
    </row>
    <row r="10" spans="1:39" ht="14.5">
      <c r="A10" s="42">
        <v>2008</v>
      </c>
      <c r="B10" s="65">
        <v>1.6</v>
      </c>
      <c r="C10" s="65">
        <v>12.36</v>
      </c>
      <c r="D10" s="65">
        <v>0.38</v>
      </c>
      <c r="E10" s="65">
        <v>1.45</v>
      </c>
      <c r="F10" s="65">
        <v>1.08</v>
      </c>
      <c r="G10" s="65">
        <v>2.21</v>
      </c>
      <c r="H10" s="65">
        <v>3.76</v>
      </c>
      <c r="I10" s="65">
        <v>1.37</v>
      </c>
      <c r="J10" s="65">
        <v>5.7</v>
      </c>
      <c r="K10" s="65">
        <v>1.05</v>
      </c>
      <c r="L10" s="65">
        <v>9.61</v>
      </c>
      <c r="M10" s="65">
        <v>40.56</v>
      </c>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row>
    <row r="11" spans="1:39" ht="14.5">
      <c r="A11" s="42">
        <v>2009</v>
      </c>
      <c r="B11" s="65">
        <v>1.58</v>
      </c>
      <c r="C11" s="65">
        <v>12.32</v>
      </c>
      <c r="D11" s="65">
        <v>0.38</v>
      </c>
      <c r="E11" s="65">
        <v>1.44</v>
      </c>
      <c r="F11" s="65">
        <v>1.0900000000000001</v>
      </c>
      <c r="G11" s="65">
        <v>2.2000000000000002</v>
      </c>
      <c r="H11" s="65">
        <v>3.76</v>
      </c>
      <c r="I11" s="65">
        <v>1.35</v>
      </c>
      <c r="J11" s="65">
        <v>5.74</v>
      </c>
      <c r="K11" s="65">
        <v>1.06</v>
      </c>
      <c r="L11" s="65">
        <v>9.59</v>
      </c>
      <c r="M11" s="65">
        <v>40.520000000000003</v>
      </c>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row>
    <row r="12" spans="1:39" ht="14.5">
      <c r="A12" s="42">
        <v>2010</v>
      </c>
      <c r="B12" s="65">
        <v>1.57</v>
      </c>
      <c r="C12" s="65">
        <v>12.36</v>
      </c>
      <c r="D12" s="65">
        <v>0.38</v>
      </c>
      <c r="E12" s="65">
        <v>1.43</v>
      </c>
      <c r="F12" s="65">
        <v>1.0900000000000001</v>
      </c>
      <c r="G12" s="65">
        <v>2.1800000000000002</v>
      </c>
      <c r="H12" s="65">
        <v>3.77</v>
      </c>
      <c r="I12" s="65">
        <v>1.34</v>
      </c>
      <c r="J12" s="65">
        <v>5.72</v>
      </c>
      <c r="K12" s="65">
        <v>1.06</v>
      </c>
      <c r="L12" s="65">
        <v>9.6</v>
      </c>
      <c r="M12" s="65">
        <v>40.49</v>
      </c>
      <c r="P12" s="204"/>
      <c r="Q12" s="204"/>
      <c r="R12" s="204"/>
      <c r="S12" s="204"/>
      <c r="T12" s="204"/>
      <c r="U12" s="204"/>
      <c r="V12" s="204"/>
      <c r="W12" s="204"/>
      <c r="X12" s="204"/>
      <c r="Y12" s="204"/>
      <c r="Z12" s="204"/>
      <c r="AA12" s="204"/>
      <c r="AB12" s="204"/>
      <c r="AC12" s="204"/>
      <c r="AD12" s="204"/>
      <c r="AE12" s="204"/>
      <c r="AF12" s="204"/>
      <c r="AG12" s="204"/>
      <c r="AH12" s="204"/>
      <c r="AI12" s="204"/>
      <c r="AJ12" s="204"/>
      <c r="AK12" s="204"/>
      <c r="AL12" s="204"/>
      <c r="AM12" s="204"/>
    </row>
    <row r="13" spans="1:39" ht="14.5">
      <c r="A13" s="42">
        <v>2011</v>
      </c>
      <c r="B13" s="65">
        <v>1.54</v>
      </c>
      <c r="C13" s="65">
        <v>12.33</v>
      </c>
      <c r="D13" s="65">
        <v>0.37</v>
      </c>
      <c r="E13" s="65">
        <v>1.4</v>
      </c>
      <c r="F13" s="65">
        <v>1.06</v>
      </c>
      <c r="G13" s="65">
        <v>2.12</v>
      </c>
      <c r="H13" s="65">
        <v>3.7</v>
      </c>
      <c r="I13" s="65">
        <v>1.33</v>
      </c>
      <c r="J13" s="65">
        <v>5.63</v>
      </c>
      <c r="K13" s="65">
        <v>1.04</v>
      </c>
      <c r="L13" s="65">
        <v>9.5</v>
      </c>
      <c r="M13" s="65">
        <v>40.020000000000003</v>
      </c>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row>
    <row r="14" spans="1:39" ht="14.5">
      <c r="A14" s="42">
        <v>2012</v>
      </c>
      <c r="B14" s="65">
        <v>1.53</v>
      </c>
      <c r="C14" s="65">
        <v>12.5</v>
      </c>
      <c r="D14" s="65">
        <v>0.36</v>
      </c>
      <c r="E14" s="65">
        <v>1.39</v>
      </c>
      <c r="F14" s="65">
        <v>1.06</v>
      </c>
      <c r="G14" s="65">
        <v>2.1</v>
      </c>
      <c r="H14" s="65">
        <v>3.66</v>
      </c>
      <c r="I14" s="65">
        <v>1.31</v>
      </c>
      <c r="J14" s="65">
        <v>5.76</v>
      </c>
      <c r="K14" s="65">
        <v>1.04</v>
      </c>
      <c r="L14" s="65">
        <v>9.3800000000000008</v>
      </c>
      <c r="M14" s="65">
        <v>40.090000000000003</v>
      </c>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row>
    <row r="15" spans="1:39" ht="14.5">
      <c r="A15" s="42">
        <v>2013</v>
      </c>
      <c r="B15" s="65">
        <v>1.55</v>
      </c>
      <c r="C15" s="65">
        <v>12.69</v>
      </c>
      <c r="D15" s="65">
        <v>0.37</v>
      </c>
      <c r="E15" s="65">
        <v>1.39</v>
      </c>
      <c r="F15" s="65">
        <v>1.07</v>
      </c>
      <c r="G15" s="65">
        <v>2.1</v>
      </c>
      <c r="H15" s="65">
        <v>3.69</v>
      </c>
      <c r="I15" s="65">
        <v>1.33</v>
      </c>
      <c r="J15" s="65">
        <v>5.97</v>
      </c>
      <c r="K15" s="65">
        <v>1.04</v>
      </c>
      <c r="L15" s="65">
        <v>9.51</v>
      </c>
      <c r="M15" s="65">
        <v>40.71</v>
      </c>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row>
    <row r="16" spans="1:39" ht="14.5">
      <c r="A16" s="42">
        <v>2014</v>
      </c>
      <c r="B16" s="65">
        <v>1.58</v>
      </c>
      <c r="C16" s="65">
        <v>13.09</v>
      </c>
      <c r="D16" s="65">
        <v>0.37</v>
      </c>
      <c r="E16" s="65">
        <v>1.41</v>
      </c>
      <c r="F16" s="65">
        <v>1.08</v>
      </c>
      <c r="G16" s="65">
        <v>2.15</v>
      </c>
      <c r="H16" s="65">
        <v>3.71</v>
      </c>
      <c r="I16" s="65">
        <v>1.36</v>
      </c>
      <c r="J16" s="65">
        <v>6.18</v>
      </c>
      <c r="K16" s="65">
        <v>1.06</v>
      </c>
      <c r="L16" s="65">
        <v>9.75</v>
      </c>
      <c r="M16" s="65">
        <v>41.73</v>
      </c>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row>
    <row r="17" spans="1:39" ht="14.5">
      <c r="A17" s="42">
        <v>2015</v>
      </c>
      <c r="B17" s="65">
        <v>1.63</v>
      </c>
      <c r="C17" s="65">
        <v>13.72</v>
      </c>
      <c r="D17" s="65">
        <v>0.37</v>
      </c>
      <c r="E17" s="65">
        <v>1.45</v>
      </c>
      <c r="F17" s="65">
        <v>1.0900000000000001</v>
      </c>
      <c r="G17" s="65">
        <v>2.19</v>
      </c>
      <c r="H17" s="65">
        <v>3.78</v>
      </c>
      <c r="I17" s="65">
        <v>1.42</v>
      </c>
      <c r="J17" s="65">
        <v>6.37</v>
      </c>
      <c r="K17" s="65">
        <v>1.0900000000000001</v>
      </c>
      <c r="L17" s="65">
        <v>10.14</v>
      </c>
      <c r="M17" s="65">
        <v>43.24</v>
      </c>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row>
    <row r="18" spans="1:39" ht="14.5">
      <c r="A18" s="42">
        <v>2016</v>
      </c>
      <c r="B18" s="65">
        <v>1.71</v>
      </c>
      <c r="C18" s="65">
        <v>14.48</v>
      </c>
      <c r="D18" s="65">
        <v>0.38</v>
      </c>
      <c r="E18" s="65">
        <v>1.52</v>
      </c>
      <c r="F18" s="65">
        <v>1.1100000000000001</v>
      </c>
      <c r="G18" s="65">
        <v>2.25</v>
      </c>
      <c r="H18" s="65">
        <v>3.91</v>
      </c>
      <c r="I18" s="65">
        <v>1.5</v>
      </c>
      <c r="J18" s="65">
        <v>6.61</v>
      </c>
      <c r="K18" s="65">
        <v>1.1200000000000001</v>
      </c>
      <c r="L18" s="65">
        <v>10.66</v>
      </c>
      <c r="M18" s="65">
        <v>45.23</v>
      </c>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row>
    <row r="19" spans="1:39" ht="14.5">
      <c r="A19" s="42">
        <v>2017</v>
      </c>
      <c r="B19" s="65">
        <v>1.77</v>
      </c>
      <c r="C19" s="65">
        <v>15.05</v>
      </c>
      <c r="D19" s="65">
        <v>0.4</v>
      </c>
      <c r="E19" s="65">
        <v>1.58</v>
      </c>
      <c r="F19" s="65">
        <v>1.1299999999999999</v>
      </c>
      <c r="G19" s="65">
        <v>2.31</v>
      </c>
      <c r="H19" s="65">
        <v>4.03</v>
      </c>
      <c r="I19" s="65">
        <v>1.58</v>
      </c>
      <c r="J19" s="65">
        <v>6.75</v>
      </c>
      <c r="K19" s="65">
        <v>1.1399999999999999</v>
      </c>
      <c r="L19" s="65">
        <v>11.06</v>
      </c>
      <c r="M19" s="65">
        <v>46.79</v>
      </c>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row>
    <row r="20" spans="1:39">
      <c r="A20" s="42">
        <v>2018</v>
      </c>
      <c r="B20" s="65">
        <v>1.83</v>
      </c>
      <c r="C20" s="65">
        <v>15.37</v>
      </c>
      <c r="D20" s="65">
        <v>0.4</v>
      </c>
      <c r="E20" s="65">
        <v>1.62</v>
      </c>
      <c r="F20" s="65">
        <v>1.1499999999999999</v>
      </c>
      <c r="G20" s="65">
        <v>2.38</v>
      </c>
      <c r="H20" s="65">
        <v>4.12</v>
      </c>
      <c r="I20" s="65">
        <v>1.62</v>
      </c>
      <c r="J20" s="65">
        <v>6.91</v>
      </c>
      <c r="K20" s="65">
        <v>1.17</v>
      </c>
      <c r="L20" s="65">
        <v>11.4</v>
      </c>
      <c r="M20" s="65">
        <v>47.97</v>
      </c>
    </row>
    <row r="21" spans="1:39" ht="14.5">
      <c r="A21" s="42">
        <v>2019</v>
      </c>
      <c r="B21" s="65">
        <v>1.82</v>
      </c>
      <c r="C21" s="65">
        <v>15.04</v>
      </c>
      <c r="D21" s="65">
        <v>0.41</v>
      </c>
      <c r="E21" s="65">
        <v>1.63</v>
      </c>
      <c r="F21" s="65">
        <v>1.1599999999999999</v>
      </c>
      <c r="G21" s="65">
        <v>2.38</v>
      </c>
      <c r="H21" s="65">
        <v>4.0999999999999996</v>
      </c>
      <c r="I21" s="65">
        <v>1.62</v>
      </c>
      <c r="J21" s="65">
        <v>6.83</v>
      </c>
      <c r="K21" s="65">
        <v>1.1599999999999999</v>
      </c>
      <c r="L21" s="65">
        <v>11.41</v>
      </c>
      <c r="M21" s="65">
        <v>47.56</v>
      </c>
      <c r="P21" s="204"/>
      <c r="Q21" s="204"/>
      <c r="R21" s="204"/>
      <c r="S21" s="204"/>
      <c r="T21" s="204"/>
      <c r="U21" s="204"/>
      <c r="V21" s="204"/>
      <c r="W21" s="204"/>
      <c r="X21" s="204"/>
      <c r="Y21" s="204"/>
      <c r="Z21" s="204"/>
      <c r="AA21" s="204"/>
      <c r="AB21" s="204"/>
    </row>
    <row r="22" spans="1:39" ht="14.5">
      <c r="A22" s="42">
        <v>2020</v>
      </c>
      <c r="B22" s="65">
        <v>1.79</v>
      </c>
      <c r="C22" s="65">
        <v>14.04</v>
      </c>
      <c r="D22" s="65">
        <v>0.41</v>
      </c>
      <c r="E22" s="65">
        <v>1.62</v>
      </c>
      <c r="F22" s="65">
        <v>1.1399999999999999</v>
      </c>
      <c r="G22" s="65">
        <v>2.37</v>
      </c>
      <c r="H22" s="65">
        <v>4.0199999999999996</v>
      </c>
      <c r="I22" s="65">
        <v>1.58</v>
      </c>
      <c r="J22" s="65">
        <v>6.55</v>
      </c>
      <c r="K22" s="65">
        <v>1.1399999999999999</v>
      </c>
      <c r="L22" s="65">
        <v>11.13</v>
      </c>
      <c r="M22" s="65">
        <v>45.78</v>
      </c>
      <c r="P22" s="204"/>
      <c r="Q22" s="204"/>
      <c r="R22" s="204"/>
      <c r="S22" s="204"/>
      <c r="T22" s="204"/>
      <c r="U22" s="204"/>
      <c r="V22" s="204"/>
      <c r="W22" s="204"/>
      <c r="X22" s="204"/>
      <c r="Y22" s="204"/>
      <c r="Z22" s="204"/>
      <c r="AA22" s="204"/>
      <c r="AB22" s="204"/>
    </row>
    <row r="23" spans="1:39" ht="14.5">
      <c r="A23" s="42">
        <v>2021</v>
      </c>
      <c r="B23" s="65">
        <v>1.84</v>
      </c>
      <c r="C23" s="65">
        <v>13.71</v>
      </c>
      <c r="D23" s="65">
        <v>0.43</v>
      </c>
      <c r="E23" s="65">
        <v>1.68</v>
      </c>
      <c r="F23" s="65">
        <v>1.17</v>
      </c>
      <c r="G23" s="65">
        <v>2.4900000000000002</v>
      </c>
      <c r="H23" s="65">
        <v>4.12</v>
      </c>
      <c r="I23" s="65">
        <v>1.6</v>
      </c>
      <c r="J23" s="65">
        <v>6.71</v>
      </c>
      <c r="K23" s="65">
        <v>1.17</v>
      </c>
      <c r="L23" s="65">
        <v>11.4</v>
      </c>
      <c r="M23" s="65">
        <v>46.31</v>
      </c>
      <c r="P23" s="204"/>
      <c r="Q23" s="204"/>
      <c r="R23" s="204"/>
      <c r="S23" s="204"/>
      <c r="T23" s="204"/>
      <c r="U23" s="204"/>
      <c r="V23" s="204"/>
      <c r="W23" s="204"/>
      <c r="X23" s="204"/>
      <c r="Y23" s="204"/>
      <c r="Z23" s="204"/>
      <c r="AA23" s="204"/>
      <c r="AB23" s="204"/>
    </row>
    <row r="24" spans="1:39" ht="14.5">
      <c r="A24" s="42">
        <v>2022</v>
      </c>
      <c r="B24" s="65">
        <v>1.86</v>
      </c>
      <c r="C24" s="65">
        <v>14.31</v>
      </c>
      <c r="D24" s="65">
        <v>0.42</v>
      </c>
      <c r="E24" s="65">
        <v>1.69</v>
      </c>
      <c r="F24" s="65">
        <v>1.19</v>
      </c>
      <c r="G24" s="65">
        <v>2.4900000000000002</v>
      </c>
      <c r="H24" s="65">
        <v>4.1399999999999997</v>
      </c>
      <c r="I24" s="65">
        <v>1.6</v>
      </c>
      <c r="J24" s="65">
        <v>6.86</v>
      </c>
      <c r="K24" s="65">
        <v>1.17</v>
      </c>
      <c r="L24" s="65">
        <v>11.58</v>
      </c>
      <c r="M24" s="65">
        <v>47.3</v>
      </c>
      <c r="P24" s="204"/>
      <c r="Q24" s="204"/>
      <c r="R24" s="204"/>
      <c r="S24" s="204"/>
      <c r="T24" s="204"/>
      <c r="U24" s="204"/>
      <c r="V24" s="204"/>
      <c r="W24" s="204"/>
      <c r="X24" s="204"/>
      <c r="Y24" s="204"/>
      <c r="Z24" s="204"/>
      <c r="AA24" s="204"/>
      <c r="AB24" s="204"/>
    </row>
    <row r="25" spans="1:39" ht="14.5">
      <c r="A25" s="42">
        <v>2023</v>
      </c>
      <c r="B25" s="65">
        <v>1.91</v>
      </c>
      <c r="C25" s="65">
        <v>15.28</v>
      </c>
      <c r="D25" s="65">
        <v>0.43</v>
      </c>
      <c r="E25" s="65">
        <v>1.71</v>
      </c>
      <c r="F25" s="65">
        <v>1.22</v>
      </c>
      <c r="G25" s="65">
        <v>2.5499999999999998</v>
      </c>
      <c r="H25" s="65">
        <v>4.2699999999999996</v>
      </c>
      <c r="I25" s="65">
        <v>1.66</v>
      </c>
      <c r="J25" s="65">
        <v>7.25</v>
      </c>
      <c r="K25" s="65">
        <v>1.2</v>
      </c>
      <c r="L25" s="65">
        <v>12.03</v>
      </c>
      <c r="M25" s="65">
        <v>49.51</v>
      </c>
      <c r="P25" s="204"/>
      <c r="Q25" s="204"/>
      <c r="R25" s="204"/>
      <c r="S25" s="204"/>
      <c r="T25" s="204"/>
      <c r="U25" s="204"/>
      <c r="V25" s="204"/>
      <c r="W25" s="204"/>
      <c r="X25" s="204"/>
      <c r="Y25" s="204"/>
      <c r="Z25" s="204"/>
      <c r="AA25" s="204"/>
      <c r="AB25" s="204"/>
    </row>
    <row r="26" spans="1:39" ht="14.5">
      <c r="P26" s="204"/>
      <c r="Q26" s="204"/>
      <c r="R26" s="204"/>
      <c r="S26" s="204"/>
      <c r="T26" s="204"/>
      <c r="U26" s="204"/>
      <c r="V26" s="204"/>
      <c r="W26" s="204"/>
      <c r="X26" s="204"/>
      <c r="Y26" s="204"/>
      <c r="Z26" s="204"/>
      <c r="AA26" s="204"/>
      <c r="AB26" s="204"/>
    </row>
    <row r="27" spans="1:39" ht="14.5">
      <c r="P27" s="204"/>
      <c r="Q27" s="204"/>
      <c r="R27" s="204"/>
      <c r="S27" s="204"/>
      <c r="T27" s="204"/>
      <c r="U27" s="204"/>
      <c r="V27" s="204"/>
      <c r="W27" s="204"/>
      <c r="X27" s="204"/>
      <c r="Y27" s="204"/>
      <c r="Z27" s="204"/>
      <c r="AA27" s="204"/>
      <c r="AB27" s="204"/>
    </row>
    <row r="28" spans="1:39" ht="14.5">
      <c r="P28" s="204"/>
      <c r="Q28" s="204"/>
      <c r="R28" s="204"/>
      <c r="S28" s="204"/>
      <c r="T28" s="204"/>
      <c r="U28" s="204"/>
      <c r="V28" s="204"/>
      <c r="W28" s="204"/>
      <c r="X28" s="204"/>
      <c r="Y28" s="204"/>
      <c r="Z28" s="204"/>
      <c r="AA28" s="204"/>
      <c r="AB28" s="204"/>
    </row>
    <row r="29" spans="1:39" ht="14.5">
      <c r="P29" s="204"/>
      <c r="Q29" s="204"/>
      <c r="R29" s="204"/>
      <c r="S29" s="204"/>
      <c r="T29" s="204"/>
      <c r="U29" s="204"/>
      <c r="V29" s="204"/>
      <c r="W29" s="204"/>
      <c r="X29" s="204"/>
      <c r="Y29" s="204"/>
      <c r="Z29" s="204"/>
      <c r="AA29" s="204"/>
      <c r="AB29" s="204"/>
    </row>
    <row r="30" spans="1:39" ht="14.5">
      <c r="P30" s="204"/>
      <c r="Q30" s="204"/>
      <c r="R30" s="204"/>
      <c r="S30" s="204"/>
      <c r="T30" s="204"/>
      <c r="U30" s="204"/>
      <c r="V30" s="204"/>
      <c r="W30" s="204"/>
      <c r="X30" s="204"/>
      <c r="Y30" s="204"/>
      <c r="Z30" s="204"/>
      <c r="AA30" s="204"/>
      <c r="AB30" s="204"/>
    </row>
    <row r="31" spans="1:39" ht="14.5">
      <c r="P31" s="204"/>
      <c r="Q31" s="204"/>
      <c r="R31" s="204"/>
      <c r="S31" s="204"/>
      <c r="T31" s="204"/>
      <c r="U31" s="204"/>
      <c r="V31" s="204"/>
      <c r="W31" s="204"/>
      <c r="X31" s="204"/>
      <c r="Y31" s="204"/>
      <c r="Z31" s="204"/>
      <c r="AA31" s="204"/>
      <c r="AB31" s="204"/>
    </row>
    <row r="32" spans="1:39" ht="14.5">
      <c r="P32" s="204"/>
      <c r="Q32" s="204"/>
      <c r="R32" s="204"/>
      <c r="S32" s="204"/>
      <c r="T32" s="204"/>
      <c r="U32" s="204"/>
      <c r="V32" s="204"/>
      <c r="W32" s="204"/>
      <c r="X32" s="204"/>
      <c r="Y32" s="204"/>
      <c r="Z32" s="204"/>
      <c r="AA32" s="204"/>
      <c r="AB32" s="204"/>
    </row>
    <row r="33" spans="16:28" ht="14.5">
      <c r="P33" s="204"/>
      <c r="Q33" s="204"/>
      <c r="R33" s="204"/>
      <c r="S33" s="204"/>
      <c r="T33" s="204"/>
      <c r="U33" s="204"/>
      <c r="V33" s="204"/>
      <c r="W33" s="204"/>
      <c r="X33" s="204"/>
      <c r="Y33" s="204"/>
      <c r="Z33" s="204"/>
      <c r="AA33" s="204"/>
      <c r="AB33" s="204"/>
    </row>
    <row r="34" spans="16:28" ht="14.5">
      <c r="P34" s="204"/>
      <c r="Q34" s="204"/>
      <c r="R34" s="204"/>
      <c r="S34" s="204"/>
      <c r="T34" s="204"/>
      <c r="U34" s="204"/>
      <c r="V34" s="204"/>
      <c r="W34" s="204"/>
      <c r="X34" s="204"/>
      <c r="Y34" s="204"/>
      <c r="Z34" s="204"/>
      <c r="AA34" s="204"/>
      <c r="AB34" s="204"/>
    </row>
    <row r="35" spans="16:28" ht="14.5">
      <c r="P35" s="204"/>
      <c r="Q35" s="204"/>
      <c r="R35" s="204"/>
      <c r="S35" s="204"/>
      <c r="T35" s="204"/>
      <c r="U35" s="204"/>
      <c r="V35" s="204"/>
      <c r="W35" s="204"/>
      <c r="X35" s="204"/>
      <c r="Y35" s="204"/>
      <c r="Z35" s="204"/>
      <c r="AA35" s="204"/>
      <c r="AB35" s="204"/>
    </row>
    <row r="36" spans="16:28" ht="14.5">
      <c r="P36" s="204"/>
      <c r="Q36" s="204"/>
      <c r="R36" s="204"/>
      <c r="S36" s="204"/>
      <c r="T36" s="204"/>
      <c r="U36" s="204"/>
      <c r="V36" s="204"/>
      <c r="W36" s="204"/>
      <c r="X36" s="204"/>
      <c r="Y36" s="204"/>
      <c r="Z36" s="204"/>
      <c r="AA36" s="204"/>
      <c r="AB36" s="204"/>
    </row>
    <row r="37" spans="16:28" ht="14.5">
      <c r="P37" s="204"/>
      <c r="Q37" s="204"/>
      <c r="R37" s="204"/>
      <c r="S37" s="204"/>
      <c r="T37" s="204"/>
      <c r="U37" s="204"/>
      <c r="V37" s="204"/>
      <c r="W37" s="204"/>
      <c r="X37" s="204"/>
      <c r="Y37" s="204"/>
      <c r="Z37" s="204"/>
      <c r="AA37" s="204"/>
      <c r="AB37" s="204"/>
    </row>
    <row r="38" spans="16:28" ht="14.5">
      <c r="P38" s="204"/>
      <c r="Q38" s="204"/>
      <c r="R38" s="204"/>
      <c r="S38" s="204"/>
      <c r="T38" s="204"/>
      <c r="U38" s="204"/>
      <c r="V38" s="204"/>
      <c r="W38" s="204"/>
      <c r="X38" s="204"/>
      <c r="Y38" s="204"/>
      <c r="Z38" s="204"/>
      <c r="AA38" s="204"/>
      <c r="AB38" s="204"/>
    </row>
    <row r="39" spans="16:28" ht="14.5">
      <c r="P39" s="204"/>
      <c r="Q39" s="204"/>
      <c r="R39" s="204"/>
      <c r="S39" s="204"/>
      <c r="T39" s="204"/>
      <c r="U39" s="204"/>
      <c r="V39" s="204"/>
      <c r="W39" s="204"/>
      <c r="X39" s="204"/>
      <c r="Y39" s="204"/>
      <c r="Z39" s="204"/>
      <c r="AA39" s="204"/>
      <c r="AB39" s="204"/>
    </row>
    <row r="40" spans="16:28" ht="14.5">
      <c r="P40" s="204"/>
      <c r="Q40" s="204"/>
      <c r="R40" s="204"/>
      <c r="S40" s="204"/>
      <c r="T40" s="204"/>
      <c r="U40" s="204"/>
      <c r="V40" s="204"/>
      <c r="W40" s="204"/>
      <c r="X40" s="204"/>
      <c r="Y40" s="204"/>
      <c r="Z40" s="204"/>
      <c r="AA40" s="204"/>
      <c r="AB40" s="204"/>
    </row>
    <row r="41" spans="16:28" ht="14.5">
      <c r="P41" s="204"/>
      <c r="Q41" s="204"/>
      <c r="R41" s="204"/>
      <c r="S41" s="204"/>
      <c r="T41" s="204"/>
      <c r="U41" s="204"/>
      <c r="V41" s="204"/>
      <c r="W41" s="204"/>
      <c r="X41" s="204"/>
      <c r="Y41" s="204"/>
      <c r="Z41" s="204"/>
      <c r="AA41" s="204"/>
      <c r="AB41" s="204"/>
    </row>
    <row r="42" spans="16:28" ht="14.5">
      <c r="P42" s="204"/>
      <c r="Q42" s="204"/>
      <c r="R42" s="204"/>
      <c r="S42" s="204"/>
      <c r="T42" s="204"/>
      <c r="U42" s="204"/>
      <c r="V42" s="204"/>
      <c r="W42" s="204"/>
      <c r="X42" s="204"/>
      <c r="Y42" s="204"/>
      <c r="Z42" s="204"/>
      <c r="AA42" s="204"/>
      <c r="AB42" s="204"/>
    </row>
    <row r="43" spans="16:28" ht="14.5">
      <c r="P43" s="204"/>
      <c r="Q43" s="204"/>
      <c r="R43" s="204"/>
      <c r="S43" s="204"/>
      <c r="T43" s="204"/>
      <c r="U43" s="204"/>
      <c r="V43" s="204"/>
      <c r="W43" s="204"/>
      <c r="X43" s="204"/>
      <c r="Y43" s="204"/>
      <c r="Z43" s="204"/>
      <c r="AA43" s="204"/>
      <c r="AB43" s="204"/>
    </row>
    <row r="44" spans="16:28" ht="14.5">
      <c r="P44" s="204"/>
      <c r="Q44" s="204"/>
      <c r="R44" s="204"/>
      <c r="S44" s="204"/>
      <c r="T44" s="204"/>
      <c r="U44" s="204"/>
      <c r="V44" s="204"/>
      <c r="W44" s="204"/>
      <c r="X44" s="204"/>
      <c r="Y44" s="204"/>
      <c r="Z44" s="204"/>
      <c r="AA44" s="204"/>
      <c r="AB44" s="204"/>
    </row>
  </sheetData>
  <mergeCells count="1">
    <mergeCell ref="L1:M1"/>
  </mergeCells>
  <hyperlinks>
    <hyperlink ref="L1:M1" location="Contents!A1" display="Back to Contents"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AK98"/>
  <sheetViews>
    <sheetView workbookViewId="0"/>
  </sheetViews>
  <sheetFormatPr defaultColWidth="8.81640625" defaultRowHeight="12.5"/>
  <cols>
    <col min="1" max="1" width="12.7265625" style="104" customWidth="1"/>
    <col min="10" max="10" width="8.81640625" style="1" customWidth="1"/>
  </cols>
  <sheetData>
    <row r="1" spans="1:19" ht="21.75" customHeight="1">
      <c r="B1" s="103" t="s">
        <v>154</v>
      </c>
      <c r="C1" s="18"/>
      <c r="D1" s="18"/>
      <c r="E1" s="18"/>
      <c r="F1" s="18"/>
      <c r="G1" s="18"/>
      <c r="H1" s="17"/>
      <c r="I1" s="18"/>
      <c r="J1" s="19"/>
      <c r="K1" s="13"/>
      <c r="L1" s="207" t="s">
        <v>79</v>
      </c>
      <c r="M1" s="207"/>
      <c r="N1" s="18"/>
      <c r="O1" s="18"/>
      <c r="P1" s="18"/>
      <c r="Q1" s="18"/>
      <c r="R1" s="18"/>
    </row>
    <row r="3" spans="1:19">
      <c r="A3" s="75" t="s">
        <v>155</v>
      </c>
      <c r="B3" s="42"/>
      <c r="C3" s="42"/>
      <c r="D3" s="42"/>
      <c r="E3" s="42"/>
      <c r="F3" s="42"/>
      <c r="G3" s="42"/>
      <c r="H3" s="42"/>
      <c r="I3" s="42"/>
      <c r="J3" s="49"/>
      <c r="K3" s="42"/>
      <c r="L3" s="42"/>
      <c r="M3" s="42"/>
      <c r="N3" s="42"/>
      <c r="O3" s="42"/>
      <c r="P3" s="42"/>
    </row>
    <row r="4" spans="1:19">
      <c r="A4" s="49"/>
      <c r="B4" s="49" t="s">
        <v>156</v>
      </c>
      <c r="C4" s="49" t="s">
        <v>142</v>
      </c>
      <c r="D4" s="49" t="s">
        <v>143</v>
      </c>
      <c r="E4" s="49" t="s">
        <v>157</v>
      </c>
      <c r="F4" s="49" t="s">
        <v>158</v>
      </c>
      <c r="G4" s="49" t="s">
        <v>144</v>
      </c>
      <c r="H4" s="49" t="s">
        <v>145</v>
      </c>
      <c r="I4" s="49" t="s">
        <v>146</v>
      </c>
      <c r="J4" s="49" t="s">
        <v>159</v>
      </c>
      <c r="K4" s="49" t="s">
        <v>148</v>
      </c>
      <c r="L4" s="49" t="s">
        <v>149</v>
      </c>
      <c r="M4" s="49" t="s">
        <v>150</v>
      </c>
      <c r="N4" s="49" t="s">
        <v>160</v>
      </c>
      <c r="O4" s="49" t="s">
        <v>161</v>
      </c>
      <c r="P4" s="49" t="s">
        <v>151</v>
      </c>
      <c r="Q4" s="49" t="s">
        <v>162</v>
      </c>
      <c r="R4" s="49" t="s">
        <v>87</v>
      </c>
      <c r="S4" s="49"/>
    </row>
    <row r="5" spans="1:19">
      <c r="A5" s="77">
        <v>2001</v>
      </c>
      <c r="B5" s="42">
        <v>28670</v>
      </c>
      <c r="C5" s="42">
        <v>94961</v>
      </c>
      <c r="D5" s="42">
        <v>762231</v>
      </c>
      <c r="E5" s="42">
        <v>233070</v>
      </c>
      <c r="F5" s="42">
        <v>182171</v>
      </c>
      <c r="G5" s="42">
        <v>25959</v>
      </c>
      <c r="H5" s="42">
        <v>95771</v>
      </c>
      <c r="I5" s="42">
        <v>67303</v>
      </c>
      <c r="J5" s="42">
        <v>148004</v>
      </c>
      <c r="K5" s="42">
        <v>256603</v>
      </c>
      <c r="L5" s="42">
        <v>92894</v>
      </c>
      <c r="M5" s="42">
        <v>374836</v>
      </c>
      <c r="N5" s="42">
        <v>19118</v>
      </c>
      <c r="O5" s="42">
        <v>112961</v>
      </c>
      <c r="P5" s="42">
        <v>68935</v>
      </c>
      <c r="Q5" s="42">
        <v>164</v>
      </c>
      <c r="R5" s="42">
        <v>2563651</v>
      </c>
    </row>
    <row r="6" spans="1:19">
      <c r="A6" s="77">
        <v>2002</v>
      </c>
      <c r="B6" s="42">
        <v>23384</v>
      </c>
      <c r="C6" s="42">
        <v>91718</v>
      </c>
      <c r="D6" s="42">
        <v>792176</v>
      </c>
      <c r="E6" s="42">
        <v>246817</v>
      </c>
      <c r="F6" s="42">
        <v>188840</v>
      </c>
      <c r="G6" s="42">
        <v>26505</v>
      </c>
      <c r="H6" s="42">
        <v>98392</v>
      </c>
      <c r="I6" s="42">
        <v>69737</v>
      </c>
      <c r="J6" s="42">
        <v>151056</v>
      </c>
      <c r="K6" s="42">
        <v>262958</v>
      </c>
      <c r="L6" s="42">
        <v>97130</v>
      </c>
      <c r="M6" s="42">
        <v>390377</v>
      </c>
      <c r="N6" s="42">
        <v>19932</v>
      </c>
      <c r="O6" s="42">
        <v>117532</v>
      </c>
      <c r="P6" s="42">
        <v>71291</v>
      </c>
      <c r="Q6" s="42">
        <v>167</v>
      </c>
      <c r="R6" s="42">
        <v>2648012</v>
      </c>
    </row>
    <row r="7" spans="1:19">
      <c r="A7" s="77">
        <v>2003</v>
      </c>
      <c r="B7" s="42">
        <v>20384</v>
      </c>
      <c r="C7" s="42">
        <v>94422</v>
      </c>
      <c r="D7" s="42">
        <v>838200</v>
      </c>
      <c r="E7" s="42">
        <v>256257</v>
      </c>
      <c r="F7" s="42">
        <v>196112</v>
      </c>
      <c r="G7" s="42">
        <v>27104</v>
      </c>
      <c r="H7" s="42">
        <v>101922</v>
      </c>
      <c r="I7" s="42">
        <v>71566</v>
      </c>
      <c r="J7" s="42">
        <v>154361</v>
      </c>
      <c r="K7" s="42">
        <v>270763</v>
      </c>
      <c r="L7" s="42">
        <v>102241</v>
      </c>
      <c r="M7" s="42">
        <v>409412</v>
      </c>
      <c r="N7" s="42">
        <v>20644</v>
      </c>
      <c r="O7" s="42">
        <v>123126</v>
      </c>
      <c r="P7" s="42">
        <v>72803</v>
      </c>
      <c r="Q7" s="42">
        <v>163</v>
      </c>
      <c r="R7" s="42">
        <v>2759480</v>
      </c>
    </row>
    <row r="8" spans="1:19">
      <c r="A8" s="77">
        <v>2004</v>
      </c>
      <c r="B8" s="42">
        <v>18443</v>
      </c>
      <c r="C8" s="42">
        <v>99324</v>
      </c>
      <c r="D8" s="42">
        <v>870517</v>
      </c>
      <c r="E8" s="42">
        <v>267820</v>
      </c>
      <c r="F8" s="42">
        <v>204638</v>
      </c>
      <c r="G8" s="42">
        <v>28251</v>
      </c>
      <c r="H8" s="42">
        <v>105262</v>
      </c>
      <c r="I8" s="42">
        <v>73628</v>
      </c>
      <c r="J8" s="42">
        <v>158631</v>
      </c>
      <c r="K8" s="42">
        <v>279287</v>
      </c>
      <c r="L8" s="42">
        <v>109180</v>
      </c>
      <c r="M8" s="42">
        <v>426768</v>
      </c>
      <c r="N8" s="42">
        <v>21680</v>
      </c>
      <c r="O8" s="42">
        <v>128923</v>
      </c>
      <c r="P8" s="42">
        <v>74557</v>
      </c>
      <c r="Q8" s="42">
        <v>170</v>
      </c>
      <c r="R8" s="42">
        <v>2867079</v>
      </c>
    </row>
    <row r="9" spans="1:19">
      <c r="A9" s="77">
        <v>2005</v>
      </c>
      <c r="B9" s="42">
        <v>17088</v>
      </c>
      <c r="C9" s="42">
        <v>104820</v>
      </c>
      <c r="D9" s="42">
        <v>901126</v>
      </c>
      <c r="E9" s="42">
        <v>279388</v>
      </c>
      <c r="F9" s="42">
        <v>212791</v>
      </c>
      <c r="G9" s="42">
        <v>29230</v>
      </c>
      <c r="H9" s="42">
        <v>108935</v>
      </c>
      <c r="I9" s="42">
        <v>76815</v>
      </c>
      <c r="J9" s="42">
        <v>162552</v>
      </c>
      <c r="K9" s="42">
        <v>288481</v>
      </c>
      <c r="L9" s="42">
        <v>112497</v>
      </c>
      <c r="M9" s="42">
        <v>440975</v>
      </c>
      <c r="N9" s="42">
        <v>22458</v>
      </c>
      <c r="O9" s="42">
        <v>133876</v>
      </c>
      <c r="P9" s="42">
        <v>76007</v>
      </c>
      <c r="Q9" s="42">
        <v>163</v>
      </c>
      <c r="R9" s="42">
        <v>2967202</v>
      </c>
    </row>
    <row r="10" spans="1:19">
      <c r="A10" s="77">
        <v>2006</v>
      </c>
      <c r="B10" s="42">
        <v>16027</v>
      </c>
      <c r="C10" s="42">
        <v>110053</v>
      </c>
      <c r="D10" s="42">
        <v>914669</v>
      </c>
      <c r="E10" s="42">
        <v>286100</v>
      </c>
      <c r="F10" s="42">
        <v>218020</v>
      </c>
      <c r="G10" s="42">
        <v>30059</v>
      </c>
      <c r="H10" s="42">
        <v>111324</v>
      </c>
      <c r="I10" s="42">
        <v>78941</v>
      </c>
      <c r="J10" s="42">
        <v>166734</v>
      </c>
      <c r="K10" s="42">
        <v>293668</v>
      </c>
      <c r="L10" s="42">
        <v>115510</v>
      </c>
      <c r="M10" s="42">
        <v>451172</v>
      </c>
      <c r="N10" s="42">
        <v>23372</v>
      </c>
      <c r="O10" s="42">
        <v>136770</v>
      </c>
      <c r="P10" s="42">
        <v>77280</v>
      </c>
      <c r="Q10" s="42">
        <v>168</v>
      </c>
      <c r="R10" s="42">
        <v>3029867</v>
      </c>
    </row>
    <row r="11" spans="1:19">
      <c r="A11" s="77">
        <v>2007</v>
      </c>
      <c r="B11" s="42">
        <v>15139</v>
      </c>
      <c r="C11" s="42">
        <v>111447</v>
      </c>
      <c r="D11" s="42">
        <v>934960</v>
      </c>
      <c r="E11" s="42">
        <v>292261</v>
      </c>
      <c r="F11" s="42">
        <v>222828</v>
      </c>
      <c r="G11" s="42">
        <v>30512</v>
      </c>
      <c r="H11" s="42">
        <v>113247</v>
      </c>
      <c r="I11" s="42">
        <v>80879</v>
      </c>
      <c r="J11" s="42">
        <v>168805</v>
      </c>
      <c r="K11" s="42">
        <v>297016</v>
      </c>
      <c r="L11" s="42">
        <v>118983</v>
      </c>
      <c r="M11" s="42">
        <v>460204</v>
      </c>
      <c r="N11" s="42">
        <v>24007</v>
      </c>
      <c r="O11" s="42">
        <v>139863</v>
      </c>
      <c r="P11" s="42">
        <v>78571</v>
      </c>
      <c r="Q11" s="42">
        <v>164</v>
      </c>
      <c r="R11" s="42">
        <v>3088886</v>
      </c>
    </row>
    <row r="12" spans="1:19">
      <c r="A12" s="77">
        <v>2008</v>
      </c>
      <c r="B12" s="42">
        <v>14466</v>
      </c>
      <c r="C12" s="42">
        <v>112414</v>
      </c>
      <c r="D12" s="42">
        <v>937133</v>
      </c>
      <c r="E12" s="42">
        <v>295255</v>
      </c>
      <c r="F12" s="42">
        <v>223944</v>
      </c>
      <c r="G12" s="42">
        <v>30340</v>
      </c>
      <c r="H12" s="42">
        <v>113546</v>
      </c>
      <c r="I12" s="42">
        <v>82703</v>
      </c>
      <c r="J12" s="42">
        <v>169065</v>
      </c>
      <c r="K12" s="42">
        <v>297375</v>
      </c>
      <c r="L12" s="42">
        <v>120453</v>
      </c>
      <c r="M12" s="42">
        <v>464998</v>
      </c>
      <c r="N12" s="42">
        <v>24711</v>
      </c>
      <c r="O12" s="42">
        <v>142033</v>
      </c>
      <c r="P12" s="42">
        <v>80352</v>
      </c>
      <c r="Q12" s="42">
        <v>164</v>
      </c>
      <c r="R12" s="42">
        <v>3108952</v>
      </c>
    </row>
    <row r="13" spans="1:19">
      <c r="A13" s="77">
        <v>2009</v>
      </c>
      <c r="B13" s="42">
        <v>13744</v>
      </c>
      <c r="C13" s="42">
        <v>111917</v>
      </c>
      <c r="D13" s="42">
        <v>936640</v>
      </c>
      <c r="E13" s="42">
        <v>293748</v>
      </c>
      <c r="F13" s="42">
        <v>223389</v>
      </c>
      <c r="G13" s="42">
        <v>30012</v>
      </c>
      <c r="H13" s="42">
        <v>112816</v>
      </c>
      <c r="I13" s="42">
        <v>82894</v>
      </c>
      <c r="J13" s="42">
        <v>167583</v>
      </c>
      <c r="K13" s="42">
        <v>296429</v>
      </c>
      <c r="L13" s="42">
        <v>117957</v>
      </c>
      <c r="M13" s="42">
        <v>464957</v>
      </c>
      <c r="N13" s="42">
        <v>25384</v>
      </c>
      <c r="O13" s="42">
        <v>141505</v>
      </c>
      <c r="P13" s="42">
        <v>81117</v>
      </c>
      <c r="Q13" s="42">
        <v>169</v>
      </c>
      <c r="R13" s="42">
        <v>3100261</v>
      </c>
    </row>
    <row r="14" spans="1:19">
      <c r="A14" s="77">
        <v>2010</v>
      </c>
      <c r="B14" s="42">
        <v>13193</v>
      </c>
      <c r="C14" s="42">
        <v>111570</v>
      </c>
      <c r="D14" s="42">
        <v>951811</v>
      </c>
      <c r="E14" s="42">
        <v>295687</v>
      </c>
      <c r="F14" s="42">
        <v>223699</v>
      </c>
      <c r="G14" s="42">
        <v>30000</v>
      </c>
      <c r="H14" s="42">
        <v>112519</v>
      </c>
      <c r="I14" s="42">
        <v>83014</v>
      </c>
      <c r="J14" s="42">
        <v>166995</v>
      </c>
      <c r="K14" s="42">
        <v>298107</v>
      </c>
      <c r="L14" s="42">
        <v>118071</v>
      </c>
      <c r="M14" s="42">
        <v>468336</v>
      </c>
      <c r="N14" s="42">
        <v>25560</v>
      </c>
      <c r="O14" s="42">
        <v>142950</v>
      </c>
      <c r="P14" s="42">
        <v>81250</v>
      </c>
      <c r="Q14" s="42">
        <v>157</v>
      </c>
      <c r="R14" s="42">
        <v>3122919</v>
      </c>
    </row>
    <row r="15" spans="1:19">
      <c r="A15" s="77">
        <v>2011</v>
      </c>
      <c r="B15" s="42">
        <v>12820</v>
      </c>
      <c r="C15" s="42">
        <v>110505</v>
      </c>
      <c r="D15" s="42">
        <v>955307</v>
      </c>
      <c r="E15" s="42">
        <v>296349</v>
      </c>
      <c r="F15" s="42">
        <v>223071</v>
      </c>
      <c r="G15" s="42">
        <v>29679</v>
      </c>
      <c r="H15" s="42">
        <v>111379</v>
      </c>
      <c r="I15" s="42">
        <v>83109</v>
      </c>
      <c r="J15" s="42">
        <v>165102</v>
      </c>
      <c r="K15" s="42">
        <v>296574</v>
      </c>
      <c r="L15" s="42">
        <v>118441</v>
      </c>
      <c r="M15" s="42">
        <v>464953</v>
      </c>
      <c r="N15" s="42">
        <v>25737</v>
      </c>
      <c r="O15" s="42">
        <v>143713</v>
      </c>
      <c r="P15" s="42">
        <v>81275</v>
      </c>
      <c r="Q15" s="42">
        <v>149</v>
      </c>
      <c r="R15" s="42">
        <v>3118163</v>
      </c>
    </row>
    <row r="16" spans="1:19">
      <c r="A16" s="77">
        <v>2012</v>
      </c>
      <c r="B16" s="42">
        <v>12514</v>
      </c>
      <c r="C16" s="42">
        <v>111336</v>
      </c>
      <c r="D16" s="42">
        <v>980319</v>
      </c>
      <c r="E16" s="42">
        <v>296961</v>
      </c>
      <c r="F16" s="42">
        <v>225355</v>
      </c>
      <c r="G16" s="42">
        <v>29732</v>
      </c>
      <c r="H16" s="42">
        <v>112003</v>
      </c>
      <c r="I16" s="42">
        <v>84028</v>
      </c>
      <c r="J16" s="42">
        <v>166319</v>
      </c>
      <c r="K16" s="42">
        <v>299531</v>
      </c>
      <c r="L16" s="42">
        <v>119568</v>
      </c>
      <c r="M16" s="42">
        <v>475275</v>
      </c>
      <c r="N16" s="42">
        <v>26112</v>
      </c>
      <c r="O16" s="42">
        <v>145021</v>
      </c>
      <c r="P16" s="42">
        <v>82123</v>
      </c>
      <c r="Q16" s="42">
        <v>149</v>
      </c>
      <c r="R16" s="42">
        <v>3166346</v>
      </c>
    </row>
    <row r="17" spans="1:37">
      <c r="A17" s="77">
        <v>2013</v>
      </c>
      <c r="B17" s="42">
        <v>12280</v>
      </c>
      <c r="C17" s="42">
        <v>113904</v>
      </c>
      <c r="D17" s="42">
        <v>1008903</v>
      </c>
      <c r="E17" s="42">
        <v>306168</v>
      </c>
      <c r="F17" s="42">
        <v>229342</v>
      </c>
      <c r="G17" s="42">
        <v>29931</v>
      </c>
      <c r="H17" s="42">
        <v>113612</v>
      </c>
      <c r="I17" s="42">
        <v>85849</v>
      </c>
      <c r="J17" s="42">
        <v>168329</v>
      </c>
      <c r="K17" s="42">
        <v>304319</v>
      </c>
      <c r="L17" s="42">
        <v>122350</v>
      </c>
      <c r="M17" s="42">
        <v>491482</v>
      </c>
      <c r="N17" s="42">
        <v>26341</v>
      </c>
      <c r="O17" s="42">
        <v>148030</v>
      </c>
      <c r="P17" s="42">
        <v>83058</v>
      </c>
      <c r="Q17" s="42">
        <v>170</v>
      </c>
      <c r="R17" s="42">
        <v>3244068</v>
      </c>
    </row>
    <row r="18" spans="1:37">
      <c r="A18" s="77">
        <v>2014</v>
      </c>
      <c r="B18" s="42">
        <v>12061</v>
      </c>
      <c r="C18" s="42">
        <v>116899</v>
      </c>
      <c r="D18" s="42">
        <v>1062952</v>
      </c>
      <c r="E18" s="42">
        <v>315885</v>
      </c>
      <c r="F18" s="42">
        <v>235309</v>
      </c>
      <c r="G18" s="42">
        <v>30459</v>
      </c>
      <c r="H18" s="42">
        <v>115474</v>
      </c>
      <c r="I18" s="42">
        <v>87263</v>
      </c>
      <c r="J18" s="42">
        <v>172285</v>
      </c>
      <c r="K18" s="42">
        <v>310293</v>
      </c>
      <c r="L18" s="42">
        <v>126157</v>
      </c>
      <c r="M18" s="42">
        <v>511115</v>
      </c>
      <c r="N18" s="42">
        <v>26184</v>
      </c>
      <c r="O18" s="42">
        <v>152414</v>
      </c>
      <c r="P18" s="42">
        <v>84849</v>
      </c>
      <c r="Q18" s="42">
        <v>168</v>
      </c>
      <c r="R18" s="42">
        <v>3359767</v>
      </c>
    </row>
    <row r="19" spans="1:37">
      <c r="A19" s="77">
        <v>2015</v>
      </c>
      <c r="B19" s="42">
        <v>11805</v>
      </c>
      <c r="C19" s="42">
        <v>120907</v>
      </c>
      <c r="D19" s="42">
        <v>1115488</v>
      </c>
      <c r="E19" s="42">
        <v>328148</v>
      </c>
      <c r="F19" s="42">
        <v>244270</v>
      </c>
      <c r="G19" s="42">
        <v>31002</v>
      </c>
      <c r="H19" s="42">
        <v>118674</v>
      </c>
      <c r="I19" s="42">
        <v>88621</v>
      </c>
      <c r="J19" s="42">
        <v>176738</v>
      </c>
      <c r="K19" s="42">
        <v>316585</v>
      </c>
      <c r="L19" s="42">
        <v>131709</v>
      </c>
      <c r="M19" s="42">
        <v>528765</v>
      </c>
      <c r="N19" s="42">
        <v>26011</v>
      </c>
      <c r="O19" s="42">
        <v>157636</v>
      </c>
      <c r="P19" s="42">
        <v>86728</v>
      </c>
      <c r="Q19" s="42">
        <v>173</v>
      </c>
      <c r="R19" s="42">
        <v>3483260</v>
      </c>
    </row>
    <row r="20" spans="1:37" ht="14.5">
      <c r="A20" s="77">
        <v>2016</v>
      </c>
      <c r="B20" s="42">
        <v>11596</v>
      </c>
      <c r="C20" s="42">
        <v>126417</v>
      </c>
      <c r="D20" s="42">
        <v>1172541</v>
      </c>
      <c r="E20" s="42">
        <v>341927</v>
      </c>
      <c r="F20" s="42">
        <v>257301</v>
      </c>
      <c r="G20" s="42">
        <v>31543</v>
      </c>
      <c r="H20" s="42">
        <v>123738</v>
      </c>
      <c r="I20" s="42">
        <v>90513</v>
      </c>
      <c r="J20" s="42">
        <v>182290</v>
      </c>
      <c r="K20" s="42">
        <v>327863</v>
      </c>
      <c r="L20" s="42">
        <v>139242</v>
      </c>
      <c r="M20" s="42">
        <v>546251</v>
      </c>
      <c r="N20" s="42">
        <v>25898</v>
      </c>
      <c r="O20" s="42">
        <v>164921</v>
      </c>
      <c r="P20" s="42">
        <v>89323</v>
      </c>
      <c r="Q20" s="42">
        <v>176</v>
      </c>
      <c r="R20" s="42">
        <v>3631540</v>
      </c>
      <c r="U20" s="90"/>
      <c r="V20" s="90"/>
      <c r="W20" s="90"/>
      <c r="X20" s="90"/>
      <c r="Y20" s="90"/>
      <c r="Z20" s="90"/>
      <c r="AA20" s="90"/>
      <c r="AB20" s="90"/>
      <c r="AC20" s="90"/>
      <c r="AD20" s="90"/>
      <c r="AE20" s="90"/>
      <c r="AF20" s="90"/>
      <c r="AG20" s="90"/>
      <c r="AH20" s="90"/>
    </row>
    <row r="21" spans="1:37">
      <c r="A21" s="77">
        <v>2017</v>
      </c>
      <c r="B21" s="42">
        <v>11419</v>
      </c>
      <c r="C21" s="42">
        <v>132814</v>
      </c>
      <c r="D21" s="42">
        <v>1225273</v>
      </c>
      <c r="E21" s="42">
        <v>356779</v>
      </c>
      <c r="F21" s="42">
        <v>269277</v>
      </c>
      <c r="G21" s="42">
        <v>32622</v>
      </c>
      <c r="H21" s="42">
        <v>128886</v>
      </c>
      <c r="I21" s="42">
        <v>92725</v>
      </c>
      <c r="J21" s="42">
        <v>189147</v>
      </c>
      <c r="K21" s="42">
        <v>340104</v>
      </c>
      <c r="L21" s="42">
        <v>147671</v>
      </c>
      <c r="M21" s="42">
        <v>564789</v>
      </c>
      <c r="N21" s="42">
        <v>26348</v>
      </c>
      <c r="O21" s="42">
        <v>173935</v>
      </c>
      <c r="P21" s="42">
        <v>91766</v>
      </c>
      <c r="Q21" s="42">
        <v>178</v>
      </c>
      <c r="R21" s="42">
        <v>3783733</v>
      </c>
      <c r="U21" s="91"/>
      <c r="V21" s="91"/>
      <c r="W21" s="91"/>
      <c r="X21" s="91"/>
      <c r="Y21" s="91"/>
      <c r="Z21" s="91"/>
      <c r="AA21" s="91"/>
      <c r="AB21" s="91"/>
      <c r="AC21" s="91"/>
      <c r="AD21" s="91"/>
      <c r="AE21" s="91"/>
      <c r="AF21" s="91"/>
      <c r="AG21" s="91"/>
      <c r="AH21" s="91"/>
    </row>
    <row r="22" spans="1:37">
      <c r="A22" s="77">
        <v>2018</v>
      </c>
      <c r="B22" s="42">
        <v>11228</v>
      </c>
      <c r="C22" s="42">
        <v>138225</v>
      </c>
      <c r="D22" s="42">
        <v>1254838</v>
      </c>
      <c r="E22" s="42">
        <v>369491</v>
      </c>
      <c r="F22" s="42">
        <v>280256</v>
      </c>
      <c r="G22" s="42">
        <v>33527</v>
      </c>
      <c r="H22" s="42">
        <v>133246</v>
      </c>
      <c r="I22" s="42">
        <v>94536</v>
      </c>
      <c r="J22" s="42">
        <v>195241</v>
      </c>
      <c r="K22" s="42">
        <v>351445</v>
      </c>
      <c r="L22" s="42">
        <v>154100</v>
      </c>
      <c r="M22" s="42">
        <v>580644</v>
      </c>
      <c r="N22" s="42">
        <v>27096</v>
      </c>
      <c r="O22" s="42">
        <v>181506</v>
      </c>
      <c r="P22" s="42">
        <v>94455</v>
      </c>
      <c r="Q22" s="42">
        <v>184</v>
      </c>
      <c r="R22" s="42">
        <v>3900018</v>
      </c>
      <c r="U22" s="91"/>
      <c r="V22" s="91"/>
      <c r="W22" s="91"/>
      <c r="X22" s="91"/>
      <c r="Y22" s="91"/>
      <c r="Z22" s="91"/>
      <c r="AA22" s="91"/>
      <c r="AB22" s="91"/>
      <c r="AC22" s="91"/>
      <c r="AD22" s="91"/>
      <c r="AE22" s="91"/>
      <c r="AF22" s="91"/>
      <c r="AG22" s="91"/>
      <c r="AH22" s="91"/>
    </row>
    <row r="23" spans="1:37">
      <c r="A23" s="77">
        <v>2019</v>
      </c>
      <c r="B23" s="42">
        <v>11059</v>
      </c>
      <c r="C23" s="42">
        <v>142200</v>
      </c>
      <c r="D23" s="42">
        <v>1277475</v>
      </c>
      <c r="E23" s="42">
        <v>381277</v>
      </c>
      <c r="F23" s="42">
        <v>288399</v>
      </c>
      <c r="G23" s="42">
        <v>34642</v>
      </c>
      <c r="H23" s="42">
        <v>137570</v>
      </c>
      <c r="I23" s="42">
        <v>98187</v>
      </c>
      <c r="J23" s="42">
        <v>201516</v>
      </c>
      <c r="K23" s="42">
        <v>360743</v>
      </c>
      <c r="L23" s="42">
        <v>157669</v>
      </c>
      <c r="M23" s="42">
        <v>593072</v>
      </c>
      <c r="N23" s="42">
        <v>27823</v>
      </c>
      <c r="O23" s="42">
        <v>187942</v>
      </c>
      <c r="P23" s="42">
        <v>96813</v>
      </c>
      <c r="Q23" s="42">
        <v>208</v>
      </c>
      <c r="R23" s="42">
        <v>3996595</v>
      </c>
      <c r="U23" s="91"/>
      <c r="V23" s="91"/>
      <c r="W23" s="91"/>
      <c r="X23" s="91"/>
      <c r="Y23" s="91"/>
      <c r="Z23" s="91"/>
      <c r="AA23" s="91"/>
      <c r="AB23" s="91"/>
      <c r="AC23" s="91"/>
      <c r="AD23" s="91"/>
      <c r="AE23" s="91"/>
      <c r="AF23" s="91"/>
      <c r="AG23" s="91"/>
      <c r="AH23" s="91"/>
    </row>
    <row r="24" spans="1:37">
      <c r="A24" s="77">
        <v>2020</v>
      </c>
      <c r="B24" s="42">
        <v>10904</v>
      </c>
      <c r="C24" s="42">
        <v>146798</v>
      </c>
      <c r="D24" s="42">
        <v>1266043</v>
      </c>
      <c r="E24" s="42">
        <v>390488</v>
      </c>
      <c r="F24" s="42">
        <v>295652</v>
      </c>
      <c r="G24" s="42">
        <v>35803</v>
      </c>
      <c r="H24" s="42">
        <v>141211</v>
      </c>
      <c r="I24" s="42">
        <v>100395</v>
      </c>
      <c r="J24" s="42">
        <v>206839</v>
      </c>
      <c r="K24" s="42">
        <v>369185</v>
      </c>
      <c r="L24" s="42">
        <v>157987</v>
      </c>
      <c r="M24" s="42">
        <v>597775</v>
      </c>
      <c r="N24" s="42">
        <v>28585</v>
      </c>
      <c r="O24" s="42">
        <v>191331</v>
      </c>
      <c r="P24" s="42">
        <v>98596</v>
      </c>
      <c r="Q24" s="42">
        <v>200</v>
      </c>
      <c r="R24" s="42">
        <v>4037792</v>
      </c>
      <c r="U24" s="91"/>
      <c r="V24" s="91"/>
      <c r="W24" s="91"/>
      <c r="X24" s="91"/>
      <c r="Y24" s="91"/>
      <c r="Z24" s="91"/>
      <c r="AA24" s="91"/>
      <c r="AB24" s="91"/>
      <c r="AC24" s="91"/>
      <c r="AD24" s="91"/>
      <c r="AE24" s="91"/>
      <c r="AF24" s="91"/>
      <c r="AG24" s="91"/>
      <c r="AH24" s="91"/>
    </row>
    <row r="25" spans="1:37">
      <c r="A25" s="77">
        <v>2021</v>
      </c>
      <c r="B25" s="42">
        <v>10740</v>
      </c>
      <c r="C25" s="42">
        <v>153507</v>
      </c>
      <c r="D25" s="42">
        <v>1278548</v>
      </c>
      <c r="E25" s="42">
        <v>404295</v>
      </c>
      <c r="F25" s="42">
        <v>304918</v>
      </c>
      <c r="G25" s="42">
        <v>36957</v>
      </c>
      <c r="H25" s="42">
        <v>145213</v>
      </c>
      <c r="I25" s="42">
        <v>102876</v>
      </c>
      <c r="J25" s="42">
        <v>212822</v>
      </c>
      <c r="K25" s="42">
        <v>377537</v>
      </c>
      <c r="L25" s="42">
        <v>159294</v>
      </c>
      <c r="M25" s="42">
        <v>613358</v>
      </c>
      <c r="N25" s="42">
        <v>29210</v>
      </c>
      <c r="O25" s="42">
        <v>195994</v>
      </c>
      <c r="P25" s="42">
        <v>100338</v>
      </c>
      <c r="Q25" s="42">
        <v>194</v>
      </c>
      <c r="R25" s="42">
        <v>4125801</v>
      </c>
      <c r="U25" s="91"/>
      <c r="V25" s="91"/>
      <c r="W25" s="91"/>
      <c r="X25" s="91"/>
      <c r="Y25" s="91"/>
      <c r="Z25" s="91"/>
      <c r="AA25" s="91"/>
      <c r="AB25" s="91"/>
      <c r="AC25" s="91"/>
      <c r="AD25" s="91"/>
      <c r="AE25" s="91"/>
      <c r="AF25" s="91"/>
      <c r="AG25" s="91"/>
      <c r="AH25" s="91"/>
    </row>
    <row r="26" spans="1:37">
      <c r="A26" s="77">
        <v>2022</v>
      </c>
      <c r="B26" s="42">
        <v>10684</v>
      </c>
      <c r="C26" s="42">
        <v>156758</v>
      </c>
      <c r="D26" s="42">
        <v>1304669</v>
      </c>
      <c r="E26" s="42">
        <v>410325</v>
      </c>
      <c r="F26" s="42">
        <v>310558</v>
      </c>
      <c r="G26" s="42">
        <v>37546</v>
      </c>
      <c r="H26" s="42">
        <v>148210</v>
      </c>
      <c r="I26" s="42">
        <v>105540</v>
      </c>
      <c r="J26" s="42">
        <v>215775</v>
      </c>
      <c r="K26" s="42">
        <v>381476</v>
      </c>
      <c r="L26" s="42">
        <v>161309</v>
      </c>
      <c r="M26" s="42">
        <v>630843</v>
      </c>
      <c r="N26" s="42">
        <v>30060</v>
      </c>
      <c r="O26" s="42">
        <v>201518</v>
      </c>
      <c r="P26" s="42">
        <v>102161</v>
      </c>
      <c r="Q26" s="42">
        <v>197</v>
      </c>
      <c r="R26" s="42">
        <v>4207629</v>
      </c>
      <c r="U26" s="91"/>
      <c r="V26" s="91"/>
      <c r="W26" s="91"/>
      <c r="X26" s="91"/>
      <c r="Y26" s="91"/>
      <c r="Z26" s="91"/>
      <c r="AA26" s="91"/>
      <c r="AB26" s="91"/>
      <c r="AC26" s="91"/>
      <c r="AD26" s="91"/>
      <c r="AE26" s="91"/>
      <c r="AF26" s="91"/>
      <c r="AG26" s="91"/>
      <c r="AH26" s="91"/>
    </row>
    <row r="27" spans="1:37">
      <c r="A27" s="77">
        <v>2023</v>
      </c>
      <c r="B27" s="42">
        <v>10906</v>
      </c>
      <c r="C27" s="42">
        <v>157847</v>
      </c>
      <c r="D27" s="42">
        <v>1332384</v>
      </c>
      <c r="E27" s="42">
        <v>413105</v>
      </c>
      <c r="F27" s="42">
        <v>312306</v>
      </c>
      <c r="G27" s="42">
        <v>37664</v>
      </c>
      <c r="H27" s="42">
        <v>147518</v>
      </c>
      <c r="I27" s="42">
        <v>106737</v>
      </c>
      <c r="J27" s="42">
        <v>217175</v>
      </c>
      <c r="K27" s="42">
        <v>383041</v>
      </c>
      <c r="L27" s="42">
        <v>162547</v>
      </c>
      <c r="M27" s="42">
        <v>644328</v>
      </c>
      <c r="N27" s="42">
        <v>30734</v>
      </c>
      <c r="O27" s="42">
        <v>205970</v>
      </c>
      <c r="P27" s="42">
        <v>102514</v>
      </c>
      <c r="Q27" s="42">
        <v>204</v>
      </c>
      <c r="R27" s="42">
        <v>4264980</v>
      </c>
      <c r="U27" s="91"/>
      <c r="V27" s="91"/>
      <c r="W27" s="91"/>
      <c r="X27" s="91"/>
      <c r="Y27" s="91"/>
      <c r="Z27" s="91"/>
      <c r="AA27" s="91"/>
      <c r="AB27" s="91"/>
      <c r="AC27" s="91"/>
      <c r="AD27" s="91"/>
      <c r="AE27" s="91"/>
      <c r="AF27" s="91"/>
      <c r="AG27" s="91"/>
      <c r="AH27" s="91"/>
    </row>
    <row r="28" spans="1:37">
      <c r="A28" s="77" t="s">
        <v>163</v>
      </c>
      <c r="B28" s="49"/>
      <c r="C28" s="49"/>
      <c r="D28" s="49"/>
      <c r="E28" s="49"/>
      <c r="F28" s="49"/>
      <c r="G28" s="49"/>
      <c r="H28" s="49"/>
      <c r="I28" s="49"/>
      <c r="J28" s="49"/>
      <c r="K28" s="49"/>
      <c r="L28" s="49"/>
      <c r="M28" s="49"/>
      <c r="N28" s="49"/>
      <c r="O28" s="49"/>
      <c r="P28" s="49"/>
      <c r="Q28" s="1"/>
      <c r="R28" s="49"/>
      <c r="U28" s="91"/>
      <c r="V28" s="91"/>
      <c r="W28" s="91"/>
      <c r="X28" s="91"/>
      <c r="Y28" s="91"/>
      <c r="Z28" s="91"/>
      <c r="AA28" s="91"/>
      <c r="AB28" s="91"/>
      <c r="AC28" s="91"/>
      <c r="AD28" s="91"/>
      <c r="AE28" s="91"/>
      <c r="AF28" s="91"/>
      <c r="AG28" s="91"/>
      <c r="AH28" s="91"/>
      <c r="AK28" s="88"/>
    </row>
    <row r="29" spans="1:37">
      <c r="A29" s="77"/>
      <c r="B29" s="49"/>
      <c r="C29" s="49"/>
      <c r="D29" s="49"/>
      <c r="E29" s="49"/>
      <c r="F29" s="49"/>
      <c r="G29" s="49"/>
      <c r="H29" s="49"/>
      <c r="I29" s="49"/>
      <c r="J29" s="49"/>
      <c r="K29" s="49"/>
      <c r="L29" s="49"/>
      <c r="M29" s="49"/>
      <c r="N29" s="49"/>
      <c r="O29" s="49"/>
      <c r="P29" s="49"/>
      <c r="Q29" s="1"/>
      <c r="R29" s="1"/>
      <c r="T29" s="89"/>
      <c r="U29" s="91"/>
      <c r="V29" s="91"/>
      <c r="W29" s="91"/>
      <c r="X29" s="91"/>
      <c r="Y29" s="91"/>
      <c r="Z29" s="91"/>
      <c r="AA29" s="91"/>
      <c r="AB29" s="91"/>
      <c r="AC29" s="91"/>
      <c r="AD29" s="91"/>
      <c r="AE29" s="91"/>
      <c r="AF29" s="91"/>
      <c r="AG29" s="91"/>
      <c r="AH29" s="91"/>
    </row>
    <row r="30" spans="1:37">
      <c r="A30" s="75" t="s">
        <v>164</v>
      </c>
      <c r="B30" s="49"/>
      <c r="C30" s="49"/>
      <c r="D30" s="49"/>
      <c r="E30" s="49"/>
      <c r="F30" s="49"/>
      <c r="G30" s="49"/>
      <c r="H30" s="49"/>
      <c r="I30" s="49"/>
      <c r="J30" s="49"/>
      <c r="K30" s="49"/>
      <c r="L30" s="49"/>
      <c r="M30" s="49"/>
      <c r="N30" s="49"/>
      <c r="O30" s="49"/>
      <c r="P30" s="49"/>
      <c r="Q30" s="1"/>
      <c r="R30" s="1"/>
      <c r="T30" s="89"/>
      <c r="U30" s="91"/>
      <c r="V30" s="91"/>
      <c r="W30" s="91"/>
      <c r="X30" s="91"/>
      <c r="Y30" s="91"/>
      <c r="Z30" s="91"/>
      <c r="AA30" s="91"/>
      <c r="AB30" s="91"/>
      <c r="AC30" s="91"/>
      <c r="AD30" s="91"/>
      <c r="AE30" s="91"/>
      <c r="AF30" s="91"/>
      <c r="AG30" s="91"/>
      <c r="AH30" s="91"/>
    </row>
    <row r="31" spans="1:37">
      <c r="A31" s="77"/>
      <c r="B31" s="1"/>
      <c r="C31" s="49" t="s">
        <v>142</v>
      </c>
      <c r="D31" s="49" t="s">
        <v>143</v>
      </c>
      <c r="E31" s="49" t="s">
        <v>157</v>
      </c>
      <c r="F31" s="49" t="s">
        <v>158</v>
      </c>
      <c r="G31" s="49" t="s">
        <v>144</v>
      </c>
      <c r="H31" s="49" t="s">
        <v>165</v>
      </c>
      <c r="I31" s="49" t="s">
        <v>146</v>
      </c>
      <c r="J31" s="49" t="s">
        <v>159</v>
      </c>
      <c r="K31" s="49" t="s">
        <v>148</v>
      </c>
      <c r="L31" s="49" t="s">
        <v>166</v>
      </c>
      <c r="M31" s="49" t="s">
        <v>150</v>
      </c>
      <c r="N31" s="49" t="s">
        <v>160</v>
      </c>
      <c r="O31" s="49" t="s">
        <v>161</v>
      </c>
      <c r="P31" s="49" t="s">
        <v>151</v>
      </c>
      <c r="Q31" s="49" t="s">
        <v>167</v>
      </c>
      <c r="R31" s="49" t="s">
        <v>168</v>
      </c>
      <c r="T31" s="89"/>
      <c r="U31" s="92"/>
      <c r="V31" s="92"/>
      <c r="W31" s="92"/>
      <c r="X31" s="92"/>
      <c r="Y31" s="92"/>
      <c r="Z31" s="92"/>
      <c r="AA31" s="92"/>
      <c r="AB31" s="92"/>
      <c r="AC31" s="92"/>
      <c r="AD31" s="92"/>
      <c r="AE31" s="92"/>
      <c r="AF31" s="92"/>
      <c r="AG31" s="92"/>
      <c r="AH31" s="92"/>
    </row>
    <row r="32" spans="1:37">
      <c r="A32" s="77">
        <v>2001</v>
      </c>
      <c r="B32" s="1"/>
      <c r="C32" s="49">
        <v>144400</v>
      </c>
      <c r="D32" s="49">
        <v>1218300</v>
      </c>
      <c r="E32" s="49">
        <v>368400</v>
      </c>
      <c r="F32" s="49">
        <v>246900</v>
      </c>
      <c r="G32" s="49">
        <v>45500</v>
      </c>
      <c r="H32" s="49">
        <v>147300</v>
      </c>
      <c r="I32" s="49">
        <v>105700</v>
      </c>
      <c r="J32" s="49">
        <v>227500</v>
      </c>
      <c r="K32" s="49">
        <v>440200</v>
      </c>
      <c r="L32" s="49">
        <v>126000</v>
      </c>
      <c r="M32" s="49">
        <v>496700</v>
      </c>
      <c r="N32" s="49">
        <v>31100</v>
      </c>
      <c r="O32" s="49">
        <v>188300</v>
      </c>
      <c r="P32" s="49">
        <v>93300</v>
      </c>
      <c r="Q32" s="49">
        <v>750</v>
      </c>
      <c r="R32" s="49">
        <v>3880500</v>
      </c>
      <c r="T32" s="49"/>
      <c r="U32" s="49"/>
      <c r="V32" s="92"/>
      <c r="W32" s="92"/>
      <c r="X32" s="92"/>
      <c r="Y32" s="92"/>
      <c r="Z32" s="92"/>
      <c r="AA32" s="42"/>
      <c r="AB32" s="42"/>
      <c r="AC32" s="92"/>
      <c r="AD32" s="92"/>
      <c r="AE32" s="92"/>
      <c r="AF32" s="92"/>
    </row>
    <row r="33" spans="1:32">
      <c r="A33" s="77">
        <v>2002</v>
      </c>
      <c r="B33" s="1"/>
      <c r="C33" s="49">
        <v>146000</v>
      </c>
      <c r="D33" s="49">
        <v>1255800</v>
      </c>
      <c r="E33" s="49">
        <v>373400</v>
      </c>
      <c r="F33" s="49">
        <v>250700</v>
      </c>
      <c r="G33" s="49">
        <v>45500</v>
      </c>
      <c r="H33" s="49">
        <v>148500</v>
      </c>
      <c r="I33" s="49">
        <v>105900</v>
      </c>
      <c r="J33" s="49">
        <v>227800</v>
      </c>
      <c r="K33" s="49">
        <v>445800</v>
      </c>
      <c r="L33" s="49">
        <v>127500</v>
      </c>
      <c r="M33" s="49">
        <v>505100</v>
      </c>
      <c r="N33" s="49">
        <v>31100</v>
      </c>
      <c r="O33" s="49">
        <v>191000</v>
      </c>
      <c r="P33" s="49">
        <v>93500</v>
      </c>
      <c r="Q33" s="49">
        <v>730</v>
      </c>
      <c r="R33" s="49">
        <v>3948500</v>
      </c>
      <c r="T33" s="49"/>
      <c r="U33" s="49"/>
      <c r="V33" s="92"/>
      <c r="W33" s="92"/>
      <c r="X33" s="92"/>
      <c r="Y33" s="92"/>
      <c r="Z33" s="92"/>
      <c r="AA33" s="42"/>
      <c r="AB33" s="42"/>
      <c r="AC33" s="92"/>
      <c r="AD33" s="92"/>
      <c r="AE33" s="92"/>
      <c r="AF33" s="92"/>
    </row>
    <row r="34" spans="1:32">
      <c r="A34" s="77">
        <v>2003</v>
      </c>
      <c r="B34" s="1"/>
      <c r="C34" s="49">
        <v>147900</v>
      </c>
      <c r="D34" s="49">
        <v>1297600</v>
      </c>
      <c r="E34" s="49">
        <v>379200</v>
      </c>
      <c r="F34" s="49">
        <v>255000</v>
      </c>
      <c r="G34" s="49">
        <v>45800</v>
      </c>
      <c r="H34" s="49">
        <v>149400</v>
      </c>
      <c r="I34" s="49">
        <v>106600</v>
      </c>
      <c r="J34" s="49">
        <v>228700</v>
      </c>
      <c r="K34" s="49">
        <v>452300</v>
      </c>
      <c r="L34" s="49">
        <v>129500</v>
      </c>
      <c r="M34" s="49">
        <v>515500</v>
      </c>
      <c r="N34" s="49">
        <v>31400</v>
      </c>
      <c r="O34" s="49">
        <v>193500</v>
      </c>
      <c r="P34" s="49">
        <v>94100</v>
      </c>
      <c r="Q34" s="49">
        <v>710</v>
      </c>
      <c r="R34" s="49">
        <v>4027200</v>
      </c>
      <c r="T34" s="49"/>
      <c r="U34" s="49"/>
      <c r="V34" s="92"/>
      <c r="W34" s="92"/>
      <c r="X34" s="92"/>
      <c r="Y34" s="92"/>
      <c r="Z34" s="92"/>
      <c r="AA34" s="42"/>
      <c r="AB34" s="42"/>
      <c r="AC34" s="92"/>
      <c r="AD34" s="92"/>
      <c r="AE34" s="92"/>
      <c r="AF34" s="92"/>
    </row>
    <row r="35" spans="1:32">
      <c r="A35" s="77">
        <v>2004</v>
      </c>
      <c r="B35" s="1"/>
      <c r="C35" s="49">
        <v>149500</v>
      </c>
      <c r="D35" s="49">
        <v>1326000</v>
      </c>
      <c r="E35" s="49">
        <v>384500</v>
      </c>
      <c r="F35" s="49">
        <v>259100</v>
      </c>
      <c r="G35" s="49">
        <v>45800</v>
      </c>
      <c r="H35" s="49">
        <v>150400</v>
      </c>
      <c r="I35" s="49">
        <v>106800</v>
      </c>
      <c r="J35" s="49">
        <v>229200</v>
      </c>
      <c r="K35" s="49">
        <v>457800</v>
      </c>
      <c r="L35" s="49">
        <v>131500</v>
      </c>
      <c r="M35" s="49">
        <v>524800</v>
      </c>
      <c r="N35" s="49">
        <v>31500</v>
      </c>
      <c r="O35" s="49">
        <v>195900</v>
      </c>
      <c r="P35" s="49">
        <v>94100</v>
      </c>
      <c r="Q35" s="49">
        <v>690</v>
      </c>
      <c r="R35" s="49">
        <v>4087500</v>
      </c>
      <c r="T35" s="49"/>
      <c r="U35" s="49"/>
      <c r="V35" s="92"/>
      <c r="W35" s="92"/>
      <c r="X35" s="92"/>
      <c r="Y35" s="92"/>
      <c r="Z35" s="92"/>
      <c r="AA35" s="42"/>
      <c r="AB35" s="42"/>
      <c r="AC35" s="92"/>
      <c r="AD35" s="92"/>
      <c r="AE35" s="92"/>
      <c r="AF35" s="92"/>
    </row>
    <row r="36" spans="1:32">
      <c r="A36" s="77">
        <v>2005</v>
      </c>
      <c r="B36" s="1"/>
      <c r="C36" s="49">
        <v>151000</v>
      </c>
      <c r="D36" s="49">
        <v>1348900</v>
      </c>
      <c r="E36" s="49">
        <v>388700</v>
      </c>
      <c r="F36" s="49">
        <v>262200</v>
      </c>
      <c r="G36" s="49">
        <v>45900</v>
      </c>
      <c r="H36" s="49">
        <v>151200</v>
      </c>
      <c r="I36" s="49">
        <v>106800</v>
      </c>
      <c r="J36" s="49">
        <v>228900</v>
      </c>
      <c r="K36" s="49">
        <v>461600</v>
      </c>
      <c r="L36" s="49">
        <v>132600</v>
      </c>
      <c r="M36" s="49">
        <v>531900</v>
      </c>
      <c r="N36" s="49">
        <v>31800</v>
      </c>
      <c r="O36" s="49">
        <v>197900</v>
      </c>
      <c r="P36" s="49">
        <v>93700</v>
      </c>
      <c r="Q36" s="49">
        <v>670</v>
      </c>
      <c r="R36" s="49">
        <v>4133900</v>
      </c>
      <c r="T36" s="49"/>
      <c r="U36" s="49"/>
      <c r="V36" s="92"/>
      <c r="W36" s="92"/>
      <c r="X36" s="92"/>
      <c r="Y36" s="92"/>
      <c r="Z36" s="92"/>
      <c r="AA36" s="42"/>
      <c r="AB36" s="42"/>
      <c r="AC36" s="92"/>
      <c r="AD36" s="92"/>
      <c r="AE36" s="92"/>
      <c r="AF36" s="92"/>
    </row>
    <row r="37" spans="1:32">
      <c r="A37" s="77">
        <v>2006</v>
      </c>
      <c r="B37" s="1"/>
      <c r="C37" s="49">
        <v>152700</v>
      </c>
      <c r="D37" s="49">
        <v>1373000</v>
      </c>
      <c r="E37" s="49">
        <v>393200</v>
      </c>
      <c r="F37" s="49">
        <v>265300</v>
      </c>
      <c r="G37" s="49">
        <v>46000</v>
      </c>
      <c r="H37" s="49">
        <v>152100</v>
      </c>
      <c r="I37" s="49">
        <v>107300</v>
      </c>
      <c r="J37" s="49">
        <v>229400</v>
      </c>
      <c r="K37" s="49">
        <v>466300</v>
      </c>
      <c r="L37" s="49">
        <v>133700</v>
      </c>
      <c r="M37" s="49">
        <v>540000</v>
      </c>
      <c r="N37" s="49">
        <v>32100</v>
      </c>
      <c r="O37" s="49">
        <v>199800</v>
      </c>
      <c r="P37" s="49">
        <v>93200</v>
      </c>
      <c r="Q37" s="49">
        <v>650</v>
      </c>
      <c r="R37" s="49">
        <v>4184600</v>
      </c>
      <c r="T37" s="49"/>
      <c r="U37" s="49"/>
      <c r="V37" s="92"/>
      <c r="W37" s="92"/>
      <c r="X37" s="92"/>
      <c r="Y37" s="92"/>
      <c r="Z37" s="92"/>
      <c r="AA37" s="42"/>
      <c r="AB37" s="42"/>
      <c r="AC37" s="92"/>
      <c r="AD37" s="92"/>
      <c r="AE37" s="92"/>
      <c r="AF37" s="92"/>
    </row>
    <row r="38" spans="1:32">
      <c r="A38" s="77">
        <v>2007</v>
      </c>
      <c r="B38" s="1"/>
      <c r="C38" s="49">
        <v>154700</v>
      </c>
      <c r="D38" s="49">
        <v>1390400</v>
      </c>
      <c r="E38" s="49">
        <v>397300</v>
      </c>
      <c r="F38" s="49">
        <v>267900</v>
      </c>
      <c r="G38" s="49">
        <v>46000</v>
      </c>
      <c r="H38" s="49">
        <v>152900</v>
      </c>
      <c r="I38" s="49">
        <v>107600</v>
      </c>
      <c r="J38" s="49">
        <v>228700</v>
      </c>
      <c r="K38" s="49">
        <v>469300</v>
      </c>
      <c r="L38" s="49">
        <v>134700</v>
      </c>
      <c r="M38" s="49">
        <v>547400</v>
      </c>
      <c r="N38" s="49">
        <v>32300</v>
      </c>
      <c r="O38" s="49">
        <v>201000</v>
      </c>
      <c r="P38" s="49">
        <v>93100</v>
      </c>
      <c r="Q38" s="49">
        <v>640</v>
      </c>
      <c r="R38" s="49">
        <v>4223800</v>
      </c>
      <c r="T38" s="49"/>
      <c r="U38" s="49"/>
      <c r="V38" s="93"/>
      <c r="W38" s="93"/>
      <c r="X38" s="93"/>
      <c r="Y38" s="93"/>
      <c r="Z38" s="93"/>
      <c r="AA38" s="42"/>
      <c r="AB38" s="42"/>
      <c r="AC38" s="93"/>
      <c r="AD38" s="93"/>
      <c r="AE38" s="93"/>
      <c r="AF38" s="93"/>
    </row>
    <row r="39" spans="1:32">
      <c r="A39" s="77">
        <v>2008</v>
      </c>
      <c r="B39" s="1"/>
      <c r="C39" s="49">
        <v>156300</v>
      </c>
      <c r="D39" s="49">
        <v>1405500</v>
      </c>
      <c r="E39" s="49">
        <v>401600</v>
      </c>
      <c r="F39" s="49">
        <v>270200</v>
      </c>
      <c r="G39" s="49">
        <v>46000</v>
      </c>
      <c r="H39" s="49">
        <v>153500</v>
      </c>
      <c r="I39" s="49">
        <v>108300</v>
      </c>
      <c r="J39" s="49">
        <v>228600</v>
      </c>
      <c r="K39" s="49">
        <v>471800</v>
      </c>
      <c r="L39" s="49">
        <v>135900</v>
      </c>
      <c r="M39" s="49">
        <v>553800</v>
      </c>
      <c r="N39" s="49">
        <v>32400</v>
      </c>
      <c r="O39" s="49">
        <v>202100</v>
      </c>
      <c r="P39" s="49">
        <v>93300</v>
      </c>
      <c r="Q39" s="49">
        <v>640</v>
      </c>
      <c r="R39" s="49">
        <v>4259800</v>
      </c>
      <c r="T39" s="49"/>
      <c r="U39" s="49"/>
      <c r="V39" s="93"/>
      <c r="W39" s="93"/>
      <c r="X39" s="93"/>
      <c r="Y39" s="93"/>
      <c r="Z39" s="93"/>
      <c r="AA39" s="42"/>
      <c r="AB39" s="42"/>
      <c r="AC39" s="93"/>
      <c r="AD39" s="93"/>
      <c r="AE39" s="93"/>
      <c r="AF39" s="93"/>
    </row>
    <row r="40" spans="1:32">
      <c r="A40" s="77">
        <v>2009</v>
      </c>
      <c r="B40" s="1"/>
      <c r="C40" s="49">
        <v>158200</v>
      </c>
      <c r="D40" s="49">
        <v>1421700</v>
      </c>
      <c r="E40" s="49">
        <v>406600</v>
      </c>
      <c r="F40" s="49">
        <v>272700</v>
      </c>
      <c r="G40" s="49">
        <v>46300</v>
      </c>
      <c r="H40" s="49">
        <v>154500</v>
      </c>
      <c r="I40" s="49">
        <v>109300</v>
      </c>
      <c r="J40" s="49">
        <v>229300</v>
      </c>
      <c r="K40" s="49">
        <v>475600</v>
      </c>
      <c r="L40" s="49">
        <v>137100</v>
      </c>
      <c r="M40" s="49">
        <v>560600</v>
      </c>
      <c r="N40" s="49">
        <v>32700</v>
      </c>
      <c r="O40" s="49">
        <v>203300</v>
      </c>
      <c r="P40" s="49">
        <v>93900</v>
      </c>
      <c r="Q40" s="49">
        <v>640</v>
      </c>
      <c r="R40" s="49">
        <v>4302600</v>
      </c>
      <c r="T40" s="49"/>
      <c r="U40" s="49"/>
      <c r="V40" s="93"/>
      <c r="W40" s="93"/>
      <c r="X40" s="93"/>
      <c r="Y40" s="93"/>
      <c r="Z40" s="93"/>
      <c r="AA40" s="42"/>
      <c r="AB40" s="42"/>
      <c r="AC40" s="93"/>
      <c r="AD40" s="93"/>
      <c r="AE40" s="93"/>
      <c r="AF40" s="93"/>
    </row>
    <row r="41" spans="1:32">
      <c r="A41" s="77">
        <v>2010</v>
      </c>
      <c r="B41" s="1"/>
      <c r="C41" s="49">
        <v>160600</v>
      </c>
      <c r="D41" s="49">
        <v>1439600</v>
      </c>
      <c r="E41" s="49">
        <v>412400</v>
      </c>
      <c r="F41" s="49">
        <v>275700</v>
      </c>
      <c r="G41" s="49">
        <v>46700</v>
      </c>
      <c r="H41" s="49">
        <v>156300</v>
      </c>
      <c r="I41" s="49">
        <v>110700</v>
      </c>
      <c r="J41" s="49">
        <v>230400</v>
      </c>
      <c r="K41" s="49">
        <v>479400</v>
      </c>
      <c r="L41" s="49">
        <v>138500</v>
      </c>
      <c r="M41" s="49">
        <v>567700</v>
      </c>
      <c r="N41" s="49">
        <v>32800</v>
      </c>
      <c r="O41" s="49">
        <v>204600</v>
      </c>
      <c r="P41" s="49">
        <v>94700</v>
      </c>
      <c r="Q41" s="49">
        <v>640</v>
      </c>
      <c r="R41" s="49">
        <v>4350700</v>
      </c>
      <c r="T41" s="49"/>
      <c r="U41" s="49"/>
      <c r="V41" s="93"/>
      <c r="W41" s="93"/>
      <c r="X41" s="93"/>
      <c r="Y41" s="93"/>
      <c r="Z41" s="93"/>
      <c r="AA41" s="42"/>
      <c r="AB41" s="42"/>
      <c r="AC41" s="93"/>
      <c r="AD41" s="93"/>
      <c r="AE41" s="93"/>
      <c r="AF41" s="93"/>
    </row>
    <row r="42" spans="1:32">
      <c r="A42" s="77">
        <v>2011</v>
      </c>
      <c r="B42" s="1"/>
      <c r="C42" s="49">
        <v>162500</v>
      </c>
      <c r="D42" s="49">
        <v>1459600</v>
      </c>
      <c r="E42" s="49">
        <v>417300</v>
      </c>
      <c r="F42" s="49">
        <v>278200</v>
      </c>
      <c r="G42" s="49">
        <v>46800</v>
      </c>
      <c r="H42" s="49">
        <v>157300</v>
      </c>
      <c r="I42" s="49">
        <v>111800</v>
      </c>
      <c r="J42" s="49">
        <v>231300</v>
      </c>
      <c r="K42" s="49">
        <v>483400</v>
      </c>
      <c r="L42" s="49">
        <v>140400</v>
      </c>
      <c r="M42" s="49">
        <v>559300</v>
      </c>
      <c r="N42" s="49">
        <v>33100</v>
      </c>
      <c r="O42" s="49">
        <v>206600</v>
      </c>
      <c r="P42" s="49">
        <v>95700</v>
      </c>
      <c r="Q42" s="49">
        <v>640</v>
      </c>
      <c r="R42" s="49">
        <v>4384000</v>
      </c>
      <c r="T42" s="49"/>
      <c r="U42" s="49"/>
      <c r="V42" s="94"/>
      <c r="W42" s="94"/>
      <c r="X42" s="94"/>
      <c r="Y42" s="94"/>
      <c r="Z42" s="94"/>
      <c r="AA42" s="42"/>
      <c r="AB42" s="42"/>
      <c r="AC42" s="94"/>
      <c r="AD42" s="94"/>
      <c r="AE42" s="94"/>
      <c r="AF42" s="94"/>
    </row>
    <row r="43" spans="1:32" ht="12.75" customHeight="1">
      <c r="A43" s="77">
        <v>2012</v>
      </c>
      <c r="B43" s="1"/>
      <c r="C43" s="49">
        <v>163500</v>
      </c>
      <c r="D43" s="49">
        <v>1476500</v>
      </c>
      <c r="E43" s="49">
        <v>421500</v>
      </c>
      <c r="F43" s="49">
        <v>278800</v>
      </c>
      <c r="G43" s="49">
        <v>47000</v>
      </c>
      <c r="H43" s="49">
        <v>157500</v>
      </c>
      <c r="I43" s="49">
        <v>112700</v>
      </c>
      <c r="J43" s="49">
        <v>231200</v>
      </c>
      <c r="K43" s="49">
        <v>485100</v>
      </c>
      <c r="L43" s="49">
        <v>141400</v>
      </c>
      <c r="M43" s="49">
        <v>556000</v>
      </c>
      <c r="N43" s="49">
        <v>33100</v>
      </c>
      <c r="O43" s="49">
        <v>207400</v>
      </c>
      <c r="P43" s="49">
        <v>95900</v>
      </c>
      <c r="Q43" s="49">
        <v>600</v>
      </c>
      <c r="R43" s="49">
        <v>4408100</v>
      </c>
      <c r="T43" s="49"/>
      <c r="U43" s="49"/>
      <c r="AA43" s="42"/>
      <c r="AB43" s="42"/>
    </row>
    <row r="44" spans="1:32" ht="12.75" customHeight="1">
      <c r="A44" s="77">
        <v>2013</v>
      </c>
      <c r="B44" s="1"/>
      <c r="C44" s="49">
        <v>164700</v>
      </c>
      <c r="D44" s="49">
        <v>1493200</v>
      </c>
      <c r="E44" s="49">
        <v>424600</v>
      </c>
      <c r="F44" s="49">
        <v>279700</v>
      </c>
      <c r="G44" s="49">
        <v>47000</v>
      </c>
      <c r="H44" s="49">
        <v>158000</v>
      </c>
      <c r="I44" s="49">
        <v>113600</v>
      </c>
      <c r="J44" s="49">
        <v>231200</v>
      </c>
      <c r="K44" s="49">
        <v>486700</v>
      </c>
      <c r="L44" s="49">
        <v>142200</v>
      </c>
      <c r="M44" s="49">
        <v>562900</v>
      </c>
      <c r="N44" s="49">
        <v>33000</v>
      </c>
      <c r="O44" s="49">
        <v>208800</v>
      </c>
      <c r="P44" s="49">
        <v>96000</v>
      </c>
      <c r="Q44" s="49">
        <v>600</v>
      </c>
      <c r="R44" s="49">
        <v>4442100</v>
      </c>
      <c r="T44" s="49"/>
      <c r="U44" s="49"/>
      <c r="AA44" s="42"/>
      <c r="AB44" s="42"/>
    </row>
    <row r="45" spans="1:32" ht="12.75" customHeight="1">
      <c r="A45" s="77">
        <v>2014</v>
      </c>
      <c r="B45" s="1"/>
      <c r="C45" s="49">
        <v>168200</v>
      </c>
      <c r="D45" s="49">
        <v>1520400</v>
      </c>
      <c r="E45" s="49">
        <v>432400</v>
      </c>
      <c r="F45" s="49">
        <v>286100</v>
      </c>
      <c r="G45" s="49">
        <v>47500</v>
      </c>
      <c r="H45" s="49">
        <v>160800</v>
      </c>
      <c r="I45" s="49">
        <v>115000</v>
      </c>
      <c r="J45" s="49">
        <v>234200</v>
      </c>
      <c r="K45" s="49">
        <v>493800</v>
      </c>
      <c r="L45" s="49">
        <v>144700</v>
      </c>
      <c r="M45" s="49">
        <v>570600</v>
      </c>
      <c r="N45" s="49">
        <v>32900</v>
      </c>
      <c r="O45" s="49">
        <v>212500</v>
      </c>
      <c r="P45" s="49">
        <v>96800</v>
      </c>
      <c r="Q45" s="49">
        <v>610</v>
      </c>
      <c r="R45" s="49">
        <v>4516500</v>
      </c>
      <c r="T45" s="49"/>
      <c r="U45" s="49"/>
      <c r="AA45" s="42"/>
      <c r="AB45" s="42"/>
    </row>
    <row r="46" spans="1:32" ht="12.75" customHeight="1">
      <c r="A46" s="77">
        <v>2015</v>
      </c>
      <c r="B46" s="1"/>
      <c r="C46" s="49">
        <v>172100</v>
      </c>
      <c r="D46" s="49">
        <v>1552800</v>
      </c>
      <c r="E46" s="49">
        <v>442100</v>
      </c>
      <c r="F46" s="49">
        <v>293200</v>
      </c>
      <c r="G46" s="49">
        <v>48100</v>
      </c>
      <c r="H46" s="49">
        <v>163700</v>
      </c>
      <c r="I46" s="49">
        <v>116600</v>
      </c>
      <c r="J46" s="49">
        <v>237400</v>
      </c>
      <c r="K46" s="49">
        <v>501800</v>
      </c>
      <c r="L46" s="49">
        <v>147400</v>
      </c>
      <c r="M46" s="49">
        <v>585600</v>
      </c>
      <c r="N46" s="49">
        <v>32800</v>
      </c>
      <c r="O46" s="49">
        <v>217400</v>
      </c>
      <c r="P46" s="49">
        <v>97700</v>
      </c>
      <c r="Q46" s="49">
        <v>620</v>
      </c>
      <c r="R46" s="49">
        <v>4609400</v>
      </c>
      <c r="T46" s="49"/>
      <c r="U46" s="49"/>
      <c r="AA46" s="42"/>
      <c r="AB46" s="42"/>
    </row>
    <row r="47" spans="1:32" ht="12.75" customHeight="1">
      <c r="A47" s="77">
        <v>2016</v>
      </c>
      <c r="B47" s="1"/>
      <c r="C47" s="49">
        <v>176400</v>
      </c>
      <c r="D47" s="49">
        <v>1589800</v>
      </c>
      <c r="E47" s="49">
        <v>452800</v>
      </c>
      <c r="F47" s="49">
        <v>301500</v>
      </c>
      <c r="G47" s="49">
        <v>48800</v>
      </c>
      <c r="H47" s="49">
        <v>166900</v>
      </c>
      <c r="I47" s="49">
        <v>118500</v>
      </c>
      <c r="J47" s="49">
        <v>241100</v>
      </c>
      <c r="K47" s="49">
        <v>510700</v>
      </c>
      <c r="L47" s="49">
        <v>150400</v>
      </c>
      <c r="M47" s="49">
        <v>601900</v>
      </c>
      <c r="N47" s="49">
        <v>32900</v>
      </c>
      <c r="O47" s="49">
        <v>223100</v>
      </c>
      <c r="P47" s="49">
        <v>99000</v>
      </c>
      <c r="Q47" s="49">
        <v>640</v>
      </c>
      <c r="R47" s="49">
        <v>4714100</v>
      </c>
      <c r="T47" s="49"/>
      <c r="U47" s="49"/>
      <c r="AA47" s="42"/>
      <c r="AB47" s="42"/>
    </row>
    <row r="48" spans="1:32" ht="12.75" customHeight="1">
      <c r="A48" s="77">
        <v>2017</v>
      </c>
      <c r="B48" s="1"/>
      <c r="C48" s="49">
        <v>181200</v>
      </c>
      <c r="D48" s="49">
        <v>1625100</v>
      </c>
      <c r="E48" s="49">
        <v>465000</v>
      </c>
      <c r="F48" s="49">
        <v>311500</v>
      </c>
      <c r="G48" s="49">
        <v>49200</v>
      </c>
      <c r="H48" s="49">
        <v>169700</v>
      </c>
      <c r="I48" s="49">
        <v>120000</v>
      </c>
      <c r="J48" s="49">
        <v>244300</v>
      </c>
      <c r="K48" s="49">
        <v>518300</v>
      </c>
      <c r="L48" s="49">
        <v>152900</v>
      </c>
      <c r="M48" s="49">
        <v>614300</v>
      </c>
      <c r="N48" s="49">
        <v>32700</v>
      </c>
      <c r="O48" s="49">
        <v>228800</v>
      </c>
      <c r="P48" s="49">
        <v>99900</v>
      </c>
      <c r="Q48" s="49">
        <v>660</v>
      </c>
      <c r="R48" s="49">
        <v>4813600</v>
      </c>
      <c r="T48" s="49"/>
      <c r="U48" s="49"/>
      <c r="AA48" s="42"/>
      <c r="AB48" s="42"/>
    </row>
    <row r="49" spans="1:33" ht="12.75" customHeight="1">
      <c r="A49" s="77">
        <v>2018</v>
      </c>
      <c r="B49" s="1"/>
      <c r="C49" s="49">
        <v>185800</v>
      </c>
      <c r="D49" s="49">
        <v>1654800</v>
      </c>
      <c r="E49" s="49">
        <v>475600</v>
      </c>
      <c r="F49" s="49">
        <v>320800</v>
      </c>
      <c r="G49" s="49">
        <v>49500</v>
      </c>
      <c r="H49" s="49">
        <v>172400</v>
      </c>
      <c r="I49" s="49">
        <v>121200</v>
      </c>
      <c r="J49" s="49">
        <v>247500</v>
      </c>
      <c r="K49" s="49">
        <v>525900</v>
      </c>
      <c r="L49" s="49">
        <v>155400</v>
      </c>
      <c r="M49" s="49">
        <v>622800</v>
      </c>
      <c r="N49" s="49">
        <v>32400</v>
      </c>
      <c r="O49" s="49">
        <v>235000</v>
      </c>
      <c r="P49" s="49">
        <v>100500</v>
      </c>
      <c r="Q49" s="49">
        <v>690</v>
      </c>
      <c r="R49" s="49">
        <v>4900600</v>
      </c>
      <c r="T49" s="49"/>
      <c r="U49" s="49"/>
      <c r="AA49" s="42"/>
      <c r="AB49" s="42"/>
    </row>
    <row r="50" spans="1:33" ht="12.75" customHeight="1">
      <c r="A50" s="77">
        <v>2019</v>
      </c>
      <c r="B50" s="1"/>
      <c r="C50" s="49">
        <v>189100</v>
      </c>
      <c r="D50" s="49">
        <v>1681300</v>
      </c>
      <c r="E50" s="49">
        <v>485700</v>
      </c>
      <c r="F50" s="49">
        <v>328200</v>
      </c>
      <c r="G50" s="49">
        <v>50200</v>
      </c>
      <c r="H50" s="49">
        <v>174900</v>
      </c>
      <c r="I50" s="49">
        <v>123100</v>
      </c>
      <c r="J50" s="49">
        <v>250600</v>
      </c>
      <c r="K50" s="49">
        <v>532600</v>
      </c>
      <c r="L50" s="49">
        <v>157600</v>
      </c>
      <c r="M50" s="49">
        <v>631700</v>
      </c>
      <c r="N50" s="49">
        <v>32500</v>
      </c>
      <c r="O50" s="49">
        <v>239400</v>
      </c>
      <c r="P50" s="49">
        <v>101600</v>
      </c>
      <c r="Q50" s="49">
        <v>710</v>
      </c>
      <c r="R50" s="49">
        <v>4979200</v>
      </c>
      <c r="T50" s="49"/>
      <c r="U50" s="49"/>
      <c r="AA50" s="42"/>
      <c r="AB50" s="42"/>
    </row>
    <row r="51" spans="1:33" ht="12.75" customHeight="1">
      <c r="A51" s="77">
        <v>2020</v>
      </c>
      <c r="B51" s="1"/>
      <c r="C51" s="49">
        <v>194600</v>
      </c>
      <c r="D51" s="49">
        <v>1714200</v>
      </c>
      <c r="E51" s="49">
        <v>500100</v>
      </c>
      <c r="F51" s="49">
        <v>339200</v>
      </c>
      <c r="G51" s="49">
        <v>51400</v>
      </c>
      <c r="H51" s="49">
        <v>180000</v>
      </c>
      <c r="I51" s="49">
        <v>125200</v>
      </c>
      <c r="J51" s="49">
        <v>254600</v>
      </c>
      <c r="K51" s="49">
        <v>542100</v>
      </c>
      <c r="L51" s="49">
        <v>163500</v>
      </c>
      <c r="M51" s="49">
        <v>644000</v>
      </c>
      <c r="N51" s="49">
        <v>32800</v>
      </c>
      <c r="O51" s="49">
        <v>245000</v>
      </c>
      <c r="P51" s="49">
        <v>102800</v>
      </c>
      <c r="Q51" s="49">
        <v>750</v>
      </c>
      <c r="R51" s="49">
        <v>5090200</v>
      </c>
      <c r="T51" s="49"/>
      <c r="U51" s="49"/>
      <c r="AA51" s="42"/>
      <c r="AB51" s="42"/>
    </row>
    <row r="52" spans="1:33" ht="12.75" customHeight="1">
      <c r="A52" s="77">
        <v>2021</v>
      </c>
      <c r="B52" s="1"/>
      <c r="C52" s="63">
        <v>198500</v>
      </c>
      <c r="D52" s="49">
        <v>1704700</v>
      </c>
      <c r="E52" s="49">
        <v>506400</v>
      </c>
      <c r="F52" s="49">
        <v>344100</v>
      </c>
      <c r="G52" s="49">
        <v>51700</v>
      </c>
      <c r="H52" s="49">
        <v>182100</v>
      </c>
      <c r="I52" s="49">
        <v>126500</v>
      </c>
      <c r="J52" s="49">
        <v>256700</v>
      </c>
      <c r="K52" s="49">
        <v>544600</v>
      </c>
      <c r="L52" s="49">
        <v>164600</v>
      </c>
      <c r="M52" s="49">
        <v>649000</v>
      </c>
      <c r="N52" s="49">
        <v>32900</v>
      </c>
      <c r="O52" s="49">
        <v>246400</v>
      </c>
      <c r="P52" s="49">
        <v>102500</v>
      </c>
      <c r="Q52" s="49">
        <v>740</v>
      </c>
      <c r="R52" s="49">
        <v>5111300</v>
      </c>
      <c r="T52" s="49"/>
      <c r="U52" s="49"/>
      <c r="AA52" s="42"/>
      <c r="AB52" s="42"/>
    </row>
    <row r="53" spans="1:33" ht="12.75" customHeight="1">
      <c r="A53" s="77">
        <v>2022</v>
      </c>
      <c r="B53" s="1"/>
      <c r="C53" s="49">
        <v>201200</v>
      </c>
      <c r="D53" s="49">
        <v>1692300</v>
      </c>
      <c r="E53" s="49">
        <v>510900</v>
      </c>
      <c r="F53" s="49">
        <v>346900</v>
      </c>
      <c r="G53" s="49">
        <v>52000</v>
      </c>
      <c r="H53" s="49">
        <v>182800</v>
      </c>
      <c r="I53" s="49">
        <v>127300</v>
      </c>
      <c r="J53" s="49">
        <v>257600</v>
      </c>
      <c r="K53" s="49">
        <v>543700</v>
      </c>
      <c r="L53" s="49">
        <v>165200</v>
      </c>
      <c r="M53" s="49">
        <v>653400</v>
      </c>
      <c r="N53" s="49">
        <v>32800</v>
      </c>
      <c r="O53" s="49">
        <v>248000</v>
      </c>
      <c r="P53" s="49">
        <v>102500</v>
      </c>
      <c r="Q53" s="49">
        <v>740</v>
      </c>
      <c r="R53" s="49">
        <v>5117200</v>
      </c>
      <c r="T53" s="49"/>
      <c r="U53" s="49"/>
      <c r="AA53" s="42"/>
      <c r="AB53" s="42"/>
    </row>
    <row r="54" spans="1:33" ht="12.75" customHeight="1">
      <c r="A54" s="77">
        <v>2023</v>
      </c>
      <c r="B54" s="1"/>
      <c r="C54" s="49">
        <v>203900</v>
      </c>
      <c r="D54" s="49">
        <v>1739300</v>
      </c>
      <c r="E54" s="49">
        <v>522600</v>
      </c>
      <c r="F54" s="49">
        <v>354100</v>
      </c>
      <c r="G54" s="49">
        <v>52600</v>
      </c>
      <c r="H54" s="49">
        <v>184800</v>
      </c>
      <c r="I54" s="49">
        <v>128700</v>
      </c>
      <c r="J54" s="49">
        <v>260900</v>
      </c>
      <c r="K54" s="49">
        <v>550500</v>
      </c>
      <c r="L54" s="49">
        <v>167200</v>
      </c>
      <c r="M54" s="49">
        <v>666300</v>
      </c>
      <c r="N54" s="49">
        <v>32900</v>
      </c>
      <c r="O54" s="49">
        <v>254600</v>
      </c>
      <c r="P54" s="49">
        <v>103900</v>
      </c>
      <c r="Q54" s="49">
        <v>730</v>
      </c>
      <c r="R54" s="49">
        <v>5223100</v>
      </c>
      <c r="T54" s="49"/>
      <c r="U54" s="49"/>
      <c r="AA54" s="42"/>
      <c r="AB54" s="42"/>
    </row>
    <row r="55" spans="1:33">
      <c r="A55" s="75" t="s">
        <v>169</v>
      </c>
      <c r="B55" s="76"/>
      <c r="C55" s="76"/>
      <c r="D55" s="76"/>
      <c r="E55" s="76"/>
      <c r="F55" s="76"/>
      <c r="G55" s="76"/>
      <c r="H55" s="76"/>
      <c r="I55" s="76"/>
      <c r="J55" s="76"/>
      <c r="K55" s="76"/>
      <c r="L55" s="76"/>
      <c r="M55" s="76"/>
      <c r="N55" s="76"/>
      <c r="O55" s="76"/>
      <c r="P55" s="76"/>
      <c r="Q55" s="154"/>
      <c r="R55" s="154"/>
    </row>
    <row r="56" spans="1:33">
      <c r="A56" s="77"/>
      <c r="B56" s="76"/>
      <c r="C56" s="76"/>
      <c r="D56" s="76"/>
      <c r="E56" s="76"/>
      <c r="F56" s="76"/>
      <c r="G56" s="76"/>
      <c r="H56" s="76"/>
      <c r="I56" s="76"/>
      <c r="J56" s="76"/>
      <c r="K56" s="76"/>
      <c r="L56" s="76"/>
      <c r="M56" s="76"/>
      <c r="N56" s="76"/>
      <c r="O56" s="76"/>
      <c r="P56" s="76"/>
      <c r="Q56" s="1"/>
      <c r="R56" s="1"/>
    </row>
    <row r="57" spans="1:33" ht="24" customHeight="1">
      <c r="A57" s="75" t="s">
        <v>170</v>
      </c>
      <c r="B57" s="49"/>
      <c r="C57" s="49"/>
      <c r="D57" s="49"/>
      <c r="E57" s="49"/>
      <c r="F57" s="49"/>
      <c r="G57" s="49"/>
      <c r="H57" s="49"/>
      <c r="I57" s="49"/>
      <c r="J57" s="49"/>
      <c r="K57" s="49"/>
      <c r="L57" s="49"/>
      <c r="M57" s="49"/>
      <c r="N57" s="49"/>
      <c r="O57" s="49"/>
      <c r="P57" s="49"/>
      <c r="Q57" s="1"/>
      <c r="R57" s="1"/>
    </row>
    <row r="58" spans="1:33" ht="21.5">
      <c r="A58" s="77"/>
      <c r="B58" s="1"/>
      <c r="C58" s="76" t="s">
        <v>142</v>
      </c>
      <c r="D58" s="76" t="s">
        <v>143</v>
      </c>
      <c r="E58" s="76" t="s">
        <v>157</v>
      </c>
      <c r="F58" s="76" t="s">
        <v>158</v>
      </c>
      <c r="G58" s="76" t="s">
        <v>144</v>
      </c>
      <c r="H58" s="76" t="s">
        <v>165</v>
      </c>
      <c r="I58" s="76" t="s">
        <v>146</v>
      </c>
      <c r="J58" s="49" t="s">
        <v>159</v>
      </c>
      <c r="K58" s="76" t="s">
        <v>148</v>
      </c>
      <c r="L58" s="76" t="s">
        <v>171</v>
      </c>
      <c r="M58" s="76" t="s">
        <v>150</v>
      </c>
      <c r="N58" s="76" t="s">
        <v>160</v>
      </c>
      <c r="O58" s="76" t="s">
        <v>161</v>
      </c>
      <c r="P58" s="76" t="s">
        <v>151</v>
      </c>
      <c r="Q58" s="49" t="s">
        <v>167</v>
      </c>
      <c r="R58" s="76" t="s">
        <v>168</v>
      </c>
      <c r="T58" s="90"/>
      <c r="U58" s="90"/>
      <c r="V58" s="90"/>
      <c r="W58" s="90"/>
      <c r="X58" s="90"/>
      <c r="Y58" s="90"/>
      <c r="Z58" s="90"/>
      <c r="AA58" s="90"/>
      <c r="AB58" s="90"/>
      <c r="AC58" s="90"/>
      <c r="AD58" s="90"/>
      <c r="AE58" s="90"/>
      <c r="AF58" s="90"/>
      <c r="AG58" s="90"/>
    </row>
    <row r="59" spans="1:33">
      <c r="A59" s="77">
        <v>2001</v>
      </c>
      <c r="B59" s="1"/>
      <c r="C59" s="63">
        <f t="shared" ref="C59:Q59" si="0">C5*1000/C32</f>
        <v>657.6246537396122</v>
      </c>
      <c r="D59" s="63">
        <f t="shared" si="0"/>
        <v>625.65131740950505</v>
      </c>
      <c r="E59" s="63">
        <f t="shared" si="0"/>
        <v>632.65472312703582</v>
      </c>
      <c r="F59" s="63">
        <f t="shared" si="0"/>
        <v>737.83313082219524</v>
      </c>
      <c r="G59" s="63">
        <f t="shared" si="0"/>
        <v>570.52747252747258</v>
      </c>
      <c r="H59" s="63">
        <f t="shared" si="0"/>
        <v>650.17651052274266</v>
      </c>
      <c r="I59" s="63">
        <f t="shared" si="0"/>
        <v>636.73604541154214</v>
      </c>
      <c r="J59" s="63">
        <f t="shared" si="0"/>
        <v>650.56703296703301</v>
      </c>
      <c r="K59" s="63">
        <f t="shared" si="0"/>
        <v>582.92367105860967</v>
      </c>
      <c r="L59" s="63">
        <f t="shared" si="0"/>
        <v>737.25396825396831</v>
      </c>
      <c r="M59" s="63">
        <f t="shared" si="0"/>
        <v>754.65270787195493</v>
      </c>
      <c r="N59" s="63">
        <f t="shared" si="0"/>
        <v>614.72668810289395</v>
      </c>
      <c r="O59" s="63">
        <f t="shared" si="0"/>
        <v>599.8990971853425</v>
      </c>
      <c r="P59" s="63">
        <f t="shared" si="0"/>
        <v>738.85316184351552</v>
      </c>
      <c r="Q59" s="63">
        <f t="shared" si="0"/>
        <v>218.66666666666666</v>
      </c>
      <c r="R59" s="63">
        <f>R5*1000/R32</f>
        <v>660.64965854915602</v>
      </c>
    </row>
    <row r="60" spans="1:33">
      <c r="A60" s="77">
        <v>2002</v>
      </c>
      <c r="B60" s="1"/>
      <c r="C60" s="63">
        <f t="shared" ref="C60:R60" si="1">C6*1000/C33</f>
        <v>628.20547945205476</v>
      </c>
      <c r="D60" s="63">
        <f t="shared" si="1"/>
        <v>630.81382385730217</v>
      </c>
      <c r="E60" s="63">
        <f t="shared" si="1"/>
        <v>660.99892876272099</v>
      </c>
      <c r="F60" s="63">
        <f t="shared" si="1"/>
        <v>753.25089748703635</v>
      </c>
      <c r="G60" s="63">
        <f t="shared" si="1"/>
        <v>582.52747252747258</v>
      </c>
      <c r="H60" s="63">
        <f t="shared" si="1"/>
        <v>662.57239057239053</v>
      </c>
      <c r="I60" s="63">
        <f t="shared" si="1"/>
        <v>658.51746931067044</v>
      </c>
      <c r="J60" s="63">
        <f t="shared" si="1"/>
        <v>663.10798946444254</v>
      </c>
      <c r="K60" s="63">
        <f t="shared" si="1"/>
        <v>589.85643786451328</v>
      </c>
      <c r="L60" s="63">
        <f t="shared" si="1"/>
        <v>761.8039215686274</v>
      </c>
      <c r="M60" s="63">
        <f t="shared" si="1"/>
        <v>772.87071866957035</v>
      </c>
      <c r="N60" s="63">
        <f t="shared" si="1"/>
        <v>640.90032154340838</v>
      </c>
      <c r="O60" s="63">
        <f t="shared" si="1"/>
        <v>615.35078534031413</v>
      </c>
      <c r="P60" s="63">
        <f t="shared" si="1"/>
        <v>762.47058823529414</v>
      </c>
      <c r="Q60" s="63">
        <f t="shared" si="1"/>
        <v>228.76712328767124</v>
      </c>
      <c r="R60" s="63">
        <f t="shared" si="1"/>
        <v>670.63745726225147</v>
      </c>
    </row>
    <row r="61" spans="1:33">
      <c r="A61" s="77">
        <v>2003</v>
      </c>
      <c r="B61" s="1"/>
      <c r="C61" s="63">
        <f t="shared" ref="C61:R61" si="2">C7*1000/C34</f>
        <v>638.41784989858013</v>
      </c>
      <c r="D61" s="63">
        <f t="shared" si="2"/>
        <v>645.96177558569661</v>
      </c>
      <c r="E61" s="63">
        <f t="shared" si="2"/>
        <v>675.78322784810132</v>
      </c>
      <c r="F61" s="63">
        <f t="shared" si="2"/>
        <v>769.06666666666672</v>
      </c>
      <c r="G61" s="63">
        <f t="shared" si="2"/>
        <v>591.79039301310047</v>
      </c>
      <c r="H61" s="63">
        <f t="shared" si="2"/>
        <v>682.20883534136544</v>
      </c>
      <c r="I61" s="63">
        <f t="shared" si="2"/>
        <v>671.35084427767356</v>
      </c>
      <c r="J61" s="63">
        <f t="shared" si="2"/>
        <v>674.94971578487105</v>
      </c>
      <c r="K61" s="63">
        <f t="shared" si="2"/>
        <v>598.63586115410124</v>
      </c>
      <c r="L61" s="63">
        <f t="shared" si="2"/>
        <v>789.50579150579154</v>
      </c>
      <c r="M61" s="63">
        <f t="shared" si="2"/>
        <v>794.20368574199802</v>
      </c>
      <c r="N61" s="63">
        <f t="shared" si="2"/>
        <v>657.45222929936301</v>
      </c>
      <c r="O61" s="63">
        <f t="shared" si="2"/>
        <v>636.31007751937989</v>
      </c>
      <c r="P61" s="63">
        <f t="shared" si="2"/>
        <v>773.67693942614244</v>
      </c>
      <c r="Q61" s="63">
        <f t="shared" si="2"/>
        <v>229.57746478873239</v>
      </c>
      <c r="R61" s="63">
        <f t="shared" si="2"/>
        <v>685.21056813667064</v>
      </c>
    </row>
    <row r="62" spans="1:33">
      <c r="A62" s="77">
        <v>2004</v>
      </c>
      <c r="B62" s="1"/>
      <c r="C62" s="63">
        <f t="shared" ref="C62:R62" si="3">C8*1000/C35</f>
        <v>664.37458193979933</v>
      </c>
      <c r="D62" s="63">
        <f t="shared" si="3"/>
        <v>656.49849170437403</v>
      </c>
      <c r="E62" s="63">
        <f t="shared" si="3"/>
        <v>696.54096228868661</v>
      </c>
      <c r="F62" s="63">
        <f t="shared" si="3"/>
        <v>789.80316480123508</v>
      </c>
      <c r="G62" s="63">
        <f t="shared" si="3"/>
        <v>616.83406113537114</v>
      </c>
      <c r="H62" s="63">
        <f t="shared" si="3"/>
        <v>699.88031914893622</v>
      </c>
      <c r="I62" s="63">
        <f t="shared" si="3"/>
        <v>689.40074906367045</v>
      </c>
      <c r="J62" s="63">
        <f t="shared" si="3"/>
        <v>692.1073298429319</v>
      </c>
      <c r="K62" s="63">
        <f t="shared" si="3"/>
        <v>610.06334643949322</v>
      </c>
      <c r="L62" s="63">
        <f t="shared" si="3"/>
        <v>830.26615969581746</v>
      </c>
      <c r="M62" s="63">
        <f t="shared" si="3"/>
        <v>813.20121951219517</v>
      </c>
      <c r="N62" s="63">
        <f t="shared" si="3"/>
        <v>688.25396825396831</v>
      </c>
      <c r="O62" s="63">
        <f t="shared" si="3"/>
        <v>658.10617662072491</v>
      </c>
      <c r="P62" s="63">
        <f t="shared" si="3"/>
        <v>792.31668437832093</v>
      </c>
      <c r="Q62" s="63">
        <f t="shared" si="3"/>
        <v>246.37681159420291</v>
      </c>
      <c r="R62" s="63">
        <f t="shared" si="3"/>
        <v>701.42605504587152</v>
      </c>
    </row>
    <row r="63" spans="1:33">
      <c r="A63" s="77">
        <v>2005</v>
      </c>
      <c r="B63" s="1"/>
      <c r="C63" s="63">
        <f t="shared" ref="C63:R63" si="4">C9*1000/C36</f>
        <v>694.17218543046363</v>
      </c>
      <c r="D63" s="63">
        <f t="shared" si="4"/>
        <v>668.04507376380752</v>
      </c>
      <c r="E63" s="63">
        <f t="shared" si="4"/>
        <v>718.77540519680986</v>
      </c>
      <c r="F63" s="63">
        <f t="shared" si="4"/>
        <v>811.55987795575891</v>
      </c>
      <c r="G63" s="63">
        <f t="shared" si="4"/>
        <v>636.81917211328971</v>
      </c>
      <c r="H63" s="63">
        <f t="shared" si="4"/>
        <v>720.46957671957671</v>
      </c>
      <c r="I63" s="63">
        <f t="shared" si="4"/>
        <v>719.24157303370782</v>
      </c>
      <c r="J63" s="63">
        <f t="shared" si="4"/>
        <v>710.14416775884661</v>
      </c>
      <c r="K63" s="63">
        <f t="shared" si="4"/>
        <v>624.95883882149042</v>
      </c>
      <c r="L63" s="63">
        <f t="shared" si="4"/>
        <v>848.39366515837105</v>
      </c>
      <c r="M63" s="63">
        <f t="shared" si="4"/>
        <v>829.05621357398002</v>
      </c>
      <c r="N63" s="63">
        <f t="shared" si="4"/>
        <v>706.22641509433959</v>
      </c>
      <c r="O63" s="63">
        <f t="shared" si="4"/>
        <v>676.48307225871656</v>
      </c>
      <c r="P63" s="63">
        <f t="shared" si="4"/>
        <v>811.17395944503733</v>
      </c>
      <c r="Q63" s="63">
        <f t="shared" si="4"/>
        <v>243.28358208955223</v>
      </c>
      <c r="R63" s="63">
        <f t="shared" si="4"/>
        <v>717.77304724352302</v>
      </c>
    </row>
    <row r="64" spans="1:33">
      <c r="A64" s="77">
        <v>2006</v>
      </c>
      <c r="B64" s="1"/>
      <c r="C64" s="63">
        <f t="shared" ref="C64:R64" si="5">C10*1000/C37</f>
        <v>720.7138179436804</v>
      </c>
      <c r="D64" s="63">
        <f t="shared" si="5"/>
        <v>666.18281136198107</v>
      </c>
      <c r="E64" s="63">
        <f t="shared" si="5"/>
        <v>727.61953204476094</v>
      </c>
      <c r="F64" s="63">
        <f t="shared" si="5"/>
        <v>821.78665661515265</v>
      </c>
      <c r="G64" s="63">
        <f t="shared" si="5"/>
        <v>653.45652173913038</v>
      </c>
      <c r="H64" s="63">
        <f t="shared" si="5"/>
        <v>731.91321499013804</v>
      </c>
      <c r="I64" s="63">
        <f t="shared" si="5"/>
        <v>735.70363466915194</v>
      </c>
      <c r="J64" s="63">
        <f t="shared" si="5"/>
        <v>726.8265039232781</v>
      </c>
      <c r="K64" s="63">
        <f t="shared" si="5"/>
        <v>629.78340124383442</v>
      </c>
      <c r="L64" s="63">
        <f t="shared" si="5"/>
        <v>863.94913986537028</v>
      </c>
      <c r="M64" s="63">
        <f t="shared" si="5"/>
        <v>835.50370370370365</v>
      </c>
      <c r="N64" s="63">
        <f t="shared" si="5"/>
        <v>728.09968847352025</v>
      </c>
      <c r="O64" s="63">
        <f t="shared" si="5"/>
        <v>684.53453453453449</v>
      </c>
      <c r="P64" s="63">
        <f t="shared" si="5"/>
        <v>829.18454935622321</v>
      </c>
      <c r="Q64" s="63">
        <f t="shared" si="5"/>
        <v>258.46153846153845</v>
      </c>
      <c r="R64" s="63">
        <f t="shared" si="5"/>
        <v>724.05176121971033</v>
      </c>
    </row>
    <row r="65" spans="1:18">
      <c r="A65" s="77">
        <v>2007</v>
      </c>
      <c r="B65" s="1"/>
      <c r="C65" s="63">
        <f t="shared" ref="C65:R65" si="6">C11*1000/C38</f>
        <v>720.40723981900453</v>
      </c>
      <c r="D65" s="63">
        <f t="shared" si="6"/>
        <v>672.43958573072496</v>
      </c>
      <c r="E65" s="63">
        <f t="shared" si="6"/>
        <v>735.61792096652403</v>
      </c>
      <c r="F65" s="63">
        <f t="shared" si="6"/>
        <v>831.75811870100779</v>
      </c>
      <c r="G65" s="63">
        <f t="shared" si="6"/>
        <v>663.304347826087</v>
      </c>
      <c r="H65" s="63">
        <f t="shared" si="6"/>
        <v>740.66056245912364</v>
      </c>
      <c r="I65" s="63">
        <f t="shared" si="6"/>
        <v>751.66356877323415</v>
      </c>
      <c r="J65" s="63">
        <f t="shared" si="6"/>
        <v>738.10668998688243</v>
      </c>
      <c r="K65" s="63">
        <f t="shared" si="6"/>
        <v>632.8915405923716</v>
      </c>
      <c r="L65" s="63">
        <f t="shared" si="6"/>
        <v>883.31848552338533</v>
      </c>
      <c r="M65" s="63">
        <f t="shared" si="6"/>
        <v>840.70880526123494</v>
      </c>
      <c r="N65" s="63">
        <f t="shared" si="6"/>
        <v>743.25077399380802</v>
      </c>
      <c r="O65" s="63">
        <f t="shared" si="6"/>
        <v>695.83582089552237</v>
      </c>
      <c r="P65" s="63">
        <f t="shared" si="6"/>
        <v>843.94199785177227</v>
      </c>
      <c r="Q65" s="63">
        <f t="shared" si="6"/>
        <v>256.25</v>
      </c>
      <c r="R65" s="63">
        <f t="shared" si="6"/>
        <v>731.30498603153558</v>
      </c>
    </row>
    <row r="66" spans="1:18">
      <c r="A66" s="77">
        <v>2008</v>
      </c>
      <c r="B66" s="1"/>
      <c r="C66" s="63">
        <f t="shared" ref="C66:R66" si="7">C12*1000/C39</f>
        <v>719.21944977607166</v>
      </c>
      <c r="D66" s="63">
        <f t="shared" si="7"/>
        <v>666.76129491284246</v>
      </c>
      <c r="E66" s="63">
        <f t="shared" si="7"/>
        <v>735.19671314741038</v>
      </c>
      <c r="F66" s="63">
        <f t="shared" si="7"/>
        <v>828.80829015544043</v>
      </c>
      <c r="G66" s="63">
        <f t="shared" si="7"/>
        <v>659.56521739130437</v>
      </c>
      <c r="H66" s="63">
        <f t="shared" si="7"/>
        <v>739.71335504885997</v>
      </c>
      <c r="I66" s="63">
        <f t="shared" si="7"/>
        <v>763.64727608494923</v>
      </c>
      <c r="J66" s="63">
        <f t="shared" si="7"/>
        <v>739.56692913385825</v>
      </c>
      <c r="K66" s="63">
        <f t="shared" si="7"/>
        <v>630.29885544722345</v>
      </c>
      <c r="L66" s="63">
        <f t="shared" si="7"/>
        <v>886.33554083885213</v>
      </c>
      <c r="M66" s="63">
        <f t="shared" si="7"/>
        <v>839.64969302997474</v>
      </c>
      <c r="N66" s="63">
        <f t="shared" si="7"/>
        <v>762.68518518518522</v>
      </c>
      <c r="O66" s="63">
        <f t="shared" si="7"/>
        <v>702.78574962889661</v>
      </c>
      <c r="P66" s="63">
        <f t="shared" si="7"/>
        <v>861.22186495176845</v>
      </c>
      <c r="Q66" s="63">
        <f t="shared" si="7"/>
        <v>256.25</v>
      </c>
      <c r="R66" s="63">
        <f t="shared" si="7"/>
        <v>729.83520353068218</v>
      </c>
    </row>
    <row r="67" spans="1:18">
      <c r="A67" s="77">
        <v>2009</v>
      </c>
      <c r="B67" s="1"/>
      <c r="C67" s="63">
        <f t="shared" ref="C67:R67" si="8">C13*1000/C40</f>
        <v>707.43994943109988</v>
      </c>
      <c r="D67" s="63">
        <f t="shared" si="8"/>
        <v>658.81690933389609</v>
      </c>
      <c r="E67" s="63">
        <f t="shared" si="8"/>
        <v>722.44958189867191</v>
      </c>
      <c r="F67" s="63">
        <f t="shared" si="8"/>
        <v>819.17491749174917</v>
      </c>
      <c r="G67" s="63">
        <f t="shared" si="8"/>
        <v>648.20734341252705</v>
      </c>
      <c r="H67" s="63">
        <f t="shared" si="8"/>
        <v>730.20064724919098</v>
      </c>
      <c r="I67" s="63">
        <f t="shared" si="8"/>
        <v>758.40805123513269</v>
      </c>
      <c r="J67" s="63">
        <f t="shared" si="8"/>
        <v>730.84605320540777</v>
      </c>
      <c r="K67" s="63">
        <f t="shared" si="8"/>
        <v>623.27375946173254</v>
      </c>
      <c r="L67" s="63">
        <f t="shared" si="8"/>
        <v>860.37199124726476</v>
      </c>
      <c r="M67" s="63">
        <f t="shared" si="8"/>
        <v>829.39172315376379</v>
      </c>
      <c r="N67" s="63">
        <f t="shared" si="8"/>
        <v>776.26911314984704</v>
      </c>
      <c r="O67" s="63">
        <f t="shared" si="8"/>
        <v>696.04033448106247</v>
      </c>
      <c r="P67" s="63">
        <f t="shared" si="8"/>
        <v>863.86581469648559</v>
      </c>
      <c r="Q67" s="63">
        <f t="shared" si="8"/>
        <v>264.0625</v>
      </c>
      <c r="R67" s="63">
        <f t="shared" si="8"/>
        <v>720.55524566541158</v>
      </c>
    </row>
    <row r="68" spans="1:18">
      <c r="A68" s="77">
        <v>2010</v>
      </c>
      <c r="B68" s="1"/>
      <c r="C68" s="63">
        <f t="shared" ref="C68:R68" si="9">C14*1000/C41</f>
        <v>694.70734744707352</v>
      </c>
      <c r="D68" s="63">
        <f t="shared" si="9"/>
        <v>661.16351764378999</v>
      </c>
      <c r="E68" s="63">
        <f t="shared" si="9"/>
        <v>716.99078564500485</v>
      </c>
      <c r="F68" s="63">
        <f t="shared" si="9"/>
        <v>811.38556401886103</v>
      </c>
      <c r="G68" s="63">
        <f t="shared" si="9"/>
        <v>642.3982869379015</v>
      </c>
      <c r="H68" s="63">
        <f t="shared" si="9"/>
        <v>719.89123480486239</v>
      </c>
      <c r="I68" s="63">
        <f t="shared" si="9"/>
        <v>749.90063233965668</v>
      </c>
      <c r="J68" s="63">
        <f t="shared" si="9"/>
        <v>724.8046875</v>
      </c>
      <c r="K68" s="63">
        <f t="shared" si="9"/>
        <v>621.83354192740921</v>
      </c>
      <c r="L68" s="63">
        <f t="shared" si="9"/>
        <v>852.49819494584835</v>
      </c>
      <c r="M68" s="63">
        <f t="shared" si="9"/>
        <v>824.97093535317947</v>
      </c>
      <c r="N68" s="63">
        <f t="shared" si="9"/>
        <v>779.26829268292681</v>
      </c>
      <c r="O68" s="63">
        <f t="shared" si="9"/>
        <v>698.68035190615831</v>
      </c>
      <c r="P68" s="63">
        <f t="shared" si="9"/>
        <v>857.97254487856389</v>
      </c>
      <c r="Q68" s="63">
        <f t="shared" si="9"/>
        <v>245.3125</v>
      </c>
      <c r="R68" s="63">
        <f t="shared" si="9"/>
        <v>717.79690624497209</v>
      </c>
    </row>
    <row r="69" spans="1:18">
      <c r="A69" s="77">
        <v>2011</v>
      </c>
      <c r="B69" s="1"/>
      <c r="C69" s="63">
        <f t="shared" ref="C69:R69" si="10">C15*1000/C42</f>
        <v>680.03076923076924</v>
      </c>
      <c r="D69" s="63">
        <f t="shared" si="10"/>
        <v>654.49917785694709</v>
      </c>
      <c r="E69" s="63">
        <f t="shared" si="10"/>
        <v>710.1581595974119</v>
      </c>
      <c r="F69" s="63">
        <f t="shared" si="10"/>
        <v>801.8368080517613</v>
      </c>
      <c r="G69" s="63">
        <f t="shared" si="10"/>
        <v>634.16666666666663</v>
      </c>
      <c r="H69" s="63">
        <f t="shared" si="10"/>
        <v>708.06738715829624</v>
      </c>
      <c r="I69" s="63">
        <f t="shared" si="10"/>
        <v>743.37209302325584</v>
      </c>
      <c r="J69" s="63">
        <f t="shared" si="10"/>
        <v>713.80025940337225</v>
      </c>
      <c r="K69" s="63">
        <f t="shared" si="10"/>
        <v>613.51675630947454</v>
      </c>
      <c r="L69" s="63">
        <f t="shared" si="10"/>
        <v>843.59686609686605</v>
      </c>
      <c r="M69" s="63">
        <f t="shared" si="10"/>
        <v>831.31235472912567</v>
      </c>
      <c r="N69" s="63">
        <f t="shared" si="10"/>
        <v>777.55287009063443</v>
      </c>
      <c r="O69" s="63">
        <f t="shared" si="10"/>
        <v>695.60987415295256</v>
      </c>
      <c r="P69" s="63">
        <f t="shared" si="10"/>
        <v>849.26854754440956</v>
      </c>
      <c r="Q69" s="63">
        <f t="shared" si="10"/>
        <v>232.8125</v>
      </c>
      <c r="R69" s="63">
        <f t="shared" si="10"/>
        <v>711.25980839416059</v>
      </c>
    </row>
    <row r="70" spans="1:18">
      <c r="A70" s="77">
        <v>2012</v>
      </c>
      <c r="B70" s="1"/>
      <c r="C70" s="63">
        <f t="shared" ref="C70:R70" si="11">C16*1000/C43</f>
        <v>680.95412844036696</v>
      </c>
      <c r="D70" s="63">
        <f t="shared" si="11"/>
        <v>663.94784964442943</v>
      </c>
      <c r="E70" s="63">
        <f t="shared" si="11"/>
        <v>704.53380782918146</v>
      </c>
      <c r="F70" s="63">
        <f t="shared" si="11"/>
        <v>808.30344332855088</v>
      </c>
      <c r="G70" s="63">
        <f t="shared" si="11"/>
        <v>632.59574468085111</v>
      </c>
      <c r="H70" s="63">
        <f t="shared" si="11"/>
        <v>711.13015873015877</v>
      </c>
      <c r="I70" s="63">
        <f t="shared" si="11"/>
        <v>745.59006211180122</v>
      </c>
      <c r="J70" s="63">
        <f t="shared" si="11"/>
        <v>719.37283737024222</v>
      </c>
      <c r="K70" s="63">
        <f t="shared" si="11"/>
        <v>617.46237889095028</v>
      </c>
      <c r="L70" s="63">
        <f t="shared" si="11"/>
        <v>845.60113154172564</v>
      </c>
      <c r="M70" s="63">
        <f t="shared" si="11"/>
        <v>854.81115107913672</v>
      </c>
      <c r="N70" s="63">
        <f t="shared" si="11"/>
        <v>788.88217522658613</v>
      </c>
      <c r="O70" s="63">
        <f t="shared" si="11"/>
        <v>699.23336547733845</v>
      </c>
      <c r="P70" s="63">
        <f t="shared" si="11"/>
        <v>856.3399374348279</v>
      </c>
      <c r="Q70" s="63">
        <f t="shared" si="11"/>
        <v>248.33333333333334</v>
      </c>
      <c r="R70" s="63">
        <f t="shared" si="11"/>
        <v>718.30176266418641</v>
      </c>
    </row>
    <row r="71" spans="1:18">
      <c r="A71" s="77">
        <v>2013</v>
      </c>
      <c r="B71" s="1"/>
      <c r="C71" s="63">
        <f t="shared" ref="C71:R71" si="12">C17*1000/C44</f>
        <v>691.58469945355193</v>
      </c>
      <c r="D71" s="63">
        <f t="shared" si="12"/>
        <v>675.66501473345829</v>
      </c>
      <c r="E71" s="63">
        <f t="shared" si="12"/>
        <v>721.07395195478102</v>
      </c>
      <c r="F71" s="63">
        <f t="shared" si="12"/>
        <v>819.95709688952445</v>
      </c>
      <c r="G71" s="63">
        <f t="shared" si="12"/>
        <v>636.82978723404256</v>
      </c>
      <c r="H71" s="63">
        <f t="shared" si="12"/>
        <v>719.0632911392405</v>
      </c>
      <c r="I71" s="63">
        <f t="shared" si="12"/>
        <v>755.71302816901414</v>
      </c>
      <c r="J71" s="63">
        <f t="shared" si="12"/>
        <v>728.0666089965398</v>
      </c>
      <c r="K71" s="63">
        <f t="shared" si="12"/>
        <v>625.27018697349502</v>
      </c>
      <c r="L71" s="63">
        <f t="shared" si="12"/>
        <v>860.40787623066103</v>
      </c>
      <c r="M71" s="63">
        <f t="shared" si="12"/>
        <v>873.1248889678451</v>
      </c>
      <c r="N71" s="63">
        <f t="shared" si="12"/>
        <v>798.21212121212125</v>
      </c>
      <c r="O71" s="63">
        <f t="shared" si="12"/>
        <v>708.95593869731806</v>
      </c>
      <c r="P71" s="63">
        <f t="shared" si="12"/>
        <v>865.1875</v>
      </c>
      <c r="Q71" s="63">
        <f t="shared" si="12"/>
        <v>283.33333333333331</v>
      </c>
      <c r="R71" s="63">
        <f t="shared" si="12"/>
        <v>730.30053353143785</v>
      </c>
    </row>
    <row r="72" spans="1:18">
      <c r="A72" s="77">
        <v>2014</v>
      </c>
      <c r="B72" s="1"/>
      <c r="C72" s="63">
        <f t="shared" ref="C72:R72" si="13">C18*1000/C45</f>
        <v>695</v>
      </c>
      <c r="D72" s="63">
        <f t="shared" si="13"/>
        <v>699.12654564588263</v>
      </c>
      <c r="E72" s="63">
        <f t="shared" si="13"/>
        <v>730.53885291396853</v>
      </c>
      <c r="F72" s="63">
        <f t="shared" si="13"/>
        <v>822.47116392869623</v>
      </c>
      <c r="G72" s="63">
        <f t="shared" si="13"/>
        <v>641.2421052631579</v>
      </c>
      <c r="H72" s="63">
        <f t="shared" si="13"/>
        <v>718.12189054726366</v>
      </c>
      <c r="I72" s="63">
        <f t="shared" si="13"/>
        <v>758.80869565217392</v>
      </c>
      <c r="J72" s="63">
        <f t="shared" si="13"/>
        <v>735.63193851409051</v>
      </c>
      <c r="K72" s="63">
        <f t="shared" si="13"/>
        <v>628.37788578371806</v>
      </c>
      <c r="L72" s="63">
        <f t="shared" si="13"/>
        <v>871.85210780926059</v>
      </c>
      <c r="M72" s="63">
        <f t="shared" si="13"/>
        <v>895.7500876270592</v>
      </c>
      <c r="N72" s="63">
        <f t="shared" si="13"/>
        <v>795.86626139817633</v>
      </c>
      <c r="O72" s="63">
        <f t="shared" si="13"/>
        <v>717.24235294117648</v>
      </c>
      <c r="P72" s="63">
        <f t="shared" si="13"/>
        <v>876.53925619834706</v>
      </c>
      <c r="Q72" s="63">
        <f t="shared" si="13"/>
        <v>275.40983606557376</v>
      </c>
      <c r="R72" s="63">
        <f t="shared" si="13"/>
        <v>743.88730211446921</v>
      </c>
    </row>
    <row r="73" spans="1:18">
      <c r="A73" s="77">
        <v>2015</v>
      </c>
      <c r="B73" s="1"/>
      <c r="C73" s="63">
        <f t="shared" ref="C73:R73" si="14">C19*1000/C46</f>
        <v>702.53922138291693</v>
      </c>
      <c r="D73" s="63">
        <f t="shared" si="14"/>
        <v>718.37197320968573</v>
      </c>
      <c r="E73" s="63">
        <f t="shared" si="14"/>
        <v>742.24836009952503</v>
      </c>
      <c r="F73" s="63">
        <f t="shared" si="14"/>
        <v>833.11732605729878</v>
      </c>
      <c r="G73" s="63">
        <f t="shared" si="14"/>
        <v>644.53222453222452</v>
      </c>
      <c r="H73" s="63">
        <f t="shared" si="14"/>
        <v>724.94807574832009</v>
      </c>
      <c r="I73" s="63">
        <f t="shared" si="14"/>
        <v>760.04288164665525</v>
      </c>
      <c r="J73" s="63">
        <f t="shared" si="14"/>
        <v>744.47346251053079</v>
      </c>
      <c r="K73" s="63">
        <f t="shared" si="14"/>
        <v>630.89876444798722</v>
      </c>
      <c r="L73" s="63">
        <f t="shared" si="14"/>
        <v>893.54816824966076</v>
      </c>
      <c r="M73" s="63">
        <f t="shared" si="14"/>
        <v>902.94569672131149</v>
      </c>
      <c r="N73" s="63">
        <f t="shared" si="14"/>
        <v>793.01829268292681</v>
      </c>
      <c r="O73" s="63">
        <f t="shared" si="14"/>
        <v>725.09659613615452</v>
      </c>
      <c r="P73" s="63">
        <f t="shared" si="14"/>
        <v>887.69703172978507</v>
      </c>
      <c r="Q73" s="63">
        <f t="shared" si="14"/>
        <v>279.03225806451616</v>
      </c>
      <c r="R73" s="63">
        <f t="shared" si="14"/>
        <v>755.68620644769385</v>
      </c>
    </row>
    <row r="74" spans="1:18">
      <c r="A74" s="77">
        <v>2016</v>
      </c>
      <c r="B74" s="1"/>
      <c r="C74" s="63">
        <f t="shared" ref="C74:R74" si="15">C20*1000/C47</f>
        <v>716.64965986394554</v>
      </c>
      <c r="D74" s="63">
        <f t="shared" si="15"/>
        <v>737.5399421310857</v>
      </c>
      <c r="E74" s="63">
        <f t="shared" si="15"/>
        <v>755.1391342756184</v>
      </c>
      <c r="F74" s="63">
        <f t="shared" si="15"/>
        <v>853.40298507462683</v>
      </c>
      <c r="G74" s="63">
        <f t="shared" si="15"/>
        <v>646.37295081967216</v>
      </c>
      <c r="H74" s="63">
        <f t="shared" si="15"/>
        <v>741.39005392450565</v>
      </c>
      <c r="I74" s="63">
        <f t="shared" si="15"/>
        <v>763.82278481012656</v>
      </c>
      <c r="J74" s="63">
        <f t="shared" si="15"/>
        <v>756.07631688096228</v>
      </c>
      <c r="K74" s="63">
        <f t="shared" si="15"/>
        <v>641.98746818092809</v>
      </c>
      <c r="L74" s="63">
        <f t="shared" si="15"/>
        <v>925.811170212766</v>
      </c>
      <c r="M74" s="63">
        <f t="shared" si="15"/>
        <v>907.54444259843831</v>
      </c>
      <c r="N74" s="63">
        <f t="shared" si="15"/>
        <v>787.17325227963522</v>
      </c>
      <c r="O74" s="63">
        <f t="shared" si="15"/>
        <v>739.22456297624387</v>
      </c>
      <c r="P74" s="63">
        <f t="shared" si="15"/>
        <v>902.25252525252529</v>
      </c>
      <c r="Q74" s="63">
        <f t="shared" si="15"/>
        <v>275</v>
      </c>
      <c r="R74" s="63">
        <f t="shared" si="15"/>
        <v>770.35701406419037</v>
      </c>
    </row>
    <row r="75" spans="1:18">
      <c r="A75" s="77">
        <v>2017</v>
      </c>
      <c r="B75" s="1"/>
      <c r="C75" s="63">
        <f t="shared" ref="C75:R75" si="16">C21*1000/C48</f>
        <v>732.96909492273733</v>
      </c>
      <c r="D75" s="63">
        <f t="shared" si="16"/>
        <v>753.9677558304104</v>
      </c>
      <c r="E75" s="63">
        <f t="shared" si="16"/>
        <v>767.26666666666665</v>
      </c>
      <c r="F75" s="63">
        <f t="shared" si="16"/>
        <v>864.45264847512044</v>
      </c>
      <c r="G75" s="63">
        <f t="shared" si="16"/>
        <v>663.04878048780483</v>
      </c>
      <c r="H75" s="63">
        <f t="shared" si="16"/>
        <v>759.49322333529756</v>
      </c>
      <c r="I75" s="63">
        <f t="shared" si="16"/>
        <v>772.70833333333337</v>
      </c>
      <c r="J75" s="63">
        <f t="shared" si="16"/>
        <v>774.24068767908307</v>
      </c>
      <c r="K75" s="63">
        <f t="shared" si="16"/>
        <v>656.19139494501258</v>
      </c>
      <c r="L75" s="63">
        <f t="shared" si="16"/>
        <v>965.80117724002616</v>
      </c>
      <c r="M75" s="63">
        <f t="shared" si="16"/>
        <v>919.40257203320857</v>
      </c>
      <c r="N75" s="63">
        <f t="shared" si="16"/>
        <v>805.74923547400613</v>
      </c>
      <c r="O75" s="63">
        <f t="shared" si="16"/>
        <v>760.20541958041963</v>
      </c>
      <c r="P75" s="63">
        <f t="shared" si="16"/>
        <v>918.57857857857857</v>
      </c>
      <c r="Q75" s="63">
        <f t="shared" si="16"/>
        <v>269.69696969696969</v>
      </c>
      <c r="R75" s="63">
        <f t="shared" si="16"/>
        <v>786.05056506564733</v>
      </c>
    </row>
    <row r="76" spans="1:18">
      <c r="A76" s="77">
        <v>2018</v>
      </c>
      <c r="B76" s="1"/>
      <c r="C76" s="63">
        <f t="shared" ref="C76:R76" si="17">C22*1000/C49</f>
        <v>743.9451022604951</v>
      </c>
      <c r="D76" s="63">
        <f t="shared" si="17"/>
        <v>758.3019095963258</v>
      </c>
      <c r="E76" s="63">
        <f t="shared" si="17"/>
        <v>776.89444911690498</v>
      </c>
      <c r="F76" s="63">
        <f t="shared" si="17"/>
        <v>873.61596009975062</v>
      </c>
      <c r="G76" s="63">
        <f t="shared" si="17"/>
        <v>677.31313131313129</v>
      </c>
      <c r="H76" s="63">
        <f t="shared" si="17"/>
        <v>772.88863109048725</v>
      </c>
      <c r="I76" s="63">
        <f t="shared" si="17"/>
        <v>780</v>
      </c>
      <c r="J76" s="63">
        <f t="shared" si="17"/>
        <v>788.8525252525252</v>
      </c>
      <c r="K76" s="63">
        <f t="shared" si="17"/>
        <v>668.27343601445136</v>
      </c>
      <c r="L76" s="63">
        <f t="shared" si="17"/>
        <v>991.63449163449161</v>
      </c>
      <c r="M76" s="63">
        <f t="shared" si="17"/>
        <v>932.3121387283237</v>
      </c>
      <c r="N76" s="63">
        <f t="shared" si="17"/>
        <v>836.2962962962963</v>
      </c>
      <c r="O76" s="63">
        <f t="shared" si="17"/>
        <v>772.36595744680847</v>
      </c>
      <c r="P76" s="63">
        <f t="shared" si="17"/>
        <v>939.85074626865674</v>
      </c>
      <c r="Q76" s="63">
        <f t="shared" si="17"/>
        <v>266.66666666666669</v>
      </c>
      <c r="R76" s="63">
        <f t="shared" si="17"/>
        <v>795.82459290699103</v>
      </c>
    </row>
    <row r="77" spans="1:18">
      <c r="A77" s="77">
        <v>2019</v>
      </c>
      <c r="B77" s="1"/>
      <c r="C77" s="63">
        <f t="shared" ref="C77:R77" si="18">C23*1000/C50</f>
        <v>751.98307773664726</v>
      </c>
      <c r="D77" s="63">
        <f t="shared" si="18"/>
        <v>759.81383453280205</v>
      </c>
      <c r="E77" s="63">
        <f t="shared" si="18"/>
        <v>785.00514721021204</v>
      </c>
      <c r="F77" s="63">
        <f t="shared" si="18"/>
        <v>878.72943327239489</v>
      </c>
      <c r="G77" s="63">
        <f t="shared" si="18"/>
        <v>690.07968127490039</v>
      </c>
      <c r="H77" s="63">
        <f t="shared" si="18"/>
        <v>786.56375071469415</v>
      </c>
      <c r="I77" s="63">
        <f t="shared" si="18"/>
        <v>797.6198212835094</v>
      </c>
      <c r="J77" s="63">
        <f t="shared" si="18"/>
        <v>804.13407821229055</v>
      </c>
      <c r="K77" s="63">
        <f t="shared" si="18"/>
        <v>677.32444611340588</v>
      </c>
      <c r="L77" s="63">
        <f t="shared" si="18"/>
        <v>1000.4378172588832</v>
      </c>
      <c r="M77" s="63">
        <f t="shared" si="18"/>
        <v>938.85072027861327</v>
      </c>
      <c r="N77" s="63">
        <f t="shared" si="18"/>
        <v>856.09230769230771</v>
      </c>
      <c r="O77" s="63">
        <f t="shared" si="18"/>
        <v>785.05430242272348</v>
      </c>
      <c r="P77" s="63">
        <f t="shared" si="18"/>
        <v>952.8838582677165</v>
      </c>
      <c r="Q77" s="63">
        <f t="shared" si="18"/>
        <v>292.95774647887322</v>
      </c>
      <c r="R77" s="63">
        <f t="shared" si="18"/>
        <v>802.65805751928019</v>
      </c>
    </row>
    <row r="78" spans="1:18">
      <c r="A78" s="77">
        <v>2020</v>
      </c>
      <c r="B78" s="1"/>
      <c r="C78" s="63">
        <f t="shared" ref="C78:R78" si="19">C24*1000/C51</f>
        <v>754.3576567317574</v>
      </c>
      <c r="D78" s="63">
        <f t="shared" si="19"/>
        <v>738.56201143390501</v>
      </c>
      <c r="E78" s="63">
        <f t="shared" si="19"/>
        <v>780.81983603279343</v>
      </c>
      <c r="F78" s="63">
        <f t="shared" si="19"/>
        <v>871.6155660377359</v>
      </c>
      <c r="G78" s="63">
        <f t="shared" si="19"/>
        <v>696.55642023346309</v>
      </c>
      <c r="H78" s="63">
        <f t="shared" si="19"/>
        <v>784.50555555555559</v>
      </c>
      <c r="I78" s="63">
        <f t="shared" si="19"/>
        <v>801.87699680511184</v>
      </c>
      <c r="J78" s="63">
        <f t="shared" si="19"/>
        <v>812.40769835035348</v>
      </c>
      <c r="K78" s="63">
        <f t="shared" si="19"/>
        <v>681.02748570374467</v>
      </c>
      <c r="L78" s="63">
        <f t="shared" si="19"/>
        <v>966.28134556574923</v>
      </c>
      <c r="M78" s="63">
        <f t="shared" si="19"/>
        <v>928.22204968944095</v>
      </c>
      <c r="N78" s="63">
        <f t="shared" si="19"/>
        <v>871.4939024390244</v>
      </c>
      <c r="O78" s="63">
        <f t="shared" si="19"/>
        <v>780.94285714285718</v>
      </c>
      <c r="P78" s="63">
        <f t="shared" si="19"/>
        <v>959.10505836575874</v>
      </c>
      <c r="Q78" s="63">
        <f t="shared" si="19"/>
        <v>266.66666666666669</v>
      </c>
      <c r="R78" s="63">
        <f t="shared" si="19"/>
        <v>793.24820242819533</v>
      </c>
    </row>
    <row r="79" spans="1:18">
      <c r="A79" s="99">
        <v>2021</v>
      </c>
      <c r="B79" s="63"/>
      <c r="C79" s="63">
        <f t="shared" ref="C79:R79" si="20">C25*1000/C52</f>
        <v>773.33501259445848</v>
      </c>
      <c r="D79" s="63">
        <f t="shared" si="20"/>
        <v>750.01349211004867</v>
      </c>
      <c r="E79" s="63">
        <f t="shared" si="20"/>
        <v>798.37085308056874</v>
      </c>
      <c r="F79" s="63">
        <f t="shared" si="20"/>
        <v>886.13193839000292</v>
      </c>
      <c r="G79" s="63">
        <f t="shared" si="20"/>
        <v>714.8355899419729</v>
      </c>
      <c r="H79" s="63">
        <f t="shared" si="20"/>
        <v>797.43547501372871</v>
      </c>
      <c r="I79" s="63">
        <f t="shared" si="20"/>
        <v>813.2490118577075</v>
      </c>
      <c r="J79" s="63">
        <f t="shared" si="20"/>
        <v>829.06895208414494</v>
      </c>
      <c r="K79" s="63">
        <f t="shared" si="20"/>
        <v>693.23723834006614</v>
      </c>
      <c r="L79" s="63">
        <f t="shared" si="20"/>
        <v>967.76427703523689</v>
      </c>
      <c r="M79" s="63">
        <f t="shared" si="20"/>
        <v>945.08166409861326</v>
      </c>
      <c r="N79" s="63">
        <f t="shared" si="20"/>
        <v>887.84194528875378</v>
      </c>
      <c r="O79" s="63">
        <f t="shared" si="20"/>
        <v>795.43019480519479</v>
      </c>
      <c r="P79" s="63">
        <f t="shared" si="20"/>
        <v>978.9073170731707</v>
      </c>
      <c r="Q79" s="63">
        <f t="shared" si="20"/>
        <v>262.16216216216219</v>
      </c>
      <c r="R79" s="63">
        <f t="shared" si="20"/>
        <v>807.19210377007801</v>
      </c>
    </row>
    <row r="80" spans="1:18">
      <c r="A80" s="77">
        <v>2022</v>
      </c>
      <c r="B80" s="1"/>
      <c r="C80" s="63">
        <f t="shared" ref="C80:R80" si="21">C26*1000/C53</f>
        <v>779.11530815109347</v>
      </c>
      <c r="D80" s="63">
        <f t="shared" si="21"/>
        <v>770.94427701944096</v>
      </c>
      <c r="E80" s="63">
        <f t="shared" si="21"/>
        <v>803.14151497357602</v>
      </c>
      <c r="F80" s="63">
        <f t="shared" si="21"/>
        <v>895.23782069760739</v>
      </c>
      <c r="G80" s="63">
        <f t="shared" si="21"/>
        <v>722.03846153846155</v>
      </c>
      <c r="H80" s="63">
        <f t="shared" si="21"/>
        <v>810.77680525164112</v>
      </c>
      <c r="I80" s="63">
        <f t="shared" si="21"/>
        <v>829.06520031421837</v>
      </c>
      <c r="J80" s="63">
        <f t="shared" si="21"/>
        <v>837.63586956521738</v>
      </c>
      <c r="K80" s="63">
        <f t="shared" si="21"/>
        <v>701.62957513334561</v>
      </c>
      <c r="L80" s="63">
        <f t="shared" si="21"/>
        <v>976.44673123486677</v>
      </c>
      <c r="M80" s="63">
        <f t="shared" si="21"/>
        <v>965.47750229568408</v>
      </c>
      <c r="N80" s="63">
        <f t="shared" si="21"/>
        <v>916.46341463414637</v>
      </c>
      <c r="O80" s="63">
        <f t="shared" si="21"/>
        <v>812.57258064516134</v>
      </c>
      <c r="P80" s="63">
        <f t="shared" si="21"/>
        <v>996.69268292682932</v>
      </c>
      <c r="Q80" s="63">
        <f t="shared" si="21"/>
        <v>266.2162162162162</v>
      </c>
      <c r="R80" s="63">
        <f t="shared" si="21"/>
        <v>822.2522082388806</v>
      </c>
    </row>
    <row r="81" spans="1:18">
      <c r="A81" s="77">
        <v>2023</v>
      </c>
      <c r="B81" s="1"/>
      <c r="C81" s="63">
        <f t="shared" ref="C81:R81" si="22">C27*1000/C54</f>
        <v>774.13928396272684</v>
      </c>
      <c r="D81" s="63">
        <f t="shared" si="22"/>
        <v>766.04611050422579</v>
      </c>
      <c r="E81" s="63">
        <f t="shared" si="22"/>
        <v>790.48029085342523</v>
      </c>
      <c r="F81" s="63">
        <f t="shared" si="22"/>
        <v>881.97119457780286</v>
      </c>
      <c r="G81" s="63">
        <f t="shared" si="22"/>
        <v>716.04562737642584</v>
      </c>
      <c r="H81" s="63">
        <f t="shared" si="22"/>
        <v>798.25757575757575</v>
      </c>
      <c r="I81" s="63">
        <f t="shared" si="22"/>
        <v>829.3473193473194</v>
      </c>
      <c r="J81" s="63">
        <f t="shared" si="22"/>
        <v>832.40705251054044</v>
      </c>
      <c r="K81" s="63">
        <f t="shared" si="22"/>
        <v>695.80563124432331</v>
      </c>
      <c r="L81" s="63">
        <f t="shared" si="22"/>
        <v>972.17105263157896</v>
      </c>
      <c r="M81" s="63">
        <f t="shared" si="22"/>
        <v>967.02386312471856</v>
      </c>
      <c r="N81" s="63">
        <f t="shared" si="22"/>
        <v>934.16413373860178</v>
      </c>
      <c r="O81" s="63">
        <f t="shared" si="22"/>
        <v>808.99450117831896</v>
      </c>
      <c r="P81" s="63">
        <f t="shared" si="22"/>
        <v>986.66025024061594</v>
      </c>
      <c r="Q81" s="63">
        <f t="shared" si="22"/>
        <v>279.45205479452056</v>
      </c>
      <c r="R81" s="63">
        <f t="shared" si="22"/>
        <v>816.56104612203478</v>
      </c>
    </row>
    <row r="82" spans="1:18">
      <c r="A82" s="77"/>
      <c r="B82" s="1"/>
      <c r="C82" s="71"/>
      <c r="D82" s="71"/>
      <c r="E82" s="71"/>
      <c r="F82" s="71"/>
      <c r="G82" s="71"/>
      <c r="H82" s="71"/>
      <c r="I82" s="71"/>
      <c r="J82" s="71"/>
      <c r="K82" s="71"/>
      <c r="L82" s="71"/>
      <c r="M82" s="71"/>
      <c r="N82" s="71"/>
      <c r="O82" s="71"/>
      <c r="P82" s="71"/>
      <c r="Q82" s="1"/>
      <c r="R82" s="71"/>
    </row>
    <row r="83" spans="1:18">
      <c r="A83" s="77"/>
      <c r="B83" s="1"/>
      <c r="C83" s="71"/>
      <c r="D83" s="71"/>
      <c r="E83" s="71"/>
      <c r="F83" s="71"/>
      <c r="G83" s="71"/>
      <c r="H83" s="71"/>
      <c r="I83" s="71"/>
      <c r="J83" s="71"/>
      <c r="K83" s="71"/>
      <c r="L83" s="71"/>
      <c r="M83" s="71"/>
      <c r="N83" s="71"/>
      <c r="O83" s="71"/>
      <c r="P83" s="71"/>
      <c r="Q83" s="1"/>
      <c r="R83" s="71"/>
    </row>
    <row r="84" spans="1:18">
      <c r="A84" s="77"/>
      <c r="B84" s="1"/>
      <c r="C84" s="71"/>
      <c r="D84" s="71"/>
      <c r="E84" s="71"/>
      <c r="F84" s="71"/>
      <c r="G84" s="71"/>
      <c r="H84" s="71"/>
      <c r="I84" s="71"/>
      <c r="J84" s="71"/>
      <c r="K84" s="71"/>
      <c r="L84" s="71"/>
      <c r="M84" s="71"/>
      <c r="N84" s="71"/>
      <c r="O84" s="71"/>
      <c r="P84" s="71"/>
      <c r="Q84" s="1"/>
      <c r="R84" s="71"/>
    </row>
    <row r="85" spans="1:18">
      <c r="A85" s="77"/>
      <c r="B85" s="1"/>
      <c r="C85" s="71"/>
      <c r="D85" s="71"/>
      <c r="E85" s="71"/>
      <c r="F85" s="71"/>
      <c r="G85" s="71"/>
      <c r="H85" s="71"/>
      <c r="I85" s="71"/>
      <c r="J85" s="71"/>
      <c r="K85" s="71"/>
      <c r="L85" s="71"/>
      <c r="M85" s="71"/>
      <c r="N85" s="71"/>
      <c r="O85" s="71"/>
      <c r="P85" s="71"/>
      <c r="Q85" s="1"/>
      <c r="R85" s="71"/>
    </row>
    <row r="86" spans="1:18">
      <c r="A86" s="77"/>
      <c r="B86" s="1"/>
      <c r="C86" s="71"/>
      <c r="D86" s="71"/>
      <c r="E86" s="71"/>
      <c r="F86" s="71"/>
      <c r="G86" s="71"/>
      <c r="H86" s="71"/>
      <c r="I86" s="71"/>
      <c r="J86" s="71"/>
      <c r="K86" s="71"/>
      <c r="L86" s="71"/>
      <c r="M86" s="71"/>
      <c r="N86" s="71"/>
      <c r="O86" s="71"/>
      <c r="P86" s="71"/>
      <c r="Q86" s="1"/>
      <c r="R86" s="71"/>
    </row>
    <row r="87" spans="1:18">
      <c r="A87" s="77"/>
      <c r="B87" s="1"/>
      <c r="C87" s="71"/>
      <c r="D87" s="71"/>
      <c r="E87" s="71"/>
      <c r="F87" s="71"/>
      <c r="G87" s="71"/>
      <c r="H87" s="71"/>
      <c r="I87" s="71"/>
      <c r="J87" s="71"/>
      <c r="K87" s="71"/>
      <c r="L87" s="71"/>
      <c r="M87" s="71"/>
      <c r="N87" s="71"/>
      <c r="O87" s="71"/>
      <c r="P87" s="71"/>
      <c r="Q87" s="1"/>
      <c r="R87" s="71"/>
    </row>
    <row r="88" spans="1:18">
      <c r="A88" s="77"/>
      <c r="B88" s="1"/>
      <c r="C88" s="71"/>
      <c r="D88" s="71"/>
      <c r="E88" s="71"/>
      <c r="F88" s="71"/>
      <c r="G88" s="71"/>
      <c r="H88" s="71"/>
      <c r="I88" s="71"/>
      <c r="J88" s="71"/>
      <c r="K88" s="71"/>
      <c r="L88" s="71"/>
      <c r="M88" s="71"/>
      <c r="N88" s="71"/>
      <c r="O88" s="71"/>
      <c r="P88" s="71"/>
      <c r="Q88" s="1"/>
      <c r="R88" s="71"/>
    </row>
    <row r="89" spans="1:18">
      <c r="A89" s="77"/>
      <c r="B89" s="1"/>
      <c r="C89" s="71"/>
      <c r="D89" s="71"/>
      <c r="E89" s="71"/>
      <c r="F89" s="71"/>
      <c r="G89" s="71"/>
      <c r="H89" s="71"/>
      <c r="I89" s="71"/>
      <c r="J89" s="71"/>
      <c r="K89" s="71"/>
      <c r="L89" s="71"/>
      <c r="M89" s="71"/>
      <c r="N89" s="71"/>
      <c r="O89" s="71"/>
      <c r="P89" s="71"/>
      <c r="Q89" s="1"/>
      <c r="R89" s="71"/>
    </row>
    <row r="90" spans="1:18">
      <c r="A90" s="77"/>
      <c r="B90" s="1"/>
      <c r="C90" s="71"/>
      <c r="D90" s="71"/>
      <c r="E90" s="71"/>
      <c r="F90" s="71"/>
      <c r="G90" s="71"/>
      <c r="H90" s="71"/>
      <c r="I90" s="71"/>
      <c r="J90" s="71"/>
      <c r="K90" s="71"/>
      <c r="L90" s="71"/>
      <c r="M90" s="71"/>
      <c r="N90" s="71"/>
      <c r="O90" s="71"/>
      <c r="P90" s="71"/>
      <c r="Q90" s="1"/>
      <c r="R90" s="71"/>
    </row>
    <row r="91" spans="1:18">
      <c r="A91" s="77"/>
      <c r="B91" s="1"/>
      <c r="C91" s="71"/>
      <c r="D91" s="71"/>
      <c r="E91" s="71"/>
      <c r="F91" s="71"/>
      <c r="G91" s="71"/>
      <c r="H91" s="71"/>
      <c r="I91" s="71"/>
      <c r="J91" s="71"/>
      <c r="K91" s="71"/>
      <c r="L91" s="71"/>
      <c r="M91" s="71"/>
      <c r="N91" s="71"/>
      <c r="O91" s="71"/>
      <c r="P91" s="71"/>
      <c r="Q91" s="1"/>
      <c r="R91" s="71"/>
    </row>
    <row r="92" spans="1:18">
      <c r="A92" s="77"/>
      <c r="B92" s="1"/>
      <c r="C92" s="71"/>
      <c r="D92" s="71"/>
      <c r="E92" s="71"/>
      <c r="F92" s="71"/>
      <c r="G92" s="71"/>
      <c r="H92" s="71"/>
      <c r="I92" s="71"/>
      <c r="J92" s="71"/>
      <c r="K92" s="71"/>
      <c r="L92" s="71"/>
      <c r="M92" s="71"/>
      <c r="N92" s="71"/>
      <c r="O92" s="71"/>
      <c r="P92" s="71"/>
      <c r="Q92" s="1"/>
      <c r="R92" s="71"/>
    </row>
    <row r="93" spans="1:18">
      <c r="A93" s="77"/>
      <c r="B93" s="1"/>
      <c r="C93" s="71"/>
      <c r="D93" s="71"/>
      <c r="E93" s="71"/>
      <c r="F93" s="71"/>
      <c r="G93" s="71"/>
      <c r="H93" s="71"/>
      <c r="I93" s="71"/>
      <c r="J93" s="71"/>
      <c r="K93" s="71"/>
      <c r="L93" s="71"/>
      <c r="M93" s="71"/>
      <c r="N93" s="71"/>
      <c r="O93" s="71"/>
      <c r="P93" s="71"/>
      <c r="Q93" s="1"/>
      <c r="R93" s="71"/>
    </row>
    <row r="94" spans="1:18">
      <c r="A94" s="77"/>
      <c r="B94" s="1"/>
      <c r="C94" s="71"/>
      <c r="D94" s="71"/>
      <c r="E94" s="71"/>
      <c r="F94" s="71"/>
      <c r="G94" s="71"/>
      <c r="H94" s="71"/>
      <c r="I94" s="71"/>
      <c r="J94" s="71"/>
      <c r="K94" s="71"/>
      <c r="L94" s="71"/>
      <c r="M94" s="71"/>
      <c r="N94" s="71"/>
      <c r="O94" s="71"/>
      <c r="P94" s="71"/>
      <c r="Q94" s="1"/>
      <c r="R94" s="71"/>
    </row>
    <row r="95" spans="1:18">
      <c r="A95" s="77"/>
      <c r="B95" s="1"/>
      <c r="C95" s="71"/>
      <c r="D95" s="71"/>
      <c r="E95" s="71"/>
      <c r="F95" s="71"/>
      <c r="G95" s="71"/>
      <c r="H95" s="71"/>
      <c r="I95" s="71"/>
      <c r="J95" s="71"/>
      <c r="K95" s="71"/>
      <c r="L95" s="71"/>
      <c r="M95" s="71"/>
      <c r="N95" s="71"/>
      <c r="O95" s="71"/>
      <c r="P95" s="71"/>
      <c r="Q95" s="1"/>
      <c r="R95" s="71"/>
    </row>
    <row r="96" spans="1:18">
      <c r="A96" s="77"/>
      <c r="B96" s="1"/>
      <c r="C96" s="71"/>
      <c r="D96" s="71"/>
      <c r="E96" s="71"/>
      <c r="F96" s="71"/>
      <c r="G96" s="71"/>
      <c r="H96" s="71"/>
      <c r="I96" s="71"/>
      <c r="J96" s="71"/>
      <c r="K96" s="71"/>
      <c r="L96" s="71"/>
      <c r="M96" s="71"/>
      <c r="N96" s="71"/>
      <c r="O96" s="71"/>
      <c r="P96" s="71"/>
      <c r="Q96" s="1"/>
      <c r="R96" s="71"/>
    </row>
    <row r="97" spans="1:18">
      <c r="A97" s="77"/>
      <c r="B97" s="1"/>
      <c r="C97" s="71"/>
      <c r="D97" s="71"/>
      <c r="E97" s="71"/>
      <c r="F97" s="71"/>
      <c r="G97" s="71"/>
      <c r="H97" s="71"/>
      <c r="I97" s="71"/>
      <c r="J97" s="71"/>
      <c r="K97" s="71"/>
      <c r="L97" s="71"/>
      <c r="M97" s="71"/>
      <c r="N97" s="71"/>
      <c r="O97" s="71"/>
      <c r="P97" s="71"/>
      <c r="Q97" s="1"/>
      <c r="R97" s="71"/>
    </row>
    <row r="98" spans="1:18">
      <c r="A98" s="77"/>
      <c r="B98" s="1"/>
      <c r="C98" s="71"/>
      <c r="D98" s="71"/>
      <c r="E98" s="71"/>
      <c r="F98" s="71"/>
      <c r="G98" s="71"/>
      <c r="H98" s="71"/>
      <c r="I98" s="71"/>
      <c r="J98" s="71"/>
      <c r="K98" s="71"/>
      <c r="L98" s="71"/>
      <c r="M98" s="71"/>
      <c r="N98" s="71"/>
      <c r="O98" s="71"/>
      <c r="P98" s="71"/>
      <c r="Q98" s="1"/>
      <c r="R98" s="71"/>
    </row>
  </sheetData>
  <mergeCells count="1">
    <mergeCell ref="L1:M1"/>
  </mergeCells>
  <hyperlinks>
    <hyperlink ref="L1:M1" location="Contents!A1" display="Back to Contents"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7558519241921"/>
  </sheetPr>
  <dimension ref="A1:AJ29"/>
  <sheetViews>
    <sheetView zoomScale="85" zoomScaleNormal="85" workbookViewId="0"/>
  </sheetViews>
  <sheetFormatPr defaultColWidth="8.81640625" defaultRowHeight="12.5"/>
  <cols>
    <col min="1" max="1" width="6.26953125" style="104" bestFit="1" customWidth="1"/>
    <col min="2" max="2" width="10.453125" customWidth="1"/>
    <col min="3" max="3" width="11.26953125" customWidth="1"/>
    <col min="4" max="4" width="9.453125" bestFit="1" customWidth="1"/>
    <col min="5" max="5" width="9.7265625" customWidth="1"/>
    <col min="6" max="6" width="10.453125" customWidth="1"/>
    <col min="7" max="7" width="9.26953125" bestFit="1" customWidth="1"/>
    <col min="8" max="9" width="8.81640625" customWidth="1"/>
    <col min="10" max="10" width="10.453125" customWidth="1"/>
    <col min="11" max="11" width="12" customWidth="1"/>
    <col min="12" max="13" width="8.81640625" customWidth="1"/>
    <col min="14" max="14" width="5.7265625" customWidth="1"/>
    <col min="15" max="18" width="15.453125" customWidth="1"/>
    <col min="19" max="20" width="10.453125" style="1" customWidth="1"/>
    <col min="21" max="21" width="8.81640625" style="1" customWidth="1"/>
    <col min="22" max="22" width="11.26953125" style="1" customWidth="1"/>
    <col min="23" max="23" width="8.81640625" style="1" customWidth="1"/>
    <col min="24" max="24" width="11.26953125" style="1" customWidth="1"/>
    <col min="25" max="25" width="5.7265625" style="1" customWidth="1"/>
    <col min="26" max="28" width="8.81640625" style="1" customWidth="1"/>
    <col min="29" max="29" width="11.453125" style="1" customWidth="1"/>
    <col min="30" max="31" width="17.26953125" style="1" customWidth="1"/>
    <col min="32" max="36" width="11.453125" style="1" customWidth="1"/>
  </cols>
  <sheetData>
    <row r="1" spans="1:36" s="104" customFormat="1" ht="29.25" customHeight="1">
      <c r="B1" s="103" t="s">
        <v>172</v>
      </c>
      <c r="C1" s="156"/>
      <c r="D1" s="156"/>
      <c r="E1" s="156"/>
      <c r="F1" s="156"/>
      <c r="G1" s="156"/>
      <c r="H1" s="156"/>
      <c r="I1" s="156"/>
      <c r="J1" s="156"/>
      <c r="K1" s="156"/>
      <c r="L1" s="156"/>
      <c r="M1" s="156"/>
      <c r="O1" s="103" t="s">
        <v>173</v>
      </c>
      <c r="P1" s="156"/>
      <c r="Q1" s="156"/>
      <c r="R1" s="156"/>
      <c r="S1" s="156"/>
      <c r="T1" s="156"/>
      <c r="U1" s="156"/>
      <c r="V1" s="156"/>
      <c r="W1" s="156"/>
      <c r="X1" s="156"/>
      <c r="Z1" s="156"/>
      <c r="AA1" s="156"/>
      <c r="AB1" s="156"/>
      <c r="AC1" s="156"/>
      <c r="AD1" s="156"/>
      <c r="AE1" s="156"/>
      <c r="AF1" s="156"/>
      <c r="AG1" s="156"/>
      <c r="AH1" s="211" t="s">
        <v>79</v>
      </c>
      <c r="AI1" s="211"/>
      <c r="AJ1" s="156"/>
    </row>
    <row r="2" spans="1:36" ht="21.75" customHeight="1">
      <c r="A2" s="130"/>
      <c r="B2" s="208" t="s">
        <v>174</v>
      </c>
      <c r="C2" s="209"/>
      <c r="D2" s="209"/>
      <c r="E2" s="209"/>
      <c r="F2" s="209"/>
      <c r="G2" s="209"/>
      <c r="H2" s="210"/>
      <c r="I2" s="210"/>
      <c r="J2" s="210"/>
      <c r="K2" s="210"/>
      <c r="L2" s="210"/>
      <c r="M2" s="210"/>
      <c r="O2" s="208" t="s">
        <v>175</v>
      </c>
      <c r="P2" s="209"/>
      <c r="Q2" s="209"/>
      <c r="R2" s="209"/>
      <c r="S2" s="209"/>
      <c r="T2" s="209"/>
      <c r="U2" s="210"/>
      <c r="V2" s="210"/>
      <c r="W2" s="210"/>
      <c r="X2" s="210"/>
      <c r="Z2" s="208" t="s">
        <v>176</v>
      </c>
      <c r="AA2" s="208"/>
      <c r="AB2" s="208"/>
      <c r="AC2" s="208"/>
      <c r="AD2" s="208"/>
      <c r="AE2" s="208"/>
      <c r="AF2" s="208"/>
      <c r="AG2" s="208"/>
      <c r="AH2" s="208"/>
      <c r="AI2" s="208"/>
      <c r="AJ2" s="208"/>
    </row>
    <row r="3" spans="1:36" s="20" customFormat="1" ht="30" customHeight="1">
      <c r="A3" s="131" t="s">
        <v>80</v>
      </c>
      <c r="B3" s="132" t="s">
        <v>177</v>
      </c>
      <c r="C3" s="132" t="s">
        <v>178</v>
      </c>
      <c r="D3" s="132" t="s">
        <v>179</v>
      </c>
      <c r="E3" s="132" t="s">
        <v>180</v>
      </c>
      <c r="F3" s="133" t="s">
        <v>181</v>
      </c>
      <c r="G3" s="133" t="s">
        <v>182</v>
      </c>
      <c r="H3" s="133" t="s">
        <v>183</v>
      </c>
      <c r="I3" s="132" t="s">
        <v>184</v>
      </c>
      <c r="J3" s="132" t="s">
        <v>185</v>
      </c>
      <c r="K3" s="132" t="s">
        <v>186</v>
      </c>
      <c r="L3" s="132" t="s">
        <v>187</v>
      </c>
      <c r="M3" s="132" t="s">
        <v>188</v>
      </c>
      <c r="N3" s="132"/>
      <c r="O3" s="132" t="s">
        <v>109</v>
      </c>
      <c r="P3" s="132" t="s">
        <v>110</v>
      </c>
      <c r="Q3" s="133" t="s">
        <v>111</v>
      </c>
      <c r="R3" s="132" t="s">
        <v>112</v>
      </c>
      <c r="S3" s="132" t="s">
        <v>189</v>
      </c>
      <c r="T3" s="132" t="s">
        <v>190</v>
      </c>
      <c r="U3" s="132" t="s">
        <v>191</v>
      </c>
      <c r="V3" s="132" t="s">
        <v>192</v>
      </c>
      <c r="W3" s="132" t="s">
        <v>193</v>
      </c>
      <c r="X3" s="132" t="s">
        <v>194</v>
      </c>
      <c r="Y3" s="132"/>
      <c r="Z3" s="132" t="s">
        <v>195</v>
      </c>
      <c r="AA3" s="132" t="s">
        <v>196</v>
      </c>
      <c r="AB3" s="132" t="s">
        <v>197</v>
      </c>
      <c r="AC3" s="132" t="s">
        <v>198</v>
      </c>
      <c r="AD3" s="133" t="s">
        <v>199</v>
      </c>
      <c r="AE3" s="133" t="s">
        <v>200</v>
      </c>
      <c r="AF3" s="133" t="s">
        <v>201</v>
      </c>
      <c r="AG3" s="132" t="s">
        <v>202</v>
      </c>
      <c r="AH3" s="132" t="s">
        <v>203</v>
      </c>
      <c r="AI3" s="132" t="s">
        <v>204</v>
      </c>
      <c r="AJ3" s="132" t="s">
        <v>205</v>
      </c>
    </row>
    <row r="4" spans="1:36">
      <c r="A4">
        <v>2000</v>
      </c>
      <c r="B4">
        <v>1513147</v>
      </c>
      <c r="C4">
        <v>981708</v>
      </c>
      <c r="D4">
        <v>1264812</v>
      </c>
      <c r="E4">
        <v>882704</v>
      </c>
      <c r="F4">
        <v>248335</v>
      </c>
      <c r="G4">
        <v>99004</v>
      </c>
      <c r="H4">
        <v>53126</v>
      </c>
      <c r="I4">
        <v>25515</v>
      </c>
      <c r="J4">
        <v>70002</v>
      </c>
      <c r="K4">
        <v>25620</v>
      </c>
      <c r="L4">
        <v>3330</v>
      </c>
      <c r="M4">
        <v>1082</v>
      </c>
      <c r="N4" s="3"/>
      <c r="O4" s="25">
        <v>11.989769231</v>
      </c>
      <c r="P4" s="25">
        <v>11.347842538</v>
      </c>
      <c r="Q4" s="25">
        <v>12.085114865</v>
      </c>
      <c r="R4" s="25">
        <v>13.319552744999999</v>
      </c>
      <c r="S4" s="25">
        <v>14.510955087999999</v>
      </c>
      <c r="T4" s="25">
        <v>19.699647265999999</v>
      </c>
      <c r="U4" s="25">
        <v>14.773920745</v>
      </c>
      <c r="V4" s="25">
        <v>13.084504294</v>
      </c>
      <c r="W4" s="25">
        <v>16.554054054000002</v>
      </c>
      <c r="X4" s="25">
        <v>15.019408502999999</v>
      </c>
      <c r="Y4" s="4"/>
      <c r="Z4" s="155">
        <f t="shared" ref="Z4:Z11" si="0">C4/(B4+C4)</f>
        <v>0.39349300861172293</v>
      </c>
      <c r="AA4" s="155">
        <f t="shared" ref="AA4:AA13" si="1">K4/(J4+K4)</f>
        <v>0.26792997427370269</v>
      </c>
      <c r="AB4" s="155">
        <f>M4/(L4+M4)</f>
        <v>0.24524025385312784</v>
      </c>
      <c r="AC4" s="4">
        <f>(D4*O4+E4*P4+F4*Q4+G4*R4)/SUM(D4:G4)</f>
        <v>11.824910065005012</v>
      </c>
      <c r="AD4" s="4">
        <f>(D4*O4+E4*P4)/(D4+E4)</f>
        <v>11.725914964201582</v>
      </c>
      <c r="AE4" s="4">
        <f t="shared" ref="AE4:AE13" si="2">(F4*Q4+G4*R4)/(F4+G4)</f>
        <v>12.436973676914356</v>
      </c>
      <c r="AF4" s="4">
        <f t="shared" ref="AF4:AF13" si="3">(H4*S4+I4*T4)/(H4+I4)</f>
        <v>16.194421484938875</v>
      </c>
      <c r="AG4" s="21">
        <f t="shared" ref="AG4:AG13" si="4">(J4*U4+K4*V4)/(J4+K4)</f>
        <v>14.321275438746</v>
      </c>
      <c r="AH4" s="21">
        <f t="shared" ref="AH4:AH13" si="5">(L4*W4+M4*X4)/(L4+M4)</f>
        <v>16.17769718949819</v>
      </c>
      <c r="AI4" s="4">
        <f>(E4*P4+G4*R4)/SUM(E4,G4)</f>
        <v>11.546686998199803</v>
      </c>
      <c r="AJ4" s="4">
        <f>(D4*O4+F4*Q4)/SUM(D4,F4)</f>
        <v>12.005417187225925</v>
      </c>
    </row>
    <row r="5" spans="1:36">
      <c r="A5">
        <v>2001</v>
      </c>
      <c r="B5">
        <v>1496688</v>
      </c>
      <c r="C5">
        <v>1066963</v>
      </c>
      <c r="D5">
        <v>1245148</v>
      </c>
      <c r="E5">
        <v>968524</v>
      </c>
      <c r="F5">
        <v>251540</v>
      </c>
      <c r="G5">
        <v>98439</v>
      </c>
      <c r="H5">
        <v>53618</v>
      </c>
      <c r="I5">
        <v>25612</v>
      </c>
      <c r="J5">
        <v>70085</v>
      </c>
      <c r="K5">
        <v>27782</v>
      </c>
      <c r="L5">
        <v>3444</v>
      </c>
      <c r="M5">
        <v>1254</v>
      </c>
      <c r="N5" s="3"/>
      <c r="O5" s="25">
        <v>12.069624655</v>
      </c>
      <c r="P5" s="25">
        <v>11.628029868</v>
      </c>
      <c r="Q5" s="25">
        <v>12.109334498999999</v>
      </c>
      <c r="R5" s="25">
        <v>13.933212446000001</v>
      </c>
      <c r="S5" s="25">
        <v>14.759810138000001</v>
      </c>
      <c r="T5" s="25">
        <v>20.432765890999999</v>
      </c>
      <c r="U5" s="25">
        <v>15.025961333</v>
      </c>
      <c r="V5" s="25">
        <v>13.567813692</v>
      </c>
      <c r="W5" s="25">
        <v>16.652148663999998</v>
      </c>
      <c r="X5" s="25">
        <v>15.333333333000001</v>
      </c>
      <c r="Y5" s="4"/>
      <c r="Z5" s="155">
        <f t="shared" si="0"/>
        <v>0.41618886502101887</v>
      </c>
      <c r="AA5" s="155">
        <f t="shared" si="1"/>
        <v>0.28387505492147508</v>
      </c>
      <c r="AB5" s="155">
        <f t="shared" ref="AB5:AB11" si="6">M5/(L5+M5)</f>
        <v>0.2669220945083014</v>
      </c>
      <c r="AC5" s="4">
        <f t="shared" ref="AC5:AC11" si="7">(D5*O5+E5*P5+F5*Q5+G5*R5)/SUM(D5:G5)</f>
        <v>11.978248404189582</v>
      </c>
      <c r="AD5" s="4">
        <f t="shared" ref="AD5:AD12" si="8">(D5*O5+E5*P5)/(D5+E5)</f>
        <v>11.876418457566782</v>
      </c>
      <c r="AE5" s="4">
        <f t="shared" si="2"/>
        <v>12.622338768469691</v>
      </c>
      <c r="AF5" s="4">
        <f t="shared" si="3"/>
        <v>16.593657705156836</v>
      </c>
      <c r="AG5" s="21">
        <f t="shared" si="4"/>
        <v>14.612029591327506</v>
      </c>
      <c r="AH5" s="21">
        <f t="shared" si="5"/>
        <v>16.300127713579819</v>
      </c>
      <c r="AI5" s="4">
        <f t="shared" ref="AI5:AI14" si="9">(E5*P5+G5*R5)/SUM(E5,G5)</f>
        <v>11.840708159370687</v>
      </c>
      <c r="AJ5" s="4">
        <f t="shared" ref="AJ5:AJ21" si="10">(D5*O5+F5*Q5)/SUM(D5,F5)</f>
        <v>12.076298466883145</v>
      </c>
    </row>
    <row r="6" spans="1:36">
      <c r="A6">
        <v>2002</v>
      </c>
      <c r="B6">
        <v>1491314</v>
      </c>
      <c r="C6">
        <v>1156698</v>
      </c>
      <c r="D6">
        <v>1235091</v>
      </c>
      <c r="E6">
        <v>1057292</v>
      </c>
      <c r="F6">
        <v>256223</v>
      </c>
      <c r="G6">
        <v>99406</v>
      </c>
      <c r="H6">
        <v>54626</v>
      </c>
      <c r="I6">
        <v>26134</v>
      </c>
      <c r="J6">
        <v>70739</v>
      </c>
      <c r="K6">
        <v>30962</v>
      </c>
      <c r="L6">
        <v>3524</v>
      </c>
      <c r="M6">
        <v>1560</v>
      </c>
      <c r="N6" s="3"/>
      <c r="O6" s="25">
        <v>12.082889844</v>
      </c>
      <c r="P6" s="25">
        <v>11.839017982</v>
      </c>
      <c r="Q6" s="25">
        <v>12.061571366000001</v>
      </c>
      <c r="R6" s="25">
        <v>14.364796893999999</v>
      </c>
      <c r="S6" s="25">
        <v>14.836076227</v>
      </c>
      <c r="T6" s="25">
        <v>20.962424427999998</v>
      </c>
      <c r="U6" s="25">
        <v>15.104878497</v>
      </c>
      <c r="V6" s="25">
        <v>13.865641754</v>
      </c>
      <c r="W6" s="25">
        <v>16.688138478999999</v>
      </c>
      <c r="X6" s="25">
        <v>15.467307692</v>
      </c>
      <c r="Y6" s="4"/>
      <c r="Z6" s="155">
        <f t="shared" si="0"/>
        <v>0.43681750686930421</v>
      </c>
      <c r="AA6" s="155">
        <f t="shared" si="1"/>
        <v>0.30444145091985331</v>
      </c>
      <c r="AB6" s="155">
        <f t="shared" si="6"/>
        <v>0.30684500393391029</v>
      </c>
      <c r="AC6" s="4">
        <f t="shared" si="7"/>
        <v>12.06911694535226</v>
      </c>
      <c r="AD6" s="4">
        <f t="shared" si="8"/>
        <v>11.970411358198236</v>
      </c>
      <c r="AE6" s="4">
        <f t="shared" si="2"/>
        <v>12.705372734382129</v>
      </c>
      <c r="AF6" s="4">
        <f t="shared" si="3"/>
        <v>16.818567359800074</v>
      </c>
      <c r="AG6" s="21">
        <f t="shared" si="4"/>
        <v>14.727603464927885</v>
      </c>
      <c r="AH6" s="21">
        <f t="shared" si="5"/>
        <v>16.313532651360347</v>
      </c>
      <c r="AI6" s="4">
        <f t="shared" si="9"/>
        <v>12.056082054494524</v>
      </c>
      <c r="AJ6" s="4">
        <f t="shared" si="10"/>
        <v>12.079227111410757</v>
      </c>
    </row>
    <row r="7" spans="1:36">
      <c r="A7">
        <v>2003</v>
      </c>
      <c r="B7">
        <v>1497748</v>
      </c>
      <c r="C7">
        <v>1261732</v>
      </c>
      <c r="D7">
        <v>1234787</v>
      </c>
      <c r="E7">
        <v>1160343</v>
      </c>
      <c r="F7">
        <v>262961</v>
      </c>
      <c r="G7">
        <v>101389</v>
      </c>
      <c r="H7">
        <v>56702</v>
      </c>
      <c r="I7">
        <v>26921</v>
      </c>
      <c r="J7">
        <v>71839</v>
      </c>
      <c r="K7">
        <v>35031</v>
      </c>
      <c r="L7">
        <v>3657</v>
      </c>
      <c r="M7">
        <v>1794</v>
      </c>
      <c r="N7" s="3"/>
      <c r="O7" s="25">
        <v>12.043290057</v>
      </c>
      <c r="P7" s="25">
        <v>12.003141743</v>
      </c>
      <c r="Q7" s="25">
        <v>11.943299576999999</v>
      </c>
      <c r="R7" s="25">
        <v>14.72147373</v>
      </c>
      <c r="S7" s="25">
        <v>14.669006383999999</v>
      </c>
      <c r="T7" s="25">
        <v>21.347442517000001</v>
      </c>
      <c r="U7" s="25">
        <v>15.08010273</v>
      </c>
      <c r="V7" s="25">
        <v>14.128814479000001</v>
      </c>
      <c r="W7" s="25">
        <v>16.426715887</v>
      </c>
      <c r="X7" s="25">
        <v>15.869007804000001</v>
      </c>
      <c r="Y7" s="4"/>
      <c r="Z7" s="155">
        <f t="shared" si="0"/>
        <v>0.45723542116630672</v>
      </c>
      <c r="AA7" s="155">
        <f t="shared" si="1"/>
        <v>0.32779077383737248</v>
      </c>
      <c r="AB7" s="155">
        <f t="shared" si="6"/>
        <v>0.32911392405063289</v>
      </c>
      <c r="AC7" s="4">
        <f t="shared" si="7"/>
        <v>12.115281502018195</v>
      </c>
      <c r="AD7" s="4">
        <f t="shared" si="8"/>
        <v>12.023839832957171</v>
      </c>
      <c r="AE7" s="4">
        <f t="shared" si="2"/>
        <v>12.716392205512465</v>
      </c>
      <c r="AF7" s="4">
        <f t="shared" si="3"/>
        <v>16.81901510332953</v>
      </c>
      <c r="AG7" s="21">
        <f t="shared" si="4"/>
        <v>14.768279218062309</v>
      </c>
      <c r="AH7" s="21">
        <f t="shared" si="5"/>
        <v>16.243166391329115</v>
      </c>
      <c r="AI7" s="4">
        <f t="shared" si="9"/>
        <v>12.22157875009021</v>
      </c>
      <c r="AJ7" s="4">
        <f t="shared" si="10"/>
        <v>12.025734636053832</v>
      </c>
    </row>
    <row r="8" spans="1:36">
      <c r="A8">
        <v>2004</v>
      </c>
      <c r="B8">
        <v>1510913</v>
      </c>
      <c r="C8">
        <v>1356166</v>
      </c>
      <c r="D8">
        <v>1238985</v>
      </c>
      <c r="E8">
        <v>1251926</v>
      </c>
      <c r="F8">
        <v>271928</v>
      </c>
      <c r="G8">
        <v>104240</v>
      </c>
      <c r="H8">
        <v>60545</v>
      </c>
      <c r="I8">
        <v>27921</v>
      </c>
      <c r="J8">
        <v>73545</v>
      </c>
      <c r="K8">
        <v>40206</v>
      </c>
      <c r="L8">
        <v>3868</v>
      </c>
      <c r="M8">
        <v>2008</v>
      </c>
      <c r="N8" s="3"/>
      <c r="O8" s="25">
        <v>11.96160688</v>
      </c>
      <c r="P8" s="25">
        <v>12.250095453</v>
      </c>
      <c r="Q8" s="25">
        <v>11.769852682</v>
      </c>
      <c r="R8" s="25">
        <v>15.007780123</v>
      </c>
      <c r="S8" s="25">
        <v>14.121620282</v>
      </c>
      <c r="T8" s="25">
        <v>21.558056659999998</v>
      </c>
      <c r="U8" s="25">
        <v>14.959256238</v>
      </c>
      <c r="V8" s="25">
        <v>14.370094015999999</v>
      </c>
      <c r="W8" s="25">
        <v>16.044984488000001</v>
      </c>
      <c r="X8" s="25">
        <v>16.194223107999999</v>
      </c>
      <c r="Y8" s="4"/>
      <c r="Z8" s="155">
        <f t="shared" si="0"/>
        <v>0.47301312590270445</v>
      </c>
      <c r="AA8" s="155">
        <f t="shared" si="1"/>
        <v>0.35345623335179471</v>
      </c>
      <c r="AB8" s="155">
        <f t="shared" si="6"/>
        <v>0.34172906739278419</v>
      </c>
      <c r="AC8" s="4">
        <f t="shared" si="7"/>
        <v>12.180141530959451</v>
      </c>
      <c r="AD8" s="4">
        <f t="shared" si="8"/>
        <v>12.106600557109138</v>
      </c>
      <c r="AE8" s="4">
        <f t="shared" si="2"/>
        <v>12.667115491302864</v>
      </c>
      <c r="AF8" s="4">
        <f t="shared" si="3"/>
        <v>16.468654624121697</v>
      </c>
      <c r="AG8" s="21">
        <f t="shared" si="4"/>
        <v>14.751013178178706</v>
      </c>
      <c r="AH8" s="21">
        <f t="shared" si="5"/>
        <v>16.095983662431586</v>
      </c>
      <c r="AI8" s="4">
        <f t="shared" si="9"/>
        <v>12.462061429142153</v>
      </c>
      <c r="AJ8" s="4">
        <f t="shared" si="10"/>
        <v>11.927095736371118</v>
      </c>
    </row>
    <row r="9" spans="1:36">
      <c r="A9">
        <v>2005</v>
      </c>
      <c r="B9">
        <v>1529850</v>
      </c>
      <c r="C9">
        <v>1437352</v>
      </c>
      <c r="D9">
        <v>1247345</v>
      </c>
      <c r="E9">
        <v>1331171</v>
      </c>
      <c r="F9">
        <v>282505</v>
      </c>
      <c r="G9">
        <v>106181</v>
      </c>
      <c r="H9">
        <v>67835</v>
      </c>
      <c r="I9">
        <v>29563</v>
      </c>
      <c r="J9">
        <v>75364</v>
      </c>
      <c r="K9">
        <v>44455</v>
      </c>
      <c r="L9">
        <v>4006</v>
      </c>
      <c r="M9">
        <v>2199</v>
      </c>
      <c r="N9" s="3"/>
      <c r="O9" s="25">
        <v>11.869024207000001</v>
      </c>
      <c r="P9" s="25">
        <v>12.559070547999999</v>
      </c>
      <c r="Q9" s="25">
        <v>11.582209164</v>
      </c>
      <c r="R9" s="25">
        <v>15.301273297</v>
      </c>
      <c r="S9" s="25">
        <v>13.113481241000001</v>
      </c>
      <c r="T9" s="25">
        <v>21.577157257</v>
      </c>
      <c r="U9" s="25">
        <v>14.748407728</v>
      </c>
      <c r="V9" s="25">
        <v>14.762917557</v>
      </c>
      <c r="W9" s="25">
        <v>15.957438842</v>
      </c>
      <c r="X9" s="25">
        <v>16.582310141000001</v>
      </c>
      <c r="Y9" s="4"/>
      <c r="Z9" s="155">
        <f t="shared" si="0"/>
        <v>0.48441326205630758</v>
      </c>
      <c r="AA9" s="155">
        <f t="shared" si="1"/>
        <v>0.37101795207771721</v>
      </c>
      <c r="AB9" s="155">
        <f t="shared" si="6"/>
        <v>0.35439161966156324</v>
      </c>
      <c r="AC9" s="4">
        <f t="shared" si="7"/>
        <v>12.274113794664702</v>
      </c>
      <c r="AD9" s="4">
        <f t="shared" si="8"/>
        <v>12.225263872681854</v>
      </c>
      <c r="AE9" s="4">
        <f t="shared" si="2"/>
        <v>12.598180793299932</v>
      </c>
      <c r="AF9" s="4">
        <f t="shared" si="3"/>
        <v>15.682442144314319</v>
      </c>
      <c r="AG9" s="21">
        <f t="shared" si="4"/>
        <v>14.753791135040576</v>
      </c>
      <c r="AH9" s="21">
        <f t="shared" si="5"/>
        <v>16.178887993732637</v>
      </c>
      <c r="AI9" s="4">
        <f t="shared" si="9"/>
        <v>12.761644329573038</v>
      </c>
      <c r="AJ9" s="4">
        <f t="shared" si="10"/>
        <v>11.816060397657441</v>
      </c>
    </row>
    <row r="10" spans="1:36">
      <c r="A10">
        <v>2006</v>
      </c>
      <c r="B10">
        <v>1549302</v>
      </c>
      <c r="C10">
        <v>1480565</v>
      </c>
      <c r="D10">
        <v>1257678</v>
      </c>
      <c r="E10">
        <v>1373983</v>
      </c>
      <c r="F10">
        <v>291624</v>
      </c>
      <c r="G10">
        <v>106582</v>
      </c>
      <c r="H10">
        <v>76237</v>
      </c>
      <c r="I10">
        <v>31819</v>
      </c>
      <c r="J10">
        <v>76298</v>
      </c>
      <c r="K10">
        <v>48051</v>
      </c>
      <c r="L10">
        <v>4068</v>
      </c>
      <c r="M10">
        <v>2381</v>
      </c>
      <c r="N10" s="3"/>
      <c r="O10" s="25">
        <v>11.808529687</v>
      </c>
      <c r="P10" s="25">
        <v>12.969406463</v>
      </c>
      <c r="Q10" s="25">
        <v>11.501128165000001</v>
      </c>
      <c r="R10" s="25">
        <v>15.652427239</v>
      </c>
      <c r="S10" s="25">
        <v>12.292967981</v>
      </c>
      <c r="T10" s="25">
        <v>21.523633677999999</v>
      </c>
      <c r="U10" s="25">
        <v>14.767103987</v>
      </c>
      <c r="V10" s="25">
        <v>15.219298245999999</v>
      </c>
      <c r="W10" s="25">
        <v>16.201819076</v>
      </c>
      <c r="X10" s="25">
        <v>17.142167156999999</v>
      </c>
      <c r="Y10" s="4"/>
      <c r="Z10" s="155">
        <f t="shared" si="0"/>
        <v>0.48865676282160242</v>
      </c>
      <c r="AA10" s="155">
        <f t="shared" si="1"/>
        <v>0.3864204778486357</v>
      </c>
      <c r="AB10" s="155">
        <f t="shared" si="6"/>
        <v>0.36920452783377267</v>
      </c>
      <c r="AC10" s="4">
        <f t="shared" si="7"/>
        <v>12.440593596984941</v>
      </c>
      <c r="AD10" s="4">
        <f t="shared" si="8"/>
        <v>12.414620272116702</v>
      </c>
      <c r="AE10" s="4">
        <f t="shared" si="2"/>
        <v>12.612245922906881</v>
      </c>
      <c r="AF10" s="4">
        <f t="shared" si="3"/>
        <v>15.011100725251527</v>
      </c>
      <c r="AG10" s="21">
        <f t="shared" si="4"/>
        <v>14.941841108643191</v>
      </c>
      <c r="AH10" s="21">
        <f t="shared" si="5"/>
        <v>16.548999845245</v>
      </c>
      <c r="AI10" s="4">
        <f t="shared" si="9"/>
        <v>13.162550107721868</v>
      </c>
      <c r="AJ10" s="4">
        <f t="shared" si="10"/>
        <v>11.75066771983561</v>
      </c>
    </row>
    <row r="11" spans="1:36">
      <c r="A11">
        <v>2007</v>
      </c>
      <c r="B11">
        <v>1573227</v>
      </c>
      <c r="C11">
        <v>1515659</v>
      </c>
      <c r="D11">
        <v>1271123</v>
      </c>
      <c r="E11">
        <v>1408225</v>
      </c>
      <c r="F11">
        <v>302104</v>
      </c>
      <c r="G11">
        <v>107434</v>
      </c>
      <c r="H11">
        <v>85419</v>
      </c>
      <c r="I11">
        <v>34365</v>
      </c>
      <c r="J11">
        <v>77439</v>
      </c>
      <c r="K11">
        <v>51377</v>
      </c>
      <c r="L11">
        <v>4173</v>
      </c>
      <c r="M11">
        <v>2708</v>
      </c>
      <c r="N11" s="3"/>
      <c r="O11" s="25">
        <v>11.759779738000001</v>
      </c>
      <c r="P11" s="25">
        <v>13.366921833999999</v>
      </c>
      <c r="Q11" s="25">
        <v>11.410918093999999</v>
      </c>
      <c r="R11" s="25">
        <v>15.890146508999999</v>
      </c>
      <c r="S11" s="25">
        <v>11.553524392</v>
      </c>
      <c r="T11" s="25">
        <v>21.325752946000001</v>
      </c>
      <c r="U11" s="25">
        <v>14.754135513</v>
      </c>
      <c r="V11" s="25">
        <v>15.659429317000001</v>
      </c>
      <c r="W11" s="25">
        <v>16.16307213</v>
      </c>
      <c r="X11" s="25">
        <v>17.263293944000001</v>
      </c>
      <c r="Y11" s="4"/>
      <c r="Z11" s="155">
        <f t="shared" si="0"/>
        <v>0.49068143013371163</v>
      </c>
      <c r="AA11" s="155">
        <f t="shared" si="1"/>
        <v>0.39884020618556704</v>
      </c>
      <c r="AB11" s="155">
        <f t="shared" si="6"/>
        <v>0.39354744949861936</v>
      </c>
      <c r="AC11" s="4">
        <f t="shared" si="7"/>
        <v>12.602014447767937</v>
      </c>
      <c r="AD11" s="4">
        <f t="shared" si="8"/>
        <v>12.604469445398816</v>
      </c>
      <c r="AE11" s="4">
        <f t="shared" si="2"/>
        <v>12.585952951661829</v>
      </c>
      <c r="AF11" s="4">
        <f t="shared" si="3"/>
        <v>14.35709276722716</v>
      </c>
      <c r="AG11" s="21">
        <f t="shared" si="4"/>
        <v>15.115203080445875</v>
      </c>
      <c r="AH11" s="21">
        <f t="shared" si="5"/>
        <v>16.596061618782446</v>
      </c>
      <c r="AI11" s="4">
        <f t="shared" si="9"/>
        <v>13.545774808009293</v>
      </c>
      <c r="AJ11" s="4">
        <f t="shared" si="10"/>
        <v>11.692788453144747</v>
      </c>
    </row>
    <row r="12" spans="1:36">
      <c r="A12">
        <v>2008</v>
      </c>
      <c r="B12">
        <v>1593815</v>
      </c>
      <c r="C12">
        <v>1515137</v>
      </c>
      <c r="D12">
        <v>1283022</v>
      </c>
      <c r="E12">
        <v>1409926</v>
      </c>
      <c r="F12">
        <v>310793</v>
      </c>
      <c r="G12">
        <v>105211</v>
      </c>
      <c r="H12">
        <v>96247</v>
      </c>
      <c r="I12">
        <v>37438</v>
      </c>
      <c r="J12">
        <v>78702</v>
      </c>
      <c r="K12">
        <v>52557</v>
      </c>
      <c r="L12">
        <v>4362</v>
      </c>
      <c r="M12">
        <v>2967</v>
      </c>
      <c r="N12" s="1"/>
      <c r="O12" s="25">
        <v>11.770399884</v>
      </c>
      <c r="P12" s="25">
        <v>13.845047896000001</v>
      </c>
      <c r="Q12" s="25">
        <v>11.416193415</v>
      </c>
      <c r="R12" s="25">
        <v>16.298604708999999</v>
      </c>
      <c r="S12" s="25">
        <v>10.873731128999999</v>
      </c>
      <c r="T12" s="25">
        <v>21.138562423</v>
      </c>
      <c r="U12" s="25">
        <v>14.693667251000001</v>
      </c>
      <c r="V12" s="25">
        <v>16.279648762000001</v>
      </c>
      <c r="W12" s="25">
        <v>15.727877121000001</v>
      </c>
      <c r="X12" s="25">
        <v>17.631108864000002</v>
      </c>
      <c r="Y12" s="4"/>
      <c r="Z12" s="155">
        <f t="shared" ref="Z12:Z17" si="11">C12/(B12+C12)</f>
        <v>0.48734653992728094</v>
      </c>
      <c r="AA12" s="155">
        <f t="shared" si="1"/>
        <v>0.40040682924599458</v>
      </c>
      <c r="AB12" s="155">
        <f t="shared" ref="AB12:AB17" si="12">M12/(L12+M12)</f>
        <v>0.40483012689316417</v>
      </c>
      <c r="AC12" s="4">
        <f t="shared" ref="AC12:AC17" si="13">(D12*O12+E12*P12+F12*Q12+G12*R12)/SUM(D12:G12)</f>
        <v>12.829094981155013</v>
      </c>
      <c r="AD12" s="4">
        <f t="shared" si="8"/>
        <v>12.856607331365158</v>
      </c>
      <c r="AE12" s="4">
        <f t="shared" si="2"/>
        <v>12.650997346339684</v>
      </c>
      <c r="AF12" s="4">
        <f t="shared" si="3"/>
        <v>13.748359950369426</v>
      </c>
      <c r="AG12" s="21">
        <f t="shared" si="4"/>
        <v>15.328705079062281</v>
      </c>
      <c r="AH12" s="21">
        <f t="shared" si="5"/>
        <v>16.498362669025791</v>
      </c>
      <c r="AI12" s="4">
        <f t="shared" si="9"/>
        <v>14.015422697653277</v>
      </c>
      <c r="AJ12" s="4">
        <f t="shared" si="10"/>
        <v>11.701329828115272</v>
      </c>
    </row>
    <row r="13" spans="1:36">
      <c r="A13">
        <v>2009</v>
      </c>
      <c r="B13">
        <v>1599514</v>
      </c>
      <c r="C13">
        <v>1500747</v>
      </c>
      <c r="D13">
        <v>1285510</v>
      </c>
      <c r="E13">
        <v>1399353</v>
      </c>
      <c r="F13">
        <v>314004</v>
      </c>
      <c r="G13">
        <v>101394</v>
      </c>
      <c r="H13">
        <v>100004</v>
      </c>
      <c r="I13">
        <v>38530</v>
      </c>
      <c r="J13">
        <v>78263</v>
      </c>
      <c r="K13">
        <v>52142</v>
      </c>
      <c r="L13">
        <v>4663</v>
      </c>
      <c r="M13">
        <v>3034</v>
      </c>
      <c r="N13" s="1"/>
      <c r="O13" s="25">
        <v>12.007328609</v>
      </c>
      <c r="P13" s="25">
        <v>14.384133596</v>
      </c>
      <c r="Q13" s="25">
        <v>11.707860409</v>
      </c>
      <c r="R13" s="25">
        <v>16.923289347000001</v>
      </c>
      <c r="S13" s="25">
        <v>11.100165992999999</v>
      </c>
      <c r="T13" s="25">
        <v>21.627744615000001</v>
      </c>
      <c r="U13" s="25">
        <v>14.988404482</v>
      </c>
      <c r="V13" s="25">
        <v>17.048041886</v>
      </c>
      <c r="W13" s="25">
        <v>15.013832297</v>
      </c>
      <c r="X13" s="25">
        <v>18.275214239</v>
      </c>
      <c r="Y13" s="4"/>
      <c r="Z13" s="155">
        <f t="shared" si="11"/>
        <v>0.48407117981357056</v>
      </c>
      <c r="AA13" s="155">
        <f t="shared" si="1"/>
        <v>0.39984663164755951</v>
      </c>
      <c r="AB13" s="155">
        <f t="shared" si="12"/>
        <v>0.39417955047421072</v>
      </c>
      <c r="AC13" s="4">
        <f t="shared" si="13"/>
        <v>13.21058339928036</v>
      </c>
      <c r="AD13" s="4">
        <f t="shared" ref="AD13:AD17" si="14">(D13*O13+E13*P13)/(D13+E13)</f>
        <v>13.246121496746381</v>
      </c>
      <c r="AE13" s="4">
        <f t="shared" si="2"/>
        <v>12.980888208218033</v>
      </c>
      <c r="AF13" s="4">
        <f t="shared" si="3"/>
        <v>14.028166370565508</v>
      </c>
      <c r="AG13" s="21">
        <f t="shared" si="4"/>
        <v>15.811943560404725</v>
      </c>
      <c r="AH13" s="21">
        <f t="shared" si="5"/>
        <v>16.299402364822271</v>
      </c>
      <c r="AI13" s="4">
        <f t="shared" si="9"/>
        <v>14.555684935577487</v>
      </c>
      <c r="AJ13" s="4">
        <f t="shared" si="10"/>
        <v>11.948539368847804</v>
      </c>
    </row>
    <row r="14" spans="1:36">
      <c r="A14">
        <v>2010</v>
      </c>
      <c r="B14">
        <v>1617581</v>
      </c>
      <c r="C14">
        <v>1505338</v>
      </c>
      <c r="D14">
        <v>1297750</v>
      </c>
      <c r="E14">
        <v>1407707</v>
      </c>
      <c r="F14">
        <v>319831</v>
      </c>
      <c r="G14">
        <v>97631</v>
      </c>
      <c r="H14">
        <v>101482</v>
      </c>
      <c r="I14">
        <v>38890</v>
      </c>
      <c r="J14">
        <v>77608</v>
      </c>
      <c r="K14">
        <v>51436</v>
      </c>
      <c r="L14">
        <v>4796</v>
      </c>
      <c r="M14">
        <v>3036</v>
      </c>
      <c r="N14" s="1"/>
      <c r="O14" s="25">
        <v>12.172967057999999</v>
      </c>
      <c r="P14" s="25">
        <v>14.810830308</v>
      </c>
      <c r="Q14" s="25">
        <v>11.87680056</v>
      </c>
      <c r="R14" s="25">
        <v>17.526579672</v>
      </c>
      <c r="S14" s="25">
        <v>11.521796969</v>
      </c>
      <c r="T14" s="25">
        <v>22.169400874000001</v>
      </c>
      <c r="U14" s="25">
        <v>15.249233326000001</v>
      </c>
      <c r="V14" s="25">
        <v>17.830099540999999</v>
      </c>
      <c r="W14" s="25">
        <v>14.933903253</v>
      </c>
      <c r="X14" s="25">
        <v>19.005270092</v>
      </c>
      <c r="Y14" s="4"/>
      <c r="Z14" s="155">
        <f t="shared" si="11"/>
        <v>0.4820291528534682</v>
      </c>
      <c r="AA14" s="155">
        <f t="shared" ref="AA14:AA18" si="15">K14/(J14+K14)</f>
        <v>0.39859272806174639</v>
      </c>
      <c r="AB14" s="155">
        <f t="shared" si="12"/>
        <v>0.38764044943820225</v>
      </c>
      <c r="AC14" s="4">
        <f t="shared" si="13"/>
        <v>13.499064176741584</v>
      </c>
      <c r="AD14" s="4">
        <f t="shared" si="14"/>
        <v>13.545503587713002</v>
      </c>
      <c r="AE14" s="4">
        <f t="shared" ref="AE14:AE18" si="16">(F14*Q14+G14*R14)/(F14+G14)</f>
        <v>13.198103060547766</v>
      </c>
      <c r="AF14" s="4">
        <f t="shared" ref="AF14:AF18" si="17">(H14*S14+I14*T14)/(H14+I14)</f>
        <v>14.47171088249735</v>
      </c>
      <c r="AG14" s="21">
        <f t="shared" ref="AG14:AG18" si="18">(J14*U14+K14*V14)/(J14+K14)</f>
        <v>16.277947831399246</v>
      </c>
      <c r="AH14" s="21">
        <f t="shared" ref="AH14:AH18" si="19">(L14*W14+M14*X14)/(L14+M14)</f>
        <v>16.512129724297754</v>
      </c>
      <c r="AI14" s="4">
        <f t="shared" si="9"/>
        <v>14.986964389619335</v>
      </c>
      <c r="AJ14" s="4">
        <f t="shared" si="10"/>
        <v>12.114408489852972</v>
      </c>
    </row>
    <row r="15" spans="1:36">
      <c r="A15">
        <v>2011</v>
      </c>
      <c r="B15">
        <v>1632753</v>
      </c>
      <c r="C15">
        <v>1485410</v>
      </c>
      <c r="D15">
        <v>1306679</v>
      </c>
      <c r="E15">
        <v>1391812</v>
      </c>
      <c r="F15">
        <v>326074</v>
      </c>
      <c r="G15">
        <v>93598</v>
      </c>
      <c r="H15">
        <v>102086</v>
      </c>
      <c r="I15">
        <v>38898</v>
      </c>
      <c r="J15">
        <v>77537</v>
      </c>
      <c r="K15">
        <v>50286</v>
      </c>
      <c r="L15">
        <v>4950</v>
      </c>
      <c r="M15">
        <v>2989</v>
      </c>
      <c r="N15" s="1"/>
      <c r="O15" s="25">
        <v>12.303188465</v>
      </c>
      <c r="P15" s="25">
        <v>15.256153848</v>
      </c>
      <c r="Q15" s="25">
        <v>11.968634420000001</v>
      </c>
      <c r="R15" s="25">
        <v>18.064242826000001</v>
      </c>
      <c r="S15" s="25">
        <v>11.985570988999999</v>
      </c>
      <c r="T15" s="25">
        <v>22.883952902000001</v>
      </c>
      <c r="U15" s="25">
        <v>15.406238311999999</v>
      </c>
      <c r="V15" s="25">
        <v>18.607365866999999</v>
      </c>
      <c r="W15" s="25">
        <v>14.568484848000001</v>
      </c>
      <c r="X15" s="25">
        <v>19.796754766999999</v>
      </c>
      <c r="Y15" s="4"/>
      <c r="Z15" s="155">
        <f t="shared" si="11"/>
        <v>0.4763734288425589</v>
      </c>
      <c r="AA15" s="155">
        <f t="shared" si="15"/>
        <v>0.39340337810879106</v>
      </c>
      <c r="AB15" s="155">
        <f>M15/(L15+M15)</f>
        <v>0.37649578032497794</v>
      </c>
      <c r="AC15" s="4">
        <f t="shared" si="13"/>
        <v>13.759208065660886</v>
      </c>
      <c r="AD15" s="4">
        <f t="shared" si="14"/>
        <v>13.826251782848383</v>
      </c>
      <c r="AE15" s="4">
        <f t="shared" si="16"/>
        <v>13.328116957755173</v>
      </c>
      <c r="AF15" s="4">
        <f t="shared" si="17"/>
        <v>14.992474323079568</v>
      </c>
      <c r="AG15" s="21">
        <f t="shared" si="18"/>
        <v>16.665572705894135</v>
      </c>
      <c r="AH15" s="21">
        <f t="shared" si="19"/>
        <v>16.536906410903516</v>
      </c>
      <c r="AI15" s="4">
        <f t="shared" ref="AI15:AI20" si="20">(E15*P15+G15*R15)/SUM(E15,G15)</f>
        <v>15.433095912590144</v>
      </c>
      <c r="AJ15" s="4">
        <f t="shared" si="10"/>
        <v>12.236375312202652</v>
      </c>
    </row>
    <row r="16" spans="1:36">
      <c r="A16">
        <v>2012</v>
      </c>
      <c r="B16">
        <v>1679640</v>
      </c>
      <c r="C16">
        <v>1486706</v>
      </c>
      <c r="D16">
        <v>1341327</v>
      </c>
      <c r="E16">
        <v>1395331</v>
      </c>
      <c r="F16">
        <v>338313</v>
      </c>
      <c r="G16">
        <v>91375</v>
      </c>
      <c r="H16">
        <v>104365</v>
      </c>
      <c r="I16">
        <v>39367</v>
      </c>
      <c r="J16">
        <v>78312</v>
      </c>
      <c r="K16">
        <v>49525</v>
      </c>
      <c r="L16">
        <v>5071</v>
      </c>
      <c r="M16">
        <v>2992</v>
      </c>
      <c r="N16" s="1"/>
      <c r="O16" s="25">
        <v>12.379164439</v>
      </c>
      <c r="P16" s="25">
        <v>15.676333429</v>
      </c>
      <c r="Q16" s="25">
        <v>12.036278534999999</v>
      </c>
      <c r="R16" s="25">
        <v>18.607983583999999</v>
      </c>
      <c r="S16" s="25">
        <v>12.424337660999999</v>
      </c>
      <c r="T16" s="25">
        <v>23.488391291999999</v>
      </c>
      <c r="U16" s="25">
        <v>15.555476811</v>
      </c>
      <c r="V16" s="25">
        <v>19.379798082000001</v>
      </c>
      <c r="W16" s="25">
        <v>14.363340564</v>
      </c>
      <c r="X16" s="25">
        <v>20.390374332</v>
      </c>
      <c r="Y16" s="4"/>
      <c r="Z16" s="155">
        <f t="shared" si="11"/>
        <v>0.46953365172346928</v>
      </c>
      <c r="AA16" s="155">
        <f t="shared" si="15"/>
        <v>0.38740740161299153</v>
      </c>
      <c r="AB16" s="155">
        <f t="shared" si="12"/>
        <v>0.37107776261937242</v>
      </c>
      <c r="AC16" s="4">
        <f t="shared" si="13"/>
        <v>13.975262178956436</v>
      </c>
      <c r="AD16" s="4">
        <f t="shared" si="14"/>
        <v>14.060281372130003</v>
      </c>
      <c r="AE16" s="4">
        <f t="shared" si="16"/>
        <v>13.433779858873075</v>
      </c>
      <c r="AF16" s="4">
        <f t="shared" si="17"/>
        <v>15.454689978448979</v>
      </c>
      <c r="AG16" s="21">
        <f t="shared" si="18"/>
        <v>17.037047177531406</v>
      </c>
      <c r="AH16" s="21">
        <f t="shared" si="19"/>
        <v>16.599838769860849</v>
      </c>
      <c r="AI16" s="4">
        <f t="shared" si="20"/>
        <v>15.85651668844277</v>
      </c>
      <c r="AJ16" s="4">
        <f t="shared" si="10"/>
        <v>12.310100378344172</v>
      </c>
    </row>
    <row r="17" spans="1:36">
      <c r="A17">
        <v>2013</v>
      </c>
      <c r="B17">
        <v>1737841</v>
      </c>
      <c r="C17">
        <v>1506227</v>
      </c>
      <c r="D17">
        <v>1380510</v>
      </c>
      <c r="E17">
        <v>1414328</v>
      </c>
      <c r="F17">
        <v>357331</v>
      </c>
      <c r="G17">
        <v>91899</v>
      </c>
      <c r="H17">
        <v>107560</v>
      </c>
      <c r="I17">
        <v>40263</v>
      </c>
      <c r="J17">
        <v>80379</v>
      </c>
      <c r="K17">
        <v>49408</v>
      </c>
      <c r="L17">
        <v>5290</v>
      </c>
      <c r="M17">
        <v>3026</v>
      </c>
      <c r="N17" s="1"/>
      <c r="O17" s="25">
        <v>12.425146866</v>
      </c>
      <c r="P17" s="25">
        <v>15.946036209000001</v>
      </c>
      <c r="Q17" s="25">
        <v>11.965154157000001</v>
      </c>
      <c r="R17" s="25">
        <v>18.860798268</v>
      </c>
      <c r="S17" s="25">
        <v>12.749446819999999</v>
      </c>
      <c r="T17" s="25">
        <v>24.012679134999999</v>
      </c>
      <c r="U17" s="25">
        <v>15.616672265</v>
      </c>
      <c r="V17" s="25">
        <v>20.034245466000002</v>
      </c>
      <c r="W17" s="25">
        <v>14.221172022999999</v>
      </c>
      <c r="X17" s="25">
        <v>20.713152677</v>
      </c>
      <c r="Y17" s="4"/>
      <c r="Z17" s="155">
        <f t="shared" si="11"/>
        <v>0.46430191968848988</v>
      </c>
      <c r="AA17" s="155">
        <f t="shared" si="15"/>
        <v>0.38068527664558083</v>
      </c>
      <c r="AB17" s="155">
        <f t="shared" si="12"/>
        <v>0.36387686387686385</v>
      </c>
      <c r="AC17" s="4">
        <f t="shared" si="13"/>
        <v>14.091805103804887</v>
      </c>
      <c r="AD17" s="4">
        <f t="shared" si="14"/>
        <v>14.206893207901214</v>
      </c>
      <c r="AE17" s="4">
        <f t="shared" si="16"/>
        <v>13.375796362900738</v>
      </c>
      <c r="AF17" s="4">
        <f t="shared" si="17"/>
        <v>15.817247654097841</v>
      </c>
      <c r="AG17" s="21">
        <f t="shared" si="18"/>
        <v>17.298377341124791</v>
      </c>
      <c r="AH17" s="21">
        <f t="shared" si="19"/>
        <v>16.58345358372679</v>
      </c>
      <c r="AI17" s="4">
        <f t="shared" si="20"/>
        <v>16.123873758360116</v>
      </c>
      <c r="AJ17" s="4">
        <f t="shared" si="10"/>
        <v>12.330564188586084</v>
      </c>
    </row>
    <row r="18" spans="1:36">
      <c r="A18">
        <v>2014</v>
      </c>
      <c r="B18">
        <v>1807091</v>
      </c>
      <c r="C18">
        <v>1552676</v>
      </c>
      <c r="D18">
        <v>1425714</v>
      </c>
      <c r="E18">
        <v>1458491</v>
      </c>
      <c r="F18">
        <v>381377</v>
      </c>
      <c r="G18">
        <v>94185</v>
      </c>
      <c r="H18">
        <v>111426</v>
      </c>
      <c r="I18">
        <v>41680</v>
      </c>
      <c r="J18">
        <v>83621</v>
      </c>
      <c r="K18">
        <v>49708</v>
      </c>
      <c r="L18">
        <v>5501</v>
      </c>
      <c r="M18">
        <v>3031</v>
      </c>
      <c r="N18" s="1"/>
      <c r="O18" s="25">
        <v>12.411885904</v>
      </c>
      <c r="P18" s="25">
        <v>16.060551281999999</v>
      </c>
      <c r="Q18" s="25">
        <v>11.803155408</v>
      </c>
      <c r="R18" s="25">
        <v>18.920725169000001</v>
      </c>
      <c r="S18" s="25">
        <v>13.022903093</v>
      </c>
      <c r="T18" s="25">
        <v>24.450791747</v>
      </c>
      <c r="U18" s="25">
        <v>15.554059387000001</v>
      </c>
      <c r="V18" s="25">
        <v>20.612517100000002</v>
      </c>
      <c r="W18" s="25">
        <v>14.157880385</v>
      </c>
      <c r="X18" s="25">
        <v>21.214945563000001</v>
      </c>
      <c r="Y18" s="4"/>
      <c r="Z18" s="155">
        <f t="shared" ref="Z18" si="21">C18/(B18+C18)</f>
        <v>0.46213799945055711</v>
      </c>
      <c r="AA18" s="155">
        <f t="shared" si="15"/>
        <v>0.37282211671879334</v>
      </c>
      <c r="AB18" s="155">
        <f t="shared" ref="AB18" si="22">M18/(L18+M18)</f>
        <v>0.35525082044069384</v>
      </c>
      <c r="AC18" s="4">
        <f t="shared" ref="AC18" si="23">(D18*O18+E18*P18+F18*Q18+G18*R18)/SUM(D18:G18)</f>
        <v>14.109153848957384</v>
      </c>
      <c r="AD18" s="4">
        <f t="shared" ref="AD18:AD23" si="24">(D18*O18+E18*P18)/(D18+E18)</f>
        <v>14.256950875395793</v>
      </c>
      <c r="AE18" s="4">
        <f t="shared" si="16"/>
        <v>13.212789289470313</v>
      </c>
      <c r="AF18" s="4">
        <f t="shared" si="17"/>
        <v>16.133913759458011</v>
      </c>
      <c r="AG18" s="21">
        <f t="shared" si="18"/>
        <v>17.43996429889317</v>
      </c>
      <c r="AH18" s="21">
        <f t="shared" si="19"/>
        <v>16.664908579387951</v>
      </c>
      <c r="AI18" s="4">
        <f t="shared" si="20"/>
        <v>16.234048829168305</v>
      </c>
      <c r="AJ18" s="4">
        <f t="shared" si="10"/>
        <v>12.283416551669104</v>
      </c>
    </row>
    <row r="19" spans="1:36">
      <c r="A19">
        <v>2015</v>
      </c>
      <c r="B19">
        <v>1877970</v>
      </c>
      <c r="C19">
        <v>1605290</v>
      </c>
      <c r="D19">
        <v>1470960</v>
      </c>
      <c r="E19">
        <v>1508234</v>
      </c>
      <c r="F19">
        <v>407010</v>
      </c>
      <c r="G19">
        <v>97056</v>
      </c>
      <c r="H19">
        <v>115709</v>
      </c>
      <c r="I19">
        <v>43205</v>
      </c>
      <c r="J19">
        <v>86672</v>
      </c>
      <c r="K19">
        <v>50160</v>
      </c>
      <c r="L19">
        <v>5737</v>
      </c>
      <c r="M19">
        <v>3023</v>
      </c>
      <c r="N19" s="1"/>
      <c r="O19" s="25">
        <v>12.364581974</v>
      </c>
      <c r="P19" s="25">
        <v>16.139713400000002</v>
      </c>
      <c r="Q19" s="25">
        <v>11.641199233</v>
      </c>
      <c r="R19" s="25">
        <v>18.944877183999999</v>
      </c>
      <c r="S19" s="25">
        <v>13.179834758</v>
      </c>
      <c r="T19" s="25">
        <v>24.828480500000001</v>
      </c>
      <c r="U19" s="25">
        <v>15.530517353</v>
      </c>
      <c r="V19" s="25">
        <v>21.090749600999999</v>
      </c>
      <c r="W19" s="25">
        <v>14.128725814999999</v>
      </c>
      <c r="X19" s="25">
        <v>21.711379424</v>
      </c>
      <c r="Y19" s="4"/>
      <c r="Z19" s="155">
        <f t="shared" ref="Z19" si="25">C19/(B19+C19)</f>
        <v>0.46085850611209039</v>
      </c>
      <c r="AA19" s="155">
        <f t="shared" ref="AA19:AA26" si="26">K19/(J19+K19)</f>
        <v>0.36658091674462112</v>
      </c>
      <c r="AB19" s="155">
        <f t="shared" ref="AB19" si="27">M19/(L19+M19)</f>
        <v>0.34509132420091326</v>
      </c>
      <c r="AC19" s="4">
        <f t="shared" ref="AC19" si="28">(D19*O19+E19*P19+F19*Q19+G19*R19)/SUM(D19:G19)</f>
        <v>14.098019814887282</v>
      </c>
      <c r="AD19" s="4">
        <f t="shared" si="24"/>
        <v>14.275763847742256</v>
      </c>
      <c r="AE19" s="4">
        <f t="shared" ref="AE19:AE26" si="29">(F19*Q19+G19*R19)/(F19+G19)</f>
        <v>13.047494772100546</v>
      </c>
      <c r="AF19" s="4">
        <f t="shared" ref="AF19:AF26" si="30">(H19*S19+I19*T19)/(H19+I19)</f>
        <v>16.346829102633638</v>
      </c>
      <c r="AG19" s="21">
        <f t="shared" ref="AG19:AG26" si="31">(J19*U19+K19*V19)/(J19+K19)</f>
        <v>17.568792387784843</v>
      </c>
      <c r="AH19" s="21">
        <f t="shared" ref="AH19:AH26" si="32">(L19*W19+M19*X19)/(L19+M19)</f>
        <v>16.74543378988664</v>
      </c>
      <c r="AI19" s="4">
        <f t="shared" si="20"/>
        <v>16.309313893505784</v>
      </c>
      <c r="AJ19" s="4">
        <f t="shared" si="10"/>
        <v>12.207804171684517</v>
      </c>
    </row>
    <row r="20" spans="1:36">
      <c r="A20">
        <v>2016</v>
      </c>
      <c r="B20">
        <v>1964176</v>
      </c>
      <c r="C20">
        <v>1667364</v>
      </c>
      <c r="D20">
        <v>1525972</v>
      </c>
      <c r="E20">
        <v>1565023</v>
      </c>
      <c r="F20">
        <v>438204</v>
      </c>
      <c r="G20">
        <v>102341</v>
      </c>
      <c r="H20">
        <v>119768</v>
      </c>
      <c r="I20">
        <v>44583</v>
      </c>
      <c r="J20">
        <v>89578</v>
      </c>
      <c r="K20">
        <v>50591</v>
      </c>
      <c r="L20">
        <v>6339</v>
      </c>
      <c r="M20">
        <v>3032</v>
      </c>
      <c r="N20" s="1"/>
      <c r="O20" s="25">
        <v>12.29752905</v>
      </c>
      <c r="P20" s="25">
        <v>16.281382766</v>
      </c>
      <c r="Q20" s="25">
        <v>11.432858896999999</v>
      </c>
      <c r="R20" s="25">
        <v>18.773556053</v>
      </c>
      <c r="S20" s="25">
        <v>13.384276267000001</v>
      </c>
      <c r="T20" s="25">
        <v>25.235224189</v>
      </c>
      <c r="U20" s="25">
        <v>15.581805801</v>
      </c>
      <c r="V20" s="25">
        <v>21.550937913999999</v>
      </c>
      <c r="W20" s="25">
        <v>13.439422622</v>
      </c>
      <c r="X20" s="25">
        <v>22.218667545999999</v>
      </c>
      <c r="Y20" s="4"/>
      <c r="Z20" s="155">
        <f t="shared" ref="Z20" si="33">C20/(B20+C20)</f>
        <v>0.4591341414386183</v>
      </c>
      <c r="AA20" s="155">
        <f t="shared" si="26"/>
        <v>0.36092859334089561</v>
      </c>
      <c r="AB20" s="155">
        <f t="shared" ref="AB20" si="34">M20/(L20+M20)</f>
        <v>0.3235513819229538</v>
      </c>
      <c r="AC20" s="4">
        <f t="shared" ref="AC20" si="35">(D20*O20+E20*P20+F20*Q20+G20*R20)/SUM(D20:G20)</f>
        <v>14.092548202746292</v>
      </c>
      <c r="AD20" s="4">
        <f t="shared" si="24"/>
        <v>14.314621505398815</v>
      </c>
      <c r="AE20" s="4">
        <f t="shared" si="29"/>
        <v>12.822667863214091</v>
      </c>
      <c r="AF20" s="4">
        <f t="shared" si="30"/>
        <v>16.599047161040964</v>
      </c>
      <c r="AG20" s="21">
        <f t="shared" si="31"/>
        <v>17.736236258011058</v>
      </c>
      <c r="AH20" s="21">
        <f t="shared" si="32"/>
        <v>16.279959449400277</v>
      </c>
      <c r="AI20" s="4">
        <f t="shared" si="20"/>
        <v>16.434349668466925</v>
      </c>
      <c r="AJ20" s="4">
        <f t="shared" si="10"/>
        <v>12.104622752537241</v>
      </c>
    </row>
    <row r="21" spans="1:36">
      <c r="A21">
        <v>2017</v>
      </c>
      <c r="B21">
        <v>2052773</v>
      </c>
      <c r="C21">
        <v>1730960</v>
      </c>
      <c r="D21">
        <v>1578954</v>
      </c>
      <c r="E21">
        <v>1622304</v>
      </c>
      <c r="F21">
        <v>473819</v>
      </c>
      <c r="G21">
        <v>108656</v>
      </c>
      <c r="H21">
        <v>123951</v>
      </c>
      <c r="I21">
        <v>46378</v>
      </c>
      <c r="J21">
        <v>93448</v>
      </c>
      <c r="K21">
        <v>51380</v>
      </c>
      <c r="L21">
        <v>6855</v>
      </c>
      <c r="M21">
        <v>3033</v>
      </c>
      <c r="N21" s="1"/>
      <c r="O21" s="25">
        <v>12.194175701000001</v>
      </c>
      <c r="P21" s="25">
        <v>16.370533513000002</v>
      </c>
      <c r="Q21" s="25">
        <v>11.163143521</v>
      </c>
      <c r="R21" s="25">
        <v>18.538801355</v>
      </c>
      <c r="S21" s="25">
        <v>13.579894474</v>
      </c>
      <c r="T21" s="25">
        <v>25.533334771</v>
      </c>
      <c r="U21" s="25">
        <v>15.471727592000001</v>
      </c>
      <c r="V21" s="25">
        <v>21.855118723</v>
      </c>
      <c r="W21" s="25">
        <v>13.039460247999999</v>
      </c>
      <c r="X21" s="25">
        <v>22.622321134</v>
      </c>
      <c r="Y21" s="4"/>
      <c r="Z21" s="155">
        <f t="shared" ref="Z21" si="36">C21/(B21+C21)</f>
        <v>0.45747413995649272</v>
      </c>
      <c r="AA21" s="155">
        <f t="shared" si="26"/>
        <v>0.35476565305051511</v>
      </c>
      <c r="AB21" s="155">
        <f t="shared" ref="AB21" si="37">M21/(L21+M21)</f>
        <v>0.30673543689320387</v>
      </c>
      <c r="AC21" s="4">
        <f t="shared" ref="AC21" si="38">(D21*O21+E21*P21+F21*Q21+G21*R21)/SUM(D21:G21)</f>
        <v>14.037905423050804</v>
      </c>
      <c r="AD21" s="4">
        <f t="shared" si="24"/>
        <v>14.310631789149985</v>
      </c>
      <c r="AE21" s="4">
        <f t="shared" si="29"/>
        <v>12.539012833178385</v>
      </c>
      <c r="AF21" s="4">
        <f t="shared" si="30"/>
        <v>16.834634736047366</v>
      </c>
      <c r="AG21" s="21">
        <f t="shared" si="31"/>
        <v>17.736335515266081</v>
      </c>
      <c r="AH21" s="21">
        <f t="shared" si="32"/>
        <v>15.978863268554003</v>
      </c>
      <c r="AI21" s="4">
        <f t="shared" ref="AI21" si="39">(E21*P21+G21*R21)/SUM(E21,G21)</f>
        <v>16.506640246050072</v>
      </c>
      <c r="AJ21" s="4">
        <f t="shared" si="10"/>
        <v>11.956193889813171</v>
      </c>
    </row>
    <row r="22" spans="1:36" ht="12.65" customHeight="1">
      <c r="A22">
        <v>2018</v>
      </c>
      <c r="B22">
        <v>2136090</v>
      </c>
      <c r="C22">
        <v>1763928</v>
      </c>
      <c r="D22">
        <v>1626753</v>
      </c>
      <c r="E22">
        <v>1650447</v>
      </c>
      <c r="F22">
        <v>509337</v>
      </c>
      <c r="G22">
        <v>113481</v>
      </c>
      <c r="H22">
        <v>127861</v>
      </c>
      <c r="I22">
        <v>48202</v>
      </c>
      <c r="J22">
        <v>97355</v>
      </c>
      <c r="K22">
        <v>52005</v>
      </c>
      <c r="L22">
        <v>7634</v>
      </c>
      <c r="M22">
        <v>3030</v>
      </c>
      <c r="N22" s="1"/>
      <c r="O22" s="25">
        <v>12.113339271999999</v>
      </c>
      <c r="P22" s="25">
        <v>16.549887090999999</v>
      </c>
      <c r="Q22" s="25">
        <v>10.939958219999999</v>
      </c>
      <c r="R22" s="25">
        <v>18.488852759</v>
      </c>
      <c r="S22" s="25">
        <v>13.785579652999999</v>
      </c>
      <c r="T22" s="25">
        <v>25.947149496000002</v>
      </c>
      <c r="U22" s="25">
        <v>15.368106415</v>
      </c>
      <c r="V22" s="25">
        <v>22.168281896</v>
      </c>
      <c r="W22" s="25">
        <v>12.341498559</v>
      </c>
      <c r="X22" s="25">
        <v>23.043234323</v>
      </c>
      <c r="Y22" s="4"/>
      <c r="Z22" s="155">
        <f t="shared" ref="Z22" si="40">C22/(B22+C22)</f>
        <v>0.45228714329010788</v>
      </c>
      <c r="AA22" s="155">
        <f t="shared" si="26"/>
        <v>0.34818559185859665</v>
      </c>
      <c r="AB22" s="155">
        <f t="shared" ref="AB22" si="41">M22/(L22+M22)</f>
        <v>0.28413353338334585</v>
      </c>
      <c r="AC22" s="4">
        <f t="shared" ref="AC22" si="42">(D22*O22+E22*P22+F22*Q22+G22*R22)/SUM(D22:G22)</f>
        <v>14.023110021612133</v>
      </c>
      <c r="AD22" s="4">
        <f t="shared" si="24"/>
        <v>14.347651196272272</v>
      </c>
      <c r="AE22" s="4">
        <f t="shared" si="29"/>
        <v>12.315409958999611</v>
      </c>
      <c r="AF22" s="4">
        <f t="shared" si="30"/>
        <v>17.115137763291692</v>
      </c>
      <c r="AG22" s="21">
        <f t="shared" si="31"/>
        <v>17.735829539594302</v>
      </c>
      <c r="AH22" s="21">
        <f t="shared" si="32"/>
        <v>15.38222055496024</v>
      </c>
      <c r="AI22" s="4">
        <f t="shared" ref="AI22" si="43">(E22*P22+G22*R22)/SUM(E22,G22)</f>
        <v>16.674629009587552</v>
      </c>
      <c r="AJ22" s="4">
        <f t="shared" ref="AJ22" si="44">(D22*O22+F22*Q22)/SUM(D22,F22)</f>
        <v>11.833554064034733</v>
      </c>
    </row>
    <row r="23" spans="1:36" ht="12.65" customHeight="1">
      <c r="A23">
        <v>2019</v>
      </c>
      <c r="B23">
        <v>2210273</v>
      </c>
      <c r="C23">
        <v>1786322</v>
      </c>
      <c r="D23">
        <v>1668860</v>
      </c>
      <c r="E23">
        <v>1669184</v>
      </c>
      <c r="F23">
        <v>541413</v>
      </c>
      <c r="G23">
        <v>117138</v>
      </c>
      <c r="H23">
        <v>131882</v>
      </c>
      <c r="I23">
        <v>49794</v>
      </c>
      <c r="J23">
        <v>101102</v>
      </c>
      <c r="K23">
        <v>52371</v>
      </c>
      <c r="L23">
        <v>7933</v>
      </c>
      <c r="M23">
        <v>3006</v>
      </c>
      <c r="N23" s="1"/>
      <c r="O23" s="25">
        <v>12.086141438</v>
      </c>
      <c r="P23" s="25">
        <v>16.751413864</v>
      </c>
      <c r="Q23" s="25">
        <v>10.846633715999999</v>
      </c>
      <c r="R23" s="25">
        <v>18.522904608000001</v>
      </c>
      <c r="S23" s="25">
        <v>14.020184711000001</v>
      </c>
      <c r="T23" s="25">
        <v>26.418062417000002</v>
      </c>
      <c r="U23" s="25">
        <v>15.28196277</v>
      </c>
      <c r="V23" s="25">
        <v>22.480103492000001</v>
      </c>
      <c r="W23" s="25">
        <v>12.562271524</v>
      </c>
      <c r="X23" s="25">
        <v>23.509980039999999</v>
      </c>
      <c r="Y23" s="4"/>
      <c r="Z23" s="155">
        <f t="shared" ref="Z23" si="45">C23/(B23+C23)</f>
        <v>0.44696097553042025</v>
      </c>
      <c r="AA23" s="155">
        <f t="shared" si="26"/>
        <v>0.34123917562046746</v>
      </c>
      <c r="AB23" s="155">
        <f t="shared" ref="AB23" si="46">M23/(L23+M23)</f>
        <v>0.27479659932352135</v>
      </c>
      <c r="AC23" s="4">
        <f t="shared" ref="AC23" si="47">(D23*O23+E23*P23+F23*Q23+G23*R23)/SUM(D23:G23)</f>
        <v>14.055343235789531</v>
      </c>
      <c r="AD23" s="4">
        <f t="shared" si="24"/>
        <v>14.419004063274077</v>
      </c>
      <c r="AE23" s="4">
        <f t="shared" si="29"/>
        <v>12.212029896018095</v>
      </c>
      <c r="AF23" s="4">
        <f t="shared" si="30"/>
        <v>17.418211541690706</v>
      </c>
      <c r="AG23" s="21">
        <f t="shared" si="31"/>
        <v>17.738250375975397</v>
      </c>
      <c r="AH23" s="21">
        <f t="shared" si="32"/>
        <v>15.570664594581952</v>
      </c>
      <c r="AI23" s="4">
        <f t="shared" ref="AI23" si="48">(E23*P23+G23*R23)/SUM(E23,G23)</f>
        <v>16.867579304928721</v>
      </c>
      <c r="AJ23" s="4">
        <f t="shared" ref="AJ23" si="49">(D23*O23+F23*Q23)/SUM(D23,F23)</f>
        <v>11.782520304189296</v>
      </c>
    </row>
    <row r="24" spans="1:36" ht="12.65" customHeight="1">
      <c r="A24">
        <v>2020</v>
      </c>
      <c r="B24">
        <v>2253391</v>
      </c>
      <c r="C24">
        <v>1784401</v>
      </c>
      <c r="D24">
        <v>1690168</v>
      </c>
      <c r="E24">
        <v>1665396</v>
      </c>
      <c r="F24">
        <v>563223</v>
      </c>
      <c r="G24">
        <v>119005</v>
      </c>
      <c r="H24">
        <v>136307</v>
      </c>
      <c r="I24">
        <v>51180</v>
      </c>
      <c r="J24">
        <v>103867</v>
      </c>
      <c r="K24">
        <v>52621</v>
      </c>
      <c r="L24">
        <v>8033</v>
      </c>
      <c r="M24">
        <v>2948</v>
      </c>
      <c r="N24" s="1"/>
      <c r="O24" s="25">
        <v>12.259013600999999</v>
      </c>
      <c r="P24" s="25">
        <v>17.070757946000001</v>
      </c>
      <c r="Q24" s="25">
        <v>11.016392264</v>
      </c>
      <c r="R24" s="25">
        <v>18.755964035000002</v>
      </c>
      <c r="S24" s="25">
        <v>14.213884834</v>
      </c>
      <c r="T24" s="25">
        <v>26.981652989000001</v>
      </c>
      <c r="U24" s="25">
        <v>15.418703727</v>
      </c>
      <c r="V24" s="25">
        <v>22.860160392000001</v>
      </c>
      <c r="W24" s="25">
        <v>13.073011328</v>
      </c>
      <c r="X24" s="25">
        <v>24.135006784000002</v>
      </c>
      <c r="Y24" s="4"/>
      <c r="Z24" s="155">
        <f t="shared" ref="Z24:Z26" si="50">C24/(B24+C24)</f>
        <v>0.44192494313723935</v>
      </c>
      <c r="AA24" s="155">
        <f t="shared" si="26"/>
        <v>0.33626220540872143</v>
      </c>
      <c r="AB24" s="155">
        <f t="shared" ref="AB24" si="51">M24/(L24+M24)</f>
        <v>0.26846371004462255</v>
      </c>
      <c r="AC24" s="4">
        <f t="shared" ref="AC24" si="52">(D24*O24+E24*P24+F24*Q24+G24*R24)/SUM(D24:G24)</f>
        <v>14.261780572229481</v>
      </c>
      <c r="AD24" s="4">
        <f t="shared" ref="AD24" si="53">(D24*O24+E24*P24)/(D24+E24)</f>
        <v>14.647124745709389</v>
      </c>
      <c r="AE24" s="4">
        <f t="shared" si="29"/>
        <v>12.366450805437548</v>
      </c>
      <c r="AF24" s="4">
        <f t="shared" si="30"/>
        <v>17.699216479249539</v>
      </c>
      <c r="AG24" s="21">
        <f t="shared" si="31"/>
        <v>17.920984356626331</v>
      </c>
      <c r="AH24" s="21">
        <f t="shared" si="32"/>
        <v>16.042755668614515</v>
      </c>
      <c r="AI24" s="4">
        <f t="shared" ref="AI24" si="54">(E24*P24+G24*R24)/SUM(E24,G24)</f>
        <v>17.183147454087838</v>
      </c>
      <c r="AJ24" s="4">
        <f t="shared" ref="AJ24" si="55">(D24*O24+F24*Q24)/SUM(D24,F24)</f>
        <v>11.948427059521334</v>
      </c>
    </row>
    <row r="25" spans="1:36">
      <c r="A25">
        <v>2021</v>
      </c>
      <c r="B25">
        <v>2339529</v>
      </c>
      <c r="C25">
        <v>1786272</v>
      </c>
      <c r="D25">
        <v>1741916</v>
      </c>
      <c r="E25">
        <v>1667681</v>
      </c>
      <c r="F25">
        <v>597613</v>
      </c>
      <c r="G25">
        <v>118591</v>
      </c>
      <c r="H25">
        <v>141842</v>
      </c>
      <c r="I25">
        <v>52079</v>
      </c>
      <c r="J25">
        <v>107699</v>
      </c>
      <c r="K25">
        <v>53372</v>
      </c>
      <c r="L25">
        <v>8261</v>
      </c>
      <c r="M25">
        <v>2864</v>
      </c>
      <c r="O25" s="25">
        <v>12.222510155</v>
      </c>
      <c r="P25" s="25">
        <v>17.323689302999998</v>
      </c>
      <c r="Q25" s="25">
        <v>10.956183182</v>
      </c>
      <c r="R25" s="25">
        <v>19.208536061</v>
      </c>
      <c r="S25" s="25">
        <v>14.277181653</v>
      </c>
      <c r="T25" s="25">
        <v>27.767459053</v>
      </c>
      <c r="U25" s="25">
        <v>15.355193642</v>
      </c>
      <c r="V25" s="25">
        <v>23.039664992999999</v>
      </c>
      <c r="W25" s="25">
        <v>13.343541944</v>
      </c>
      <c r="X25" s="25">
        <v>24.869762569999999</v>
      </c>
      <c r="Z25" s="155">
        <f t="shared" si="50"/>
        <v>0.43295156504155191</v>
      </c>
      <c r="AA25" s="155">
        <f t="shared" si="26"/>
        <v>0.33135697922034385</v>
      </c>
      <c r="AB25" s="155">
        <f>M25/(L25+M25)</f>
        <v>0.25743820224719099</v>
      </c>
      <c r="AC25" s="4">
        <f>(D25*O25+E25*P25+F25*Q25+G25*R25)/SUM(D25:G25)</f>
        <v>14.301826602792509</v>
      </c>
      <c r="AD25" s="4">
        <f>(D25*O25+E25*P25)/(D25+E25)</f>
        <v>14.717567354638486</v>
      </c>
      <c r="AE25" s="4">
        <f t="shared" si="29"/>
        <v>12.322630144420607</v>
      </c>
      <c r="AF25" s="4">
        <f t="shared" si="30"/>
        <v>17.900101072323331</v>
      </c>
      <c r="AG25" s="21">
        <f t="shared" si="31"/>
        <v>17.901496855772635</v>
      </c>
      <c r="AH25" s="21">
        <f t="shared" si="32"/>
        <v>16.310831460661934</v>
      </c>
      <c r="AI25" s="4">
        <f>(E25*P25+G25*R25)/SUM(E25,G25)</f>
        <v>17.448824703363425</v>
      </c>
      <c r="AJ25" s="4">
        <f>(D25*O25+F25*Q25)/SUM(D25,F25)</f>
        <v>11.899037583676693</v>
      </c>
    </row>
    <row r="26" spans="1:36">
      <c r="A26">
        <v>2022</v>
      </c>
      <c r="B26">
        <v>2426460</v>
      </c>
      <c r="C26">
        <v>1781169</v>
      </c>
      <c r="D26">
        <v>1800169</v>
      </c>
      <c r="E26">
        <v>1661837</v>
      </c>
      <c r="F26">
        <v>626291</v>
      </c>
      <c r="G26">
        <v>119332</v>
      </c>
      <c r="H26">
        <v>146329</v>
      </c>
      <c r="I26">
        <v>52516</v>
      </c>
      <c r="J26">
        <v>112503</v>
      </c>
      <c r="K26">
        <v>53920</v>
      </c>
      <c r="L26">
        <v>8570</v>
      </c>
      <c r="M26">
        <v>2777</v>
      </c>
      <c r="N26" s="1"/>
      <c r="O26" s="25">
        <v>12.198279439</v>
      </c>
      <c r="P26" s="25">
        <v>17.629779274000001</v>
      </c>
      <c r="Q26" s="25">
        <v>11.064438895</v>
      </c>
      <c r="R26" s="25">
        <v>19.559682231</v>
      </c>
      <c r="S26" s="25">
        <v>14.403142918</v>
      </c>
      <c r="T26" s="25">
        <v>28.714829766000001</v>
      </c>
      <c r="U26" s="25">
        <v>15.227251718</v>
      </c>
      <c r="V26" s="25">
        <v>23.273386499000001</v>
      </c>
      <c r="W26" s="25">
        <v>13.496499417000001</v>
      </c>
      <c r="X26" s="25">
        <v>25.441663666</v>
      </c>
      <c r="Y26" s="4"/>
      <c r="Z26" s="155">
        <f t="shared" si="50"/>
        <v>0.42331892854621928</v>
      </c>
      <c r="AA26" s="155">
        <f t="shared" si="26"/>
        <v>0.32399367875834473</v>
      </c>
      <c r="AB26" s="155">
        <f t="shared" ref="AB26" si="56">M26/(L26+M26)</f>
        <v>0.24473429100202695</v>
      </c>
      <c r="AC26" s="4">
        <f t="shared" ref="AC26" si="57">(D26*O26+E26*P26+F26*Q26+G26*R26)/SUM(D26:G26)</f>
        <v>14.383501610709896</v>
      </c>
      <c r="AD26" s="4">
        <f t="shared" ref="AD26" si="58">(D26*O26+E26*P26)/(D26+E26)</f>
        <v>14.805515645782107</v>
      </c>
      <c r="AE26" s="4">
        <f t="shared" si="29"/>
        <v>12.424046066146211</v>
      </c>
      <c r="AF26" s="4">
        <f t="shared" si="30"/>
        <v>18.182933943721384</v>
      </c>
      <c r="AG26" s="21">
        <f t="shared" si="31"/>
        <v>17.834148525481659</v>
      </c>
      <c r="AH26" s="21">
        <f t="shared" si="32"/>
        <v>16.419890720381776</v>
      </c>
      <c r="AI26" s="4">
        <f t="shared" ref="AI26" si="59">(E26*P26+G26*R26)/SUM(E26,G26)</f>
        <v>17.759075921125977</v>
      </c>
      <c r="AJ26" s="4">
        <f t="shared" ref="AJ26" si="60">(D26*O26+F26*Q26)/SUM(D26,F26)</f>
        <v>11.905625066728335</v>
      </c>
    </row>
    <row r="27" spans="1:36">
      <c r="A27">
        <v>2023</v>
      </c>
      <c r="B27">
        <v>2482946</v>
      </c>
      <c r="C27">
        <v>1782034</v>
      </c>
      <c r="D27">
        <v>1846155</v>
      </c>
      <c r="E27">
        <v>1663800</v>
      </c>
      <c r="F27">
        <v>636791</v>
      </c>
      <c r="G27">
        <v>118234</v>
      </c>
      <c r="H27">
        <v>150080</v>
      </c>
      <c r="I27">
        <v>53103</v>
      </c>
      <c r="J27">
        <v>117414</v>
      </c>
      <c r="K27">
        <v>53454</v>
      </c>
      <c r="L27">
        <v>8782</v>
      </c>
      <c r="M27">
        <v>2737</v>
      </c>
      <c r="O27" s="25">
        <v>12.316758614999999</v>
      </c>
      <c r="P27" s="25">
        <v>17.939554033</v>
      </c>
      <c r="Q27" s="25">
        <v>11.426989388999999</v>
      </c>
      <c r="R27" s="25">
        <v>20.054096114</v>
      </c>
      <c r="S27" s="25">
        <v>14.728584755</v>
      </c>
      <c r="T27" s="25">
        <v>29.654492213000001</v>
      </c>
      <c r="U27" s="25">
        <v>15.128306675999999</v>
      </c>
      <c r="V27" s="25">
        <v>23.757941408000001</v>
      </c>
      <c r="W27" s="25">
        <v>13.923024368</v>
      </c>
      <c r="X27" s="25">
        <v>26.049141396</v>
      </c>
      <c r="Z27" s="155">
        <f t="shared" ref="Z27" si="61">C27/(B27+C27)</f>
        <v>0.41782939193149793</v>
      </c>
      <c r="AA27" s="155">
        <f t="shared" ref="AA27" si="62">K27/(J27+K27)</f>
        <v>0.31283798019523845</v>
      </c>
      <c r="AB27" s="155">
        <f t="shared" ref="AB27" si="63">M27/(L27+M27)</f>
        <v>0.23760743120062505</v>
      </c>
      <c r="AC27" s="4">
        <f t="shared" ref="AC27" si="64">(D27*O27+E27*P27+F27*Q27+G27*R27)/SUM(D27:G27)</f>
        <v>14.591898555429122</v>
      </c>
      <c r="AD27" s="4">
        <f t="shared" ref="AD27" si="65">(D27*O27+E27*P27)/(D27+E27)</f>
        <v>14.98209393025857</v>
      </c>
      <c r="AE27" s="4">
        <f t="shared" ref="AE27" si="66">(F27*Q27+G27*R27)/(F27+G27)</f>
        <v>12.777960994607296</v>
      </c>
      <c r="AF27" s="4">
        <f t="shared" ref="AF27" si="67">(H27*S27+I27*T27)/(H27+I27)</f>
        <v>18.629553161521088</v>
      </c>
      <c r="AG27" s="21">
        <f t="shared" ref="AG27" si="68">(J27*U27+K27*V27)/(J27+K27)</f>
        <v>17.827984175381559</v>
      </c>
      <c r="AH27" s="21">
        <f t="shared" ref="AH27" si="69">(L27*W27+M27*X27)/(L27+M27)</f>
        <v>16.804279885461238</v>
      </c>
      <c r="AI27" s="4">
        <f t="shared" ref="AI27" si="70">(E27*P27+G27*R27)/SUM(E27,G27)</f>
        <v>18.079849206046617</v>
      </c>
      <c r="AJ27" s="4">
        <f t="shared" ref="AJ27" si="71">(D27*O27+F27*Q27)/SUM(D27,F27)</f>
        <v>12.088563142688574</v>
      </c>
    </row>
    <row r="29" spans="1:36" ht="13">
      <c r="AA29" s="32"/>
    </row>
  </sheetData>
  <mergeCells count="4">
    <mergeCell ref="O2:X2"/>
    <mergeCell ref="AH1:AI1"/>
    <mergeCell ref="B2:M2"/>
    <mergeCell ref="Z2:AJ2"/>
  </mergeCells>
  <phoneticPr fontId="0" type="noConversion"/>
  <hyperlinks>
    <hyperlink ref="AH1:AI1" location="Contents!A1" display="Back to Contents" xr:uid="{00000000-0004-0000-0800-000000000000}"/>
  </hyperlinks>
  <pageMargins left="0.75" right="0.75" top="1" bottom="1" header="0.5" footer="0.5"/>
  <pageSetup paperSize="9" scale="60" orientation="landscape" horizontalDpi="4294967292" verticalDpi="4294967292"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39997558519241921"/>
  </sheetPr>
  <dimension ref="A1:V59"/>
  <sheetViews>
    <sheetView workbookViewId="0">
      <pane xSplit="1" ySplit="2" topLeftCell="B3" activePane="bottomRight" state="frozen"/>
      <selection pane="topRight" activeCell="B1" sqref="B1"/>
      <selection pane="bottomLeft" activeCell="A3" sqref="A3"/>
      <selection pane="bottomRight"/>
    </sheetView>
  </sheetViews>
  <sheetFormatPr defaultColWidth="8.81640625" defaultRowHeight="12.5"/>
  <cols>
    <col min="1" max="1" width="8.81640625" customWidth="1"/>
    <col min="2" max="3" width="11.453125" customWidth="1"/>
    <col min="4" max="4" width="11.1796875" customWidth="1"/>
    <col min="5" max="5" width="11.453125" customWidth="1"/>
    <col min="6" max="7" width="8.81640625" customWidth="1"/>
    <col min="8" max="8" width="11.1796875" customWidth="1"/>
    <col min="9" max="9" width="11" customWidth="1"/>
    <col min="13" max="13" width="4.1796875" customWidth="1"/>
    <col min="14" max="14" width="6.453125" customWidth="1"/>
  </cols>
  <sheetData>
    <row r="1" spans="1:22" ht="24.75" customHeight="1">
      <c r="B1" s="17" t="s">
        <v>206</v>
      </c>
      <c r="C1" s="13"/>
      <c r="D1" s="13"/>
      <c r="E1" s="13"/>
      <c r="F1" s="13"/>
      <c r="G1" s="13"/>
      <c r="H1" s="162"/>
      <c r="I1" s="162"/>
      <c r="J1" s="53" t="s">
        <v>79</v>
      </c>
      <c r="K1" s="162"/>
      <c r="L1" s="162"/>
    </row>
    <row r="2" spans="1:22" ht="30">
      <c r="A2" s="38" t="s">
        <v>207</v>
      </c>
      <c r="B2" s="58" t="s">
        <v>109</v>
      </c>
      <c r="C2" s="58" t="s">
        <v>110</v>
      </c>
      <c r="D2" s="58" t="s">
        <v>111</v>
      </c>
      <c r="E2" s="58" t="s">
        <v>112</v>
      </c>
      <c r="F2" s="58" t="s">
        <v>189</v>
      </c>
      <c r="G2" s="58" t="s">
        <v>208</v>
      </c>
      <c r="H2" s="58" t="s">
        <v>191</v>
      </c>
      <c r="I2" s="58" t="s">
        <v>209</v>
      </c>
      <c r="J2" s="58" t="s">
        <v>193</v>
      </c>
      <c r="K2" s="58" t="s">
        <v>210</v>
      </c>
      <c r="L2" s="58" t="s">
        <v>211</v>
      </c>
      <c r="M2" s="6"/>
      <c r="N2" s="38"/>
    </row>
    <row r="3" spans="1:22">
      <c r="A3" s="42">
        <v>1968</v>
      </c>
      <c r="B3" s="42">
        <v>30812</v>
      </c>
      <c r="C3" s="42">
        <v>19434</v>
      </c>
      <c r="D3" s="42">
        <v>4471</v>
      </c>
      <c r="E3" s="42">
        <v>3004</v>
      </c>
      <c r="F3" s="42">
        <v>3432</v>
      </c>
      <c r="G3" s="42">
        <v>3773</v>
      </c>
      <c r="H3" s="42">
        <v>1521</v>
      </c>
      <c r="I3" s="42">
        <v>251</v>
      </c>
      <c r="J3" s="42">
        <v>93</v>
      </c>
      <c r="K3" s="42">
        <v>16</v>
      </c>
      <c r="L3" s="49">
        <f t="shared" ref="L3:L34" si="0">SUM(B3:E3)</f>
        <v>57721</v>
      </c>
      <c r="N3" s="39"/>
      <c r="O3" s="205"/>
      <c r="P3" s="205"/>
      <c r="Q3" s="205"/>
      <c r="R3" s="205"/>
      <c r="S3" s="205"/>
      <c r="T3" s="205"/>
      <c r="U3" s="205"/>
      <c r="V3" s="205"/>
    </row>
    <row r="4" spans="1:22">
      <c r="A4" s="42">
        <v>1969</v>
      </c>
      <c r="B4" s="42">
        <v>2661</v>
      </c>
      <c r="C4" s="42">
        <v>1476</v>
      </c>
      <c r="D4" s="42">
        <v>290</v>
      </c>
      <c r="E4" s="42">
        <v>131</v>
      </c>
      <c r="F4" s="42">
        <v>153</v>
      </c>
      <c r="G4" s="42">
        <v>386</v>
      </c>
      <c r="H4" s="42">
        <v>153</v>
      </c>
      <c r="I4" s="42">
        <v>12</v>
      </c>
      <c r="J4" s="42">
        <v>6</v>
      </c>
      <c r="K4" s="42">
        <v>0</v>
      </c>
      <c r="L4" s="49">
        <f t="shared" si="0"/>
        <v>4558</v>
      </c>
      <c r="N4" s="39"/>
      <c r="O4" s="205"/>
      <c r="P4" s="205"/>
      <c r="Q4" s="205"/>
      <c r="R4" s="205"/>
      <c r="S4" s="205"/>
      <c r="T4" s="205"/>
      <c r="U4" s="205"/>
      <c r="V4" s="205"/>
    </row>
    <row r="5" spans="1:22">
      <c r="A5" s="42">
        <v>1970</v>
      </c>
      <c r="B5" s="42">
        <v>3843</v>
      </c>
      <c r="C5" s="42">
        <v>1275</v>
      </c>
      <c r="D5" s="42">
        <v>499</v>
      </c>
      <c r="E5" s="42">
        <v>159</v>
      </c>
      <c r="F5" s="42">
        <v>211</v>
      </c>
      <c r="G5" s="42">
        <v>461</v>
      </c>
      <c r="H5" s="42">
        <v>205</v>
      </c>
      <c r="I5" s="42">
        <v>11</v>
      </c>
      <c r="J5" s="42">
        <v>11</v>
      </c>
      <c r="K5" s="42">
        <v>1</v>
      </c>
      <c r="L5" s="49">
        <f t="shared" si="0"/>
        <v>5776</v>
      </c>
      <c r="N5" s="39"/>
      <c r="O5" s="205"/>
      <c r="P5" s="205"/>
      <c r="Q5" s="205"/>
      <c r="R5" s="205"/>
      <c r="S5" s="205"/>
      <c r="T5" s="205"/>
      <c r="U5" s="205"/>
      <c r="V5" s="205"/>
    </row>
    <row r="6" spans="1:22">
      <c r="A6" s="42">
        <v>1971</v>
      </c>
      <c r="B6" s="42">
        <v>4107</v>
      </c>
      <c r="C6" s="42">
        <v>922</v>
      </c>
      <c r="D6" s="42">
        <v>699</v>
      </c>
      <c r="E6" s="42">
        <v>156</v>
      </c>
      <c r="F6" s="42">
        <v>332</v>
      </c>
      <c r="G6" s="42">
        <v>573</v>
      </c>
      <c r="H6" s="42">
        <v>185</v>
      </c>
      <c r="I6" s="42">
        <v>19</v>
      </c>
      <c r="J6" s="42">
        <v>10</v>
      </c>
      <c r="K6" s="42">
        <v>2</v>
      </c>
      <c r="L6" s="49">
        <f t="shared" si="0"/>
        <v>5884</v>
      </c>
      <c r="N6" s="39"/>
      <c r="O6" s="205"/>
      <c r="P6" s="205"/>
      <c r="Q6" s="205"/>
      <c r="R6" s="205"/>
      <c r="S6" s="205"/>
      <c r="T6" s="205"/>
      <c r="U6" s="205"/>
      <c r="V6" s="205"/>
    </row>
    <row r="7" spans="1:22">
      <c r="A7" s="42">
        <v>1972</v>
      </c>
      <c r="B7" s="42">
        <v>4703</v>
      </c>
      <c r="C7" s="42">
        <v>1041</v>
      </c>
      <c r="D7" s="42">
        <v>599</v>
      </c>
      <c r="E7" s="42">
        <v>182</v>
      </c>
      <c r="F7" s="42">
        <v>392</v>
      </c>
      <c r="G7" s="42">
        <v>702</v>
      </c>
      <c r="H7" s="42">
        <v>210</v>
      </c>
      <c r="I7" s="42">
        <v>10</v>
      </c>
      <c r="J7" s="42">
        <v>8</v>
      </c>
      <c r="K7" s="42">
        <v>2</v>
      </c>
      <c r="L7" s="49">
        <f t="shared" si="0"/>
        <v>6525</v>
      </c>
      <c r="N7" s="39"/>
      <c r="O7" s="205"/>
      <c r="P7" s="205"/>
      <c r="Q7" s="205"/>
      <c r="R7" s="205"/>
      <c r="S7" s="205"/>
      <c r="T7" s="205"/>
      <c r="U7" s="205"/>
      <c r="V7" s="205"/>
    </row>
    <row r="8" spans="1:22">
      <c r="A8" s="42">
        <v>1973</v>
      </c>
      <c r="B8" s="42">
        <v>4875</v>
      </c>
      <c r="C8" s="42">
        <v>1039</v>
      </c>
      <c r="D8" s="42">
        <v>568</v>
      </c>
      <c r="E8" s="42">
        <v>128</v>
      </c>
      <c r="F8" s="42">
        <v>606</v>
      </c>
      <c r="G8" s="42">
        <v>818</v>
      </c>
      <c r="H8" s="42">
        <v>247</v>
      </c>
      <c r="I8" s="42">
        <v>10</v>
      </c>
      <c r="J8" s="42">
        <v>10</v>
      </c>
      <c r="K8" s="42">
        <v>0</v>
      </c>
      <c r="L8" s="49">
        <f t="shared" si="0"/>
        <v>6610</v>
      </c>
      <c r="N8" s="39"/>
      <c r="O8" s="205"/>
      <c r="P8" s="205"/>
      <c r="Q8" s="205"/>
      <c r="R8" s="205"/>
      <c r="S8" s="205"/>
      <c r="T8" s="205"/>
      <c r="U8" s="205"/>
      <c r="V8" s="205"/>
    </row>
    <row r="9" spans="1:22">
      <c r="A9" s="42">
        <v>1974</v>
      </c>
      <c r="B9" s="42">
        <v>5173</v>
      </c>
      <c r="C9" s="42">
        <v>808</v>
      </c>
      <c r="D9" s="42">
        <v>579</v>
      </c>
      <c r="E9" s="42">
        <v>129</v>
      </c>
      <c r="F9" s="42">
        <v>502</v>
      </c>
      <c r="G9" s="42">
        <v>730</v>
      </c>
      <c r="H9" s="42">
        <v>211</v>
      </c>
      <c r="I9" s="42">
        <v>21</v>
      </c>
      <c r="J9" s="42">
        <v>20</v>
      </c>
      <c r="K9" s="42">
        <v>1</v>
      </c>
      <c r="L9" s="49">
        <f t="shared" si="0"/>
        <v>6689</v>
      </c>
      <c r="N9" s="39"/>
      <c r="O9" s="205"/>
      <c r="P9" s="205"/>
      <c r="Q9" s="205"/>
      <c r="R9" s="205"/>
      <c r="S9" s="205"/>
      <c r="T9" s="205"/>
      <c r="U9" s="205"/>
      <c r="V9" s="205"/>
    </row>
    <row r="10" spans="1:22">
      <c r="A10" s="42">
        <v>1975</v>
      </c>
      <c r="B10" s="42">
        <v>3172</v>
      </c>
      <c r="C10" s="42">
        <v>501</v>
      </c>
      <c r="D10" s="42">
        <v>598</v>
      </c>
      <c r="E10" s="42">
        <v>124</v>
      </c>
      <c r="F10" s="42">
        <v>449</v>
      </c>
      <c r="G10" s="42">
        <v>812</v>
      </c>
      <c r="H10" s="42">
        <v>306</v>
      </c>
      <c r="I10" s="42">
        <v>31</v>
      </c>
      <c r="J10" s="42">
        <v>24</v>
      </c>
      <c r="K10" s="42">
        <v>0</v>
      </c>
      <c r="L10" s="49">
        <f t="shared" si="0"/>
        <v>4395</v>
      </c>
      <c r="N10" s="39"/>
      <c r="O10" s="205"/>
      <c r="P10" s="205"/>
      <c r="Q10" s="205"/>
      <c r="R10" s="205"/>
      <c r="S10" s="205"/>
      <c r="T10" s="205"/>
      <c r="U10" s="205"/>
      <c r="V10" s="205"/>
    </row>
    <row r="11" spans="1:22">
      <c r="A11" s="42">
        <v>1976</v>
      </c>
      <c r="B11" s="42">
        <v>2557</v>
      </c>
      <c r="C11" s="42">
        <v>527</v>
      </c>
      <c r="D11" s="42">
        <v>698</v>
      </c>
      <c r="E11" s="42">
        <v>170</v>
      </c>
      <c r="F11" s="42">
        <v>343</v>
      </c>
      <c r="G11" s="42">
        <v>642</v>
      </c>
      <c r="H11" s="42">
        <v>365</v>
      </c>
      <c r="I11" s="42">
        <v>22</v>
      </c>
      <c r="J11" s="42">
        <v>31</v>
      </c>
      <c r="K11" s="42">
        <v>5</v>
      </c>
      <c r="L11" s="49">
        <f t="shared" si="0"/>
        <v>3952</v>
      </c>
      <c r="N11" s="39"/>
      <c r="O11" s="205"/>
      <c r="P11" s="205"/>
      <c r="Q11" s="205"/>
      <c r="R11" s="205"/>
      <c r="S11" s="205"/>
      <c r="T11" s="205"/>
      <c r="U11" s="205"/>
      <c r="V11" s="205"/>
    </row>
    <row r="12" spans="1:22">
      <c r="A12" s="42">
        <v>1977</v>
      </c>
      <c r="B12" s="42">
        <v>2516</v>
      </c>
      <c r="C12" s="42">
        <v>585</v>
      </c>
      <c r="D12" s="42">
        <v>836</v>
      </c>
      <c r="E12" s="42">
        <v>203</v>
      </c>
      <c r="F12" s="42">
        <v>333</v>
      </c>
      <c r="G12" s="42">
        <v>515</v>
      </c>
      <c r="H12" s="42">
        <v>365</v>
      </c>
      <c r="I12" s="42">
        <v>25</v>
      </c>
      <c r="J12" s="42">
        <v>33</v>
      </c>
      <c r="K12" s="42">
        <v>5</v>
      </c>
      <c r="L12" s="49">
        <f t="shared" si="0"/>
        <v>4140</v>
      </c>
      <c r="N12" s="39"/>
      <c r="O12" s="205"/>
      <c r="P12" s="205"/>
      <c r="Q12" s="205"/>
      <c r="R12" s="205"/>
      <c r="S12" s="205"/>
      <c r="T12" s="205"/>
      <c r="U12" s="205"/>
      <c r="V12" s="205"/>
    </row>
    <row r="13" spans="1:22">
      <c r="A13" s="42">
        <v>1978</v>
      </c>
      <c r="B13" s="42">
        <v>3046</v>
      </c>
      <c r="C13" s="42">
        <v>997</v>
      </c>
      <c r="D13" s="42">
        <v>978</v>
      </c>
      <c r="E13" s="42">
        <v>209</v>
      </c>
      <c r="F13" s="42">
        <v>323</v>
      </c>
      <c r="G13" s="42">
        <v>645</v>
      </c>
      <c r="H13" s="42">
        <v>331</v>
      </c>
      <c r="I13" s="42">
        <v>36</v>
      </c>
      <c r="J13" s="42">
        <v>45</v>
      </c>
      <c r="K13" s="42">
        <v>11</v>
      </c>
      <c r="L13" s="49">
        <f t="shared" si="0"/>
        <v>5230</v>
      </c>
      <c r="N13" s="39"/>
      <c r="O13" s="205"/>
      <c r="P13" s="205"/>
      <c r="Q13" s="205"/>
      <c r="R13" s="205"/>
      <c r="S13" s="205"/>
      <c r="T13" s="205"/>
      <c r="U13" s="205"/>
      <c r="V13" s="205"/>
    </row>
    <row r="14" spans="1:22">
      <c r="A14" s="42">
        <v>1979</v>
      </c>
      <c r="B14" s="42">
        <v>2872</v>
      </c>
      <c r="C14" s="42">
        <v>1218</v>
      </c>
      <c r="D14" s="42">
        <v>1169</v>
      </c>
      <c r="E14" s="42">
        <v>239</v>
      </c>
      <c r="F14" s="42">
        <v>613</v>
      </c>
      <c r="G14" s="42">
        <v>913</v>
      </c>
      <c r="H14" s="42">
        <v>390</v>
      </c>
      <c r="I14" s="42">
        <v>54</v>
      </c>
      <c r="J14" s="42">
        <v>50</v>
      </c>
      <c r="K14" s="42">
        <v>5</v>
      </c>
      <c r="L14" s="49">
        <f t="shared" si="0"/>
        <v>5498</v>
      </c>
      <c r="N14" s="39"/>
      <c r="O14" s="205"/>
      <c r="P14" s="205"/>
      <c r="Q14" s="205"/>
      <c r="R14" s="205"/>
      <c r="S14" s="205"/>
      <c r="T14" s="205"/>
      <c r="U14" s="205"/>
      <c r="V14" s="205"/>
    </row>
    <row r="15" spans="1:22">
      <c r="A15" s="42">
        <v>1980</v>
      </c>
      <c r="B15" s="42">
        <v>2805</v>
      </c>
      <c r="C15" s="42">
        <v>1062</v>
      </c>
      <c r="D15" s="42">
        <v>1179</v>
      </c>
      <c r="E15" s="42">
        <v>150</v>
      </c>
      <c r="F15" s="42">
        <v>851</v>
      </c>
      <c r="G15" s="42">
        <v>818</v>
      </c>
      <c r="H15" s="42">
        <v>450</v>
      </c>
      <c r="I15" s="42">
        <v>83</v>
      </c>
      <c r="J15" s="42">
        <v>38</v>
      </c>
      <c r="K15" s="42">
        <v>10</v>
      </c>
      <c r="L15" s="49">
        <f t="shared" si="0"/>
        <v>5196</v>
      </c>
      <c r="N15" s="39"/>
      <c r="O15" s="205"/>
      <c r="P15" s="205"/>
      <c r="Q15" s="205"/>
      <c r="R15" s="205"/>
      <c r="S15" s="205"/>
      <c r="T15" s="205"/>
      <c r="U15" s="205"/>
      <c r="V15" s="205"/>
    </row>
    <row r="16" spans="1:22">
      <c r="A16" s="42">
        <v>1981</v>
      </c>
      <c r="B16" s="42">
        <v>2323</v>
      </c>
      <c r="C16" s="42">
        <v>927</v>
      </c>
      <c r="D16" s="42">
        <v>1023</v>
      </c>
      <c r="E16" s="42">
        <v>153</v>
      </c>
      <c r="F16" s="42">
        <v>833</v>
      </c>
      <c r="G16" s="42">
        <v>746</v>
      </c>
      <c r="H16" s="42">
        <v>471</v>
      </c>
      <c r="I16" s="42">
        <v>109</v>
      </c>
      <c r="J16" s="42">
        <v>39</v>
      </c>
      <c r="K16" s="42">
        <v>16</v>
      </c>
      <c r="L16" s="49">
        <f t="shared" si="0"/>
        <v>4426</v>
      </c>
      <c r="N16" s="39"/>
      <c r="O16" s="205"/>
      <c r="P16" s="205"/>
      <c r="Q16" s="205"/>
      <c r="R16" s="205"/>
      <c r="S16" s="205"/>
      <c r="T16" s="205"/>
      <c r="U16" s="205"/>
      <c r="V16" s="205"/>
    </row>
    <row r="17" spans="1:22">
      <c r="A17" s="42">
        <v>1982</v>
      </c>
      <c r="B17" s="42">
        <v>2200</v>
      </c>
      <c r="C17" s="42">
        <v>1128</v>
      </c>
      <c r="D17" s="42">
        <v>1209</v>
      </c>
      <c r="E17" s="42">
        <v>255</v>
      </c>
      <c r="F17" s="42">
        <v>834</v>
      </c>
      <c r="G17" s="42">
        <v>730</v>
      </c>
      <c r="H17" s="42">
        <v>544</v>
      </c>
      <c r="I17" s="42">
        <v>174</v>
      </c>
      <c r="J17" s="42">
        <v>36</v>
      </c>
      <c r="K17" s="42">
        <v>14</v>
      </c>
      <c r="L17" s="49">
        <f t="shared" si="0"/>
        <v>4792</v>
      </c>
      <c r="N17" s="39"/>
      <c r="O17" s="205"/>
      <c r="P17" s="205"/>
      <c r="Q17" s="205"/>
      <c r="R17" s="205"/>
      <c r="S17" s="205"/>
      <c r="T17" s="205"/>
      <c r="U17" s="205"/>
      <c r="V17" s="205"/>
    </row>
    <row r="18" spans="1:22">
      <c r="A18" s="42">
        <v>1983</v>
      </c>
      <c r="B18" s="42">
        <v>1890</v>
      </c>
      <c r="C18" s="42">
        <v>1248</v>
      </c>
      <c r="D18" s="42">
        <v>1191</v>
      </c>
      <c r="E18" s="42">
        <v>285</v>
      </c>
      <c r="F18" s="42">
        <v>602</v>
      </c>
      <c r="G18" s="42">
        <v>710</v>
      </c>
      <c r="H18" s="42">
        <v>696</v>
      </c>
      <c r="I18" s="42">
        <v>282</v>
      </c>
      <c r="J18" s="42">
        <v>44</v>
      </c>
      <c r="K18" s="42">
        <v>21</v>
      </c>
      <c r="L18" s="49">
        <f t="shared" si="0"/>
        <v>4614</v>
      </c>
      <c r="N18" s="39"/>
      <c r="O18" s="205"/>
      <c r="P18" s="205"/>
      <c r="Q18" s="205"/>
      <c r="R18" s="205"/>
      <c r="S18" s="205"/>
      <c r="T18" s="205"/>
      <c r="U18" s="205"/>
      <c r="V18" s="205"/>
    </row>
    <row r="19" spans="1:22">
      <c r="A19" s="42">
        <v>1984</v>
      </c>
      <c r="B19" s="42">
        <v>2071</v>
      </c>
      <c r="C19" s="42">
        <v>1675</v>
      </c>
      <c r="D19" s="42">
        <v>1432</v>
      </c>
      <c r="E19" s="42">
        <v>416</v>
      </c>
      <c r="F19" s="42">
        <v>628</v>
      </c>
      <c r="G19" s="42">
        <v>703</v>
      </c>
      <c r="H19" s="42">
        <v>958</v>
      </c>
      <c r="I19" s="42">
        <v>376</v>
      </c>
      <c r="J19" s="42">
        <v>55</v>
      </c>
      <c r="K19" s="42">
        <v>36</v>
      </c>
      <c r="L19" s="49">
        <f t="shared" si="0"/>
        <v>5594</v>
      </c>
      <c r="N19" s="39"/>
      <c r="O19" s="205"/>
      <c r="P19" s="205"/>
      <c r="Q19" s="205"/>
      <c r="R19" s="205"/>
      <c r="S19" s="205"/>
      <c r="T19" s="205"/>
      <c r="U19" s="205"/>
      <c r="V19" s="205"/>
    </row>
    <row r="20" spans="1:22">
      <c r="A20" s="42">
        <v>1985</v>
      </c>
      <c r="B20" s="42">
        <v>2389</v>
      </c>
      <c r="C20" s="42">
        <v>1900</v>
      </c>
      <c r="D20" s="42">
        <v>1465</v>
      </c>
      <c r="E20" s="42">
        <v>603</v>
      </c>
      <c r="F20" s="42">
        <v>723</v>
      </c>
      <c r="G20" s="42">
        <v>855</v>
      </c>
      <c r="H20" s="42">
        <v>1125</v>
      </c>
      <c r="I20" s="42">
        <v>635</v>
      </c>
      <c r="J20" s="42">
        <v>38</v>
      </c>
      <c r="K20" s="42">
        <v>41</v>
      </c>
      <c r="L20" s="49">
        <f t="shared" si="0"/>
        <v>6357</v>
      </c>
      <c r="N20" s="39"/>
      <c r="O20" s="205"/>
      <c r="P20" s="205"/>
      <c r="Q20" s="205"/>
      <c r="R20" s="205"/>
      <c r="S20" s="205"/>
      <c r="T20" s="205"/>
      <c r="U20" s="205"/>
      <c r="V20" s="205"/>
    </row>
    <row r="21" spans="1:22">
      <c r="A21" s="42">
        <v>1986</v>
      </c>
      <c r="B21" s="42">
        <v>2926</v>
      </c>
      <c r="C21" s="42">
        <v>2047</v>
      </c>
      <c r="D21" s="42">
        <v>1096</v>
      </c>
      <c r="E21" s="42">
        <v>824</v>
      </c>
      <c r="F21" s="42">
        <v>1295</v>
      </c>
      <c r="G21" s="42">
        <v>914</v>
      </c>
      <c r="H21" s="42">
        <v>914</v>
      </c>
      <c r="I21" s="42">
        <v>813</v>
      </c>
      <c r="J21" s="42">
        <v>60</v>
      </c>
      <c r="K21" s="42">
        <v>63</v>
      </c>
      <c r="L21" s="49">
        <f t="shared" si="0"/>
        <v>6893</v>
      </c>
      <c r="N21" s="39"/>
      <c r="O21" s="205"/>
      <c r="P21" s="205"/>
      <c r="Q21" s="205"/>
      <c r="R21" s="205"/>
      <c r="S21" s="205"/>
      <c r="T21" s="205"/>
      <c r="U21" s="205"/>
      <c r="V21" s="205"/>
    </row>
    <row r="22" spans="1:22">
      <c r="A22" s="42">
        <v>1987</v>
      </c>
      <c r="B22" s="42">
        <v>3630</v>
      </c>
      <c r="C22" s="42">
        <v>2330</v>
      </c>
      <c r="D22" s="42">
        <v>1067</v>
      </c>
      <c r="E22" s="42">
        <v>967</v>
      </c>
      <c r="F22" s="42">
        <v>1384</v>
      </c>
      <c r="G22" s="42">
        <v>830</v>
      </c>
      <c r="H22" s="42">
        <v>891</v>
      </c>
      <c r="I22" s="42">
        <v>1080</v>
      </c>
      <c r="J22" s="42">
        <v>48</v>
      </c>
      <c r="K22" s="42">
        <v>75</v>
      </c>
      <c r="L22" s="49">
        <f t="shared" si="0"/>
        <v>7994</v>
      </c>
      <c r="N22" s="39"/>
      <c r="O22" s="205"/>
      <c r="P22" s="205"/>
      <c r="Q22" s="205"/>
      <c r="R22" s="205"/>
      <c r="S22" s="205"/>
      <c r="T22" s="205"/>
      <c r="U22" s="205"/>
      <c r="V22" s="205"/>
    </row>
    <row r="23" spans="1:22" s="20" customFormat="1">
      <c r="A23" s="42">
        <v>1988</v>
      </c>
      <c r="B23" s="42">
        <v>3068</v>
      </c>
      <c r="C23" s="42">
        <v>3709</v>
      </c>
      <c r="D23" s="42">
        <v>1435</v>
      </c>
      <c r="E23" s="42">
        <v>1354</v>
      </c>
      <c r="F23" s="42">
        <v>1310</v>
      </c>
      <c r="G23" s="42">
        <v>916</v>
      </c>
      <c r="H23" s="42">
        <v>822</v>
      </c>
      <c r="I23" s="42">
        <v>1385</v>
      </c>
      <c r="J23" s="42">
        <v>38</v>
      </c>
      <c r="K23" s="42">
        <v>99</v>
      </c>
      <c r="L23" s="64">
        <f t="shared" si="0"/>
        <v>9566</v>
      </c>
      <c r="N23" s="43"/>
      <c r="O23" s="205"/>
      <c r="P23" s="205"/>
      <c r="Q23" s="205"/>
      <c r="R23" s="205"/>
      <c r="S23" s="205"/>
      <c r="T23" s="205"/>
      <c r="U23" s="205"/>
      <c r="V23" s="205"/>
    </row>
    <row r="24" spans="1:22" s="20" customFormat="1">
      <c r="A24" s="42">
        <v>1989</v>
      </c>
      <c r="B24" s="42">
        <v>3879</v>
      </c>
      <c r="C24" s="42">
        <v>6686</v>
      </c>
      <c r="D24" s="42">
        <v>2164</v>
      </c>
      <c r="E24" s="42">
        <v>1810</v>
      </c>
      <c r="F24" s="42">
        <v>1000</v>
      </c>
      <c r="G24" s="42">
        <v>899</v>
      </c>
      <c r="H24" s="42">
        <v>850</v>
      </c>
      <c r="I24" s="42">
        <v>1717</v>
      </c>
      <c r="J24" s="42">
        <v>28</v>
      </c>
      <c r="K24" s="42">
        <v>134</v>
      </c>
      <c r="L24" s="64">
        <f t="shared" si="0"/>
        <v>14539</v>
      </c>
      <c r="N24" s="43"/>
      <c r="O24" s="205"/>
      <c r="P24" s="205"/>
      <c r="Q24" s="205"/>
      <c r="R24" s="205"/>
      <c r="S24" s="205"/>
      <c r="T24" s="205"/>
      <c r="U24" s="205"/>
      <c r="V24" s="205"/>
    </row>
    <row r="25" spans="1:22" s="20" customFormat="1">
      <c r="A25" s="42">
        <v>1990</v>
      </c>
      <c r="B25" s="42">
        <v>5521</v>
      </c>
      <c r="C25" s="42">
        <v>9784</v>
      </c>
      <c r="D25" s="42">
        <v>3622</v>
      </c>
      <c r="E25" s="42">
        <v>2105</v>
      </c>
      <c r="F25" s="42">
        <v>760</v>
      </c>
      <c r="G25" s="42">
        <v>899</v>
      </c>
      <c r="H25" s="42">
        <v>1128</v>
      </c>
      <c r="I25" s="42">
        <v>2116</v>
      </c>
      <c r="J25" s="42">
        <v>33</v>
      </c>
      <c r="K25" s="42">
        <v>151</v>
      </c>
      <c r="L25" s="64">
        <f t="shared" si="0"/>
        <v>21032</v>
      </c>
      <c r="N25" s="43"/>
      <c r="O25" s="205"/>
      <c r="P25" s="205"/>
      <c r="Q25" s="205"/>
      <c r="R25" s="205"/>
      <c r="S25" s="205"/>
      <c r="T25" s="205"/>
      <c r="U25" s="205"/>
      <c r="V25" s="205"/>
    </row>
    <row r="26" spans="1:22" s="20" customFormat="1">
      <c r="A26" s="42">
        <v>1991</v>
      </c>
      <c r="B26" s="42">
        <v>4247</v>
      </c>
      <c r="C26" s="42">
        <v>11056</v>
      </c>
      <c r="D26" s="42">
        <v>2756</v>
      </c>
      <c r="E26" s="42">
        <v>2099</v>
      </c>
      <c r="F26" s="42">
        <v>787</v>
      </c>
      <c r="G26" s="42">
        <v>780</v>
      </c>
      <c r="H26" s="42">
        <v>763</v>
      </c>
      <c r="I26" s="42">
        <v>2229</v>
      </c>
      <c r="J26" s="42">
        <v>29</v>
      </c>
      <c r="K26" s="42">
        <v>136</v>
      </c>
      <c r="L26" s="64">
        <f t="shared" si="0"/>
        <v>20158</v>
      </c>
      <c r="N26" s="43"/>
      <c r="O26" s="205"/>
      <c r="P26" s="205"/>
      <c r="Q26" s="205"/>
      <c r="R26" s="205"/>
      <c r="S26" s="205"/>
      <c r="T26" s="205"/>
      <c r="U26" s="205"/>
      <c r="V26" s="205"/>
    </row>
    <row r="27" spans="1:22" s="20" customFormat="1">
      <c r="A27" s="42">
        <v>1992</v>
      </c>
      <c r="B27" s="42">
        <v>5047</v>
      </c>
      <c r="C27" s="42">
        <v>12634</v>
      </c>
      <c r="D27" s="42">
        <v>2947</v>
      </c>
      <c r="E27" s="42">
        <v>2178</v>
      </c>
      <c r="F27" s="42">
        <v>435</v>
      </c>
      <c r="G27" s="42">
        <v>777</v>
      </c>
      <c r="H27" s="42">
        <v>987</v>
      </c>
      <c r="I27" s="42">
        <v>2180</v>
      </c>
      <c r="J27" s="42">
        <v>22</v>
      </c>
      <c r="K27" s="42">
        <v>115</v>
      </c>
      <c r="L27" s="64">
        <f t="shared" si="0"/>
        <v>22806</v>
      </c>
      <c r="N27" s="43"/>
      <c r="O27" s="205"/>
      <c r="P27" s="205"/>
      <c r="Q27" s="205"/>
      <c r="R27" s="205"/>
      <c r="S27" s="205"/>
      <c r="T27" s="205"/>
      <c r="U27" s="205"/>
      <c r="V27" s="205"/>
    </row>
    <row r="28" spans="1:22" s="20" customFormat="1">
      <c r="A28" s="42">
        <v>1993</v>
      </c>
      <c r="B28" s="42">
        <v>5744</v>
      </c>
      <c r="C28" s="42">
        <v>12446</v>
      </c>
      <c r="D28" s="42">
        <v>3167</v>
      </c>
      <c r="E28" s="42">
        <v>2259</v>
      </c>
      <c r="F28" s="42">
        <v>435</v>
      </c>
      <c r="G28" s="42">
        <v>708</v>
      </c>
      <c r="H28" s="42">
        <v>1113</v>
      </c>
      <c r="I28" s="42">
        <v>2064</v>
      </c>
      <c r="J28" s="42">
        <v>34</v>
      </c>
      <c r="K28" s="42">
        <v>103</v>
      </c>
      <c r="L28" s="64">
        <f t="shared" si="0"/>
        <v>23616</v>
      </c>
      <c r="N28" s="43"/>
      <c r="O28" s="205"/>
      <c r="P28" s="205"/>
      <c r="Q28" s="205"/>
      <c r="R28" s="205"/>
      <c r="S28" s="205"/>
      <c r="T28" s="205"/>
      <c r="U28" s="205"/>
      <c r="V28" s="205"/>
    </row>
    <row r="29" spans="1:22" s="20" customFormat="1">
      <c r="A29" s="42">
        <v>1994</v>
      </c>
      <c r="B29" s="42">
        <v>8435</v>
      </c>
      <c r="C29" s="42">
        <v>17741</v>
      </c>
      <c r="D29" s="42">
        <v>4113</v>
      </c>
      <c r="E29" s="42">
        <v>2587</v>
      </c>
      <c r="F29" s="42">
        <v>561</v>
      </c>
      <c r="G29" s="42">
        <v>786</v>
      </c>
      <c r="H29" s="42">
        <v>1358</v>
      </c>
      <c r="I29" s="42">
        <v>3132</v>
      </c>
      <c r="J29" s="42">
        <v>52</v>
      </c>
      <c r="K29" s="42">
        <v>211</v>
      </c>
      <c r="L29" s="64">
        <f t="shared" si="0"/>
        <v>32876</v>
      </c>
      <c r="N29" s="43"/>
      <c r="O29" s="205"/>
      <c r="P29" s="205"/>
      <c r="Q29" s="205"/>
      <c r="R29" s="205"/>
      <c r="S29" s="205"/>
      <c r="T29" s="205"/>
      <c r="U29" s="205"/>
      <c r="V29" s="205"/>
    </row>
    <row r="30" spans="1:22">
      <c r="A30" s="42">
        <v>1995</v>
      </c>
      <c r="B30" s="42">
        <v>7075</v>
      </c>
      <c r="C30" s="42">
        <v>23186</v>
      </c>
      <c r="D30" s="42">
        <v>3086</v>
      </c>
      <c r="E30" s="42">
        <v>3187</v>
      </c>
      <c r="F30" s="42">
        <v>643</v>
      </c>
      <c r="G30" s="42">
        <v>899</v>
      </c>
      <c r="H30" s="42">
        <v>1226</v>
      </c>
      <c r="I30" s="42">
        <v>3436</v>
      </c>
      <c r="J30" s="42">
        <v>71</v>
      </c>
      <c r="K30" s="42">
        <v>212</v>
      </c>
      <c r="L30" s="49">
        <f t="shared" si="0"/>
        <v>36534</v>
      </c>
      <c r="N30" s="39"/>
      <c r="O30" s="205"/>
      <c r="P30" s="205"/>
      <c r="Q30" s="205"/>
      <c r="R30" s="205"/>
      <c r="S30" s="205"/>
      <c r="T30" s="205"/>
      <c r="U30" s="205"/>
      <c r="V30" s="205"/>
    </row>
    <row r="31" spans="1:22">
      <c r="A31" s="42">
        <v>1996</v>
      </c>
      <c r="B31" s="42">
        <v>10543</v>
      </c>
      <c r="C31" s="42">
        <v>42505</v>
      </c>
      <c r="D31" s="42">
        <v>4343</v>
      </c>
      <c r="E31" s="42">
        <v>3398</v>
      </c>
      <c r="F31" s="42">
        <v>977</v>
      </c>
      <c r="G31" s="42">
        <v>857</v>
      </c>
      <c r="H31" s="42">
        <v>1597</v>
      </c>
      <c r="I31" s="42">
        <v>3245</v>
      </c>
      <c r="J31" s="42">
        <v>78</v>
      </c>
      <c r="K31" s="42">
        <v>95</v>
      </c>
      <c r="L31" s="49">
        <f t="shared" si="0"/>
        <v>60789</v>
      </c>
      <c r="N31" s="39"/>
      <c r="O31" s="205"/>
      <c r="P31" s="205"/>
      <c r="Q31" s="205"/>
      <c r="R31" s="205"/>
      <c r="S31" s="205"/>
      <c r="T31" s="205"/>
      <c r="U31" s="205"/>
      <c r="V31" s="205"/>
    </row>
    <row r="32" spans="1:22">
      <c r="A32" s="42">
        <v>1997</v>
      </c>
      <c r="B32" s="42">
        <v>10796</v>
      </c>
      <c r="C32" s="42">
        <v>35771</v>
      </c>
      <c r="D32" s="42">
        <v>4199</v>
      </c>
      <c r="E32" s="42">
        <v>3486</v>
      </c>
      <c r="F32" s="42">
        <v>1315</v>
      </c>
      <c r="G32" s="42">
        <v>973</v>
      </c>
      <c r="H32" s="42">
        <v>1437</v>
      </c>
      <c r="I32" s="42">
        <v>2912</v>
      </c>
      <c r="J32" s="42">
        <v>60</v>
      </c>
      <c r="K32" s="42">
        <v>97</v>
      </c>
      <c r="L32" s="49">
        <f t="shared" si="0"/>
        <v>54252</v>
      </c>
      <c r="N32" s="39"/>
      <c r="O32" s="205"/>
      <c r="P32" s="205"/>
      <c r="Q32" s="205"/>
      <c r="R32" s="205"/>
      <c r="S32" s="205"/>
      <c r="T32" s="205"/>
      <c r="U32" s="205"/>
      <c r="V32" s="205"/>
    </row>
    <row r="33" spans="1:22">
      <c r="A33" s="42">
        <v>1998</v>
      </c>
      <c r="B33" s="42">
        <v>11951</v>
      </c>
      <c r="C33" s="42">
        <v>30011</v>
      </c>
      <c r="D33" s="42">
        <v>4302</v>
      </c>
      <c r="E33" s="42">
        <v>2442</v>
      </c>
      <c r="F33" s="42">
        <v>1480</v>
      </c>
      <c r="G33" s="42">
        <v>1031</v>
      </c>
      <c r="H33" s="42">
        <v>1105</v>
      </c>
      <c r="I33" s="42">
        <v>1662</v>
      </c>
      <c r="J33" s="42">
        <v>107</v>
      </c>
      <c r="K33" s="42">
        <v>54</v>
      </c>
      <c r="L33" s="49">
        <f t="shared" si="0"/>
        <v>48706</v>
      </c>
      <c r="N33" s="39"/>
      <c r="O33" s="205"/>
      <c r="P33" s="205"/>
      <c r="Q33" s="205"/>
      <c r="R33" s="205"/>
      <c r="S33" s="205"/>
      <c r="T33" s="205"/>
      <c r="U33" s="205"/>
      <c r="V33" s="205"/>
    </row>
    <row r="34" spans="1:22">
      <c r="A34" s="42">
        <v>1999</v>
      </c>
      <c r="B34" s="42">
        <v>15298</v>
      </c>
      <c r="C34" s="42">
        <v>25870</v>
      </c>
      <c r="D34" s="42">
        <v>5975</v>
      </c>
      <c r="E34" s="42">
        <v>2356</v>
      </c>
      <c r="F34" s="42">
        <v>1425</v>
      </c>
      <c r="G34" s="42">
        <v>1063</v>
      </c>
      <c r="H34" s="42">
        <v>1396</v>
      </c>
      <c r="I34" s="42">
        <v>942</v>
      </c>
      <c r="J34" s="42">
        <v>97</v>
      </c>
      <c r="K34" s="42">
        <v>45</v>
      </c>
      <c r="L34" s="49">
        <f t="shared" si="0"/>
        <v>49499</v>
      </c>
      <c r="N34" s="39"/>
      <c r="O34" s="205"/>
      <c r="P34" s="205"/>
      <c r="Q34" s="205"/>
      <c r="R34" s="205"/>
      <c r="S34" s="205"/>
      <c r="T34" s="205"/>
      <c r="U34" s="205"/>
      <c r="V34" s="205"/>
    </row>
    <row r="35" spans="1:22">
      <c r="A35" s="42">
        <v>2000</v>
      </c>
      <c r="B35" s="42">
        <v>18503</v>
      </c>
      <c r="C35" s="42">
        <v>32583</v>
      </c>
      <c r="D35" s="42">
        <v>7365</v>
      </c>
      <c r="E35" s="42">
        <v>2141</v>
      </c>
      <c r="F35" s="42">
        <v>1362</v>
      </c>
      <c r="G35" s="42">
        <v>1367</v>
      </c>
      <c r="H35" s="42">
        <v>1895</v>
      </c>
      <c r="I35" s="42">
        <v>666</v>
      </c>
      <c r="J35" s="42">
        <v>97</v>
      </c>
      <c r="K35" s="42">
        <v>25</v>
      </c>
      <c r="L35" s="49">
        <f t="shared" ref="L35:L58" si="1">SUM(B35:E35)</f>
        <v>60592</v>
      </c>
      <c r="N35" s="39"/>
      <c r="O35" s="205"/>
      <c r="P35" s="205"/>
      <c r="Q35" s="205"/>
      <c r="R35" s="205"/>
      <c r="S35" s="205"/>
      <c r="T35" s="205"/>
      <c r="U35" s="205"/>
      <c r="V35" s="205"/>
    </row>
    <row r="36" spans="1:22">
      <c r="A36" s="42">
        <v>2001</v>
      </c>
      <c r="B36" s="42">
        <v>22218</v>
      </c>
      <c r="C36" s="42">
        <v>35369</v>
      </c>
      <c r="D36" s="42">
        <v>8505</v>
      </c>
      <c r="E36" s="42">
        <v>1790</v>
      </c>
      <c r="F36" s="42">
        <v>1544</v>
      </c>
      <c r="G36" s="42">
        <v>1480</v>
      </c>
      <c r="H36" s="42">
        <v>1887</v>
      </c>
      <c r="I36" s="42">
        <v>367</v>
      </c>
      <c r="J36" s="42">
        <v>144</v>
      </c>
      <c r="K36" s="42">
        <v>28</v>
      </c>
      <c r="L36" s="49">
        <f t="shared" si="1"/>
        <v>67882</v>
      </c>
      <c r="N36" s="39"/>
      <c r="O36" s="205"/>
      <c r="P36" s="205"/>
      <c r="Q36" s="205"/>
      <c r="R36" s="205"/>
      <c r="S36" s="205"/>
      <c r="T36" s="205"/>
      <c r="U36" s="205"/>
      <c r="V36" s="205"/>
    </row>
    <row r="37" spans="1:22">
      <c r="A37" s="42">
        <v>2002</v>
      </c>
      <c r="B37" s="42">
        <v>28326</v>
      </c>
      <c r="C37" s="42">
        <v>34544</v>
      </c>
      <c r="D37" s="42">
        <v>9937</v>
      </c>
      <c r="E37" s="42">
        <v>1528</v>
      </c>
      <c r="F37" s="42">
        <v>1891</v>
      </c>
      <c r="G37" s="42">
        <v>1542</v>
      </c>
      <c r="H37" s="42">
        <v>2469</v>
      </c>
      <c r="I37" s="42">
        <v>336</v>
      </c>
      <c r="J37" s="42">
        <v>137</v>
      </c>
      <c r="K37" s="42">
        <v>23</v>
      </c>
      <c r="L37" s="49">
        <f t="shared" si="1"/>
        <v>74335</v>
      </c>
      <c r="N37" s="39"/>
      <c r="O37" s="205"/>
      <c r="P37" s="205"/>
      <c r="Q37" s="205"/>
      <c r="R37" s="205"/>
      <c r="S37" s="205"/>
      <c r="T37" s="205"/>
      <c r="U37" s="205"/>
      <c r="V37" s="205"/>
    </row>
    <row r="38" spans="1:22">
      <c r="A38" s="42">
        <v>2003</v>
      </c>
      <c r="B38" s="42">
        <v>36949</v>
      </c>
      <c r="C38" s="42">
        <v>29473</v>
      </c>
      <c r="D38" s="42">
        <v>11667</v>
      </c>
      <c r="E38" s="42">
        <v>1928</v>
      </c>
      <c r="F38" s="42">
        <v>2282</v>
      </c>
      <c r="G38" s="42">
        <v>1657</v>
      </c>
      <c r="H38" s="42">
        <v>2954</v>
      </c>
      <c r="I38" s="42">
        <v>377</v>
      </c>
      <c r="J38" s="42">
        <v>236</v>
      </c>
      <c r="K38" s="42">
        <v>22</v>
      </c>
      <c r="L38" s="49">
        <f t="shared" si="1"/>
        <v>80017</v>
      </c>
      <c r="N38" s="39"/>
      <c r="O38" s="205"/>
      <c r="P38" s="205"/>
      <c r="Q38" s="205"/>
      <c r="R38" s="205"/>
      <c r="S38" s="205"/>
      <c r="T38" s="205"/>
      <c r="U38" s="205"/>
      <c r="V38" s="205"/>
    </row>
    <row r="39" spans="1:22">
      <c r="A39" s="42">
        <v>2004</v>
      </c>
      <c r="B39" s="42">
        <v>42278</v>
      </c>
      <c r="C39" s="42">
        <v>100636</v>
      </c>
      <c r="D39" s="42">
        <v>13738</v>
      </c>
      <c r="E39" s="42">
        <v>2828</v>
      </c>
      <c r="F39" s="42">
        <v>2987</v>
      </c>
      <c r="G39" s="42">
        <v>1631</v>
      </c>
      <c r="H39" s="42">
        <v>3824</v>
      </c>
      <c r="I39" s="42">
        <v>404</v>
      </c>
      <c r="J39" s="42">
        <v>225</v>
      </c>
      <c r="K39" s="42">
        <v>29</v>
      </c>
      <c r="L39" s="49">
        <f t="shared" si="1"/>
        <v>159480</v>
      </c>
      <c r="N39" s="39"/>
      <c r="O39" s="205"/>
      <c r="P39" s="205"/>
      <c r="Q39" s="205"/>
      <c r="R39" s="205"/>
      <c r="S39" s="205"/>
      <c r="T39" s="205"/>
      <c r="U39" s="205"/>
      <c r="V39" s="205"/>
    </row>
    <row r="40" spans="1:22">
      <c r="A40" s="42">
        <v>2005</v>
      </c>
      <c r="B40" s="42">
        <v>46435</v>
      </c>
      <c r="C40" s="42">
        <v>146477</v>
      </c>
      <c r="D40" s="42">
        <v>14780</v>
      </c>
      <c r="E40" s="42">
        <v>4324</v>
      </c>
      <c r="F40" s="42">
        <v>4220</v>
      </c>
      <c r="G40" s="42">
        <v>1726</v>
      </c>
      <c r="H40" s="42">
        <v>2964</v>
      </c>
      <c r="I40" s="42">
        <v>432</v>
      </c>
      <c r="J40" s="42">
        <v>185</v>
      </c>
      <c r="K40" s="42">
        <v>42</v>
      </c>
      <c r="L40" s="49">
        <f t="shared" si="1"/>
        <v>212016</v>
      </c>
      <c r="N40" s="39"/>
      <c r="O40" s="205"/>
      <c r="P40" s="205"/>
      <c r="Q40" s="205"/>
      <c r="R40" s="205"/>
      <c r="S40" s="205"/>
      <c r="T40" s="205"/>
      <c r="U40" s="205"/>
      <c r="V40" s="205"/>
    </row>
    <row r="41" spans="1:22">
      <c r="A41" s="42">
        <v>2006</v>
      </c>
      <c r="B41" s="42">
        <v>53534</v>
      </c>
      <c r="C41" s="42">
        <v>146318</v>
      </c>
      <c r="D41" s="42">
        <v>15224</v>
      </c>
      <c r="E41" s="42">
        <v>3856</v>
      </c>
      <c r="F41" s="42">
        <v>4132</v>
      </c>
      <c r="G41" s="42">
        <v>1858</v>
      </c>
      <c r="H41" s="42">
        <v>2753</v>
      </c>
      <c r="I41" s="42">
        <v>900</v>
      </c>
      <c r="J41" s="42">
        <v>118</v>
      </c>
      <c r="K41" s="42">
        <v>35</v>
      </c>
      <c r="L41" s="49">
        <f t="shared" si="1"/>
        <v>218932</v>
      </c>
      <c r="N41" s="39"/>
      <c r="O41" s="205"/>
      <c r="P41" s="205"/>
      <c r="Q41" s="205"/>
      <c r="R41" s="205"/>
      <c r="S41" s="205"/>
      <c r="T41" s="205"/>
      <c r="U41" s="205"/>
      <c r="V41" s="205"/>
    </row>
    <row r="42" spans="1:22">
      <c r="A42" s="42">
        <v>2007</v>
      </c>
      <c r="B42" s="42">
        <v>58817</v>
      </c>
      <c r="C42" s="42">
        <v>147607</v>
      </c>
      <c r="D42" s="42">
        <v>16809</v>
      </c>
      <c r="E42" s="42">
        <v>5177</v>
      </c>
      <c r="F42" s="42">
        <v>6596</v>
      </c>
      <c r="G42" s="42">
        <v>1982</v>
      </c>
      <c r="H42" s="42">
        <v>3309</v>
      </c>
      <c r="I42" s="42">
        <v>3137</v>
      </c>
      <c r="J42" s="42">
        <v>179</v>
      </c>
      <c r="K42" s="42">
        <v>65</v>
      </c>
      <c r="L42" s="49">
        <f t="shared" si="1"/>
        <v>228410</v>
      </c>
      <c r="N42" s="39"/>
      <c r="O42" s="205"/>
      <c r="P42" s="205"/>
      <c r="Q42" s="205"/>
      <c r="R42" s="205"/>
      <c r="S42" s="205"/>
      <c r="T42" s="205"/>
      <c r="U42" s="205"/>
      <c r="V42" s="205"/>
    </row>
    <row r="43" spans="1:22">
      <c r="A43" s="42">
        <v>2008</v>
      </c>
      <c r="B43" s="42">
        <v>58302</v>
      </c>
      <c r="C43" s="42">
        <v>119803</v>
      </c>
      <c r="D43" s="42">
        <v>15942</v>
      </c>
      <c r="E43" s="42">
        <v>8119</v>
      </c>
      <c r="F43" s="42">
        <v>6876</v>
      </c>
      <c r="G43" s="42">
        <v>1840</v>
      </c>
      <c r="H43" s="42">
        <v>3535</v>
      </c>
      <c r="I43" s="42">
        <v>2596</v>
      </c>
      <c r="J43" s="42">
        <v>256</v>
      </c>
      <c r="K43" s="42">
        <v>157</v>
      </c>
      <c r="L43" s="49">
        <f t="shared" si="1"/>
        <v>202166</v>
      </c>
      <c r="N43" s="39"/>
      <c r="O43" s="205"/>
      <c r="P43" s="205"/>
      <c r="Q43" s="205"/>
      <c r="R43" s="205"/>
      <c r="S43" s="205"/>
      <c r="T43" s="205"/>
      <c r="U43" s="205"/>
      <c r="V43" s="205"/>
    </row>
    <row r="44" spans="1:22">
      <c r="A44" s="42">
        <v>2009</v>
      </c>
      <c r="B44" s="42">
        <v>44746</v>
      </c>
      <c r="C44" s="42">
        <v>86421</v>
      </c>
      <c r="D44" s="42">
        <v>10702</v>
      </c>
      <c r="E44" s="42">
        <v>5698</v>
      </c>
      <c r="F44" s="42">
        <v>4462</v>
      </c>
      <c r="G44" s="42">
        <v>1486</v>
      </c>
      <c r="H44" s="42">
        <v>1941</v>
      </c>
      <c r="I44" s="42">
        <v>1224</v>
      </c>
      <c r="J44" s="42">
        <v>369</v>
      </c>
      <c r="K44" s="42">
        <v>83</v>
      </c>
      <c r="L44" s="49">
        <f t="shared" si="1"/>
        <v>147567</v>
      </c>
      <c r="N44" s="39"/>
      <c r="O44" s="205"/>
      <c r="P44" s="205"/>
      <c r="Q44" s="205"/>
      <c r="R44" s="205"/>
      <c r="S44" s="205"/>
      <c r="T44" s="205"/>
      <c r="U44" s="205"/>
      <c r="V44" s="205"/>
    </row>
    <row r="45" spans="1:22">
      <c r="A45" s="42">
        <v>2010</v>
      </c>
      <c r="B45" s="42">
        <v>53094</v>
      </c>
      <c r="C45" s="42">
        <v>87797</v>
      </c>
      <c r="D45" s="42">
        <v>13584</v>
      </c>
      <c r="E45" s="42">
        <v>5721</v>
      </c>
      <c r="F45" s="42">
        <v>3545</v>
      </c>
      <c r="G45" s="42">
        <v>1023</v>
      </c>
      <c r="H45" s="42">
        <v>1937</v>
      </c>
      <c r="I45" s="42">
        <v>1450</v>
      </c>
      <c r="J45" s="42">
        <v>213</v>
      </c>
      <c r="K45" s="42">
        <v>141</v>
      </c>
      <c r="L45" s="49">
        <f t="shared" si="1"/>
        <v>160196</v>
      </c>
      <c r="N45" s="39"/>
      <c r="O45" s="205"/>
      <c r="P45" s="205"/>
      <c r="Q45" s="205"/>
      <c r="R45" s="205"/>
      <c r="S45" s="205"/>
      <c r="T45" s="205"/>
      <c r="U45" s="205"/>
      <c r="V45" s="205"/>
    </row>
    <row r="46" spans="1:22">
      <c r="A46" s="42">
        <v>2011</v>
      </c>
      <c r="B46" s="42">
        <v>56251</v>
      </c>
      <c r="C46" s="42">
        <v>66224</v>
      </c>
      <c r="D46" s="42">
        <v>15335</v>
      </c>
      <c r="E46" s="42">
        <v>5081</v>
      </c>
      <c r="F46" s="42">
        <v>3531</v>
      </c>
      <c r="G46" s="42">
        <v>1013</v>
      </c>
      <c r="H46" s="42">
        <v>2472</v>
      </c>
      <c r="I46" s="42">
        <v>1644</v>
      </c>
      <c r="J46" s="42">
        <v>304</v>
      </c>
      <c r="K46" s="42">
        <v>53</v>
      </c>
      <c r="L46" s="49">
        <f t="shared" si="1"/>
        <v>142891</v>
      </c>
      <c r="N46" s="39"/>
      <c r="O46" s="205"/>
      <c r="P46" s="205"/>
      <c r="Q46" s="205"/>
      <c r="R46" s="205"/>
      <c r="S46" s="205"/>
      <c r="T46" s="205"/>
      <c r="U46" s="205"/>
      <c r="V46" s="205"/>
    </row>
    <row r="47" spans="1:22">
      <c r="A47" s="42">
        <v>2012</v>
      </c>
      <c r="B47" s="42">
        <v>69411</v>
      </c>
      <c r="C47" s="42">
        <v>84594</v>
      </c>
      <c r="D47" s="42">
        <v>18285</v>
      </c>
      <c r="E47" s="42">
        <v>5634</v>
      </c>
      <c r="F47" s="42">
        <v>3590</v>
      </c>
      <c r="G47" s="42">
        <v>1174</v>
      </c>
      <c r="H47" s="42">
        <v>2749</v>
      </c>
      <c r="I47" s="42">
        <v>1885</v>
      </c>
      <c r="J47" s="42">
        <v>294</v>
      </c>
      <c r="K47" s="42">
        <v>51</v>
      </c>
      <c r="L47" s="49">
        <f t="shared" si="1"/>
        <v>177924</v>
      </c>
      <c r="N47" s="39"/>
      <c r="O47" s="205"/>
      <c r="P47" s="205"/>
      <c r="Q47" s="205"/>
      <c r="R47" s="205"/>
      <c r="S47" s="205"/>
      <c r="T47" s="205"/>
      <c r="U47" s="205"/>
      <c r="V47" s="205"/>
    </row>
    <row r="48" spans="1:22">
      <c r="A48" s="42">
        <v>2013</v>
      </c>
      <c r="B48" s="42">
        <v>75955</v>
      </c>
      <c r="C48" s="42">
        <v>72040</v>
      </c>
      <c r="D48" s="42">
        <v>23900</v>
      </c>
      <c r="E48" s="42">
        <v>5483</v>
      </c>
      <c r="F48" s="42">
        <v>4454</v>
      </c>
      <c r="G48" s="42">
        <v>1205</v>
      </c>
      <c r="H48" s="42">
        <v>3615</v>
      </c>
      <c r="I48" s="42">
        <v>1661</v>
      </c>
      <c r="J48" s="42">
        <v>313</v>
      </c>
      <c r="K48" s="42">
        <v>45</v>
      </c>
      <c r="L48" s="49">
        <f t="shared" si="1"/>
        <v>177378</v>
      </c>
      <c r="N48" s="39"/>
      <c r="O48" s="205"/>
      <c r="P48" s="205"/>
      <c r="Q48" s="205"/>
      <c r="R48" s="205"/>
      <c r="S48" s="205"/>
      <c r="T48" s="205"/>
      <c r="U48" s="205"/>
      <c r="V48" s="205"/>
    </row>
    <row r="49" spans="1:22">
      <c r="A49" s="42">
        <v>2014</v>
      </c>
      <c r="B49" s="42">
        <v>84781</v>
      </c>
      <c r="C49" s="42">
        <v>65527</v>
      </c>
      <c r="D49" s="42">
        <v>28872</v>
      </c>
      <c r="E49" s="42">
        <v>4766</v>
      </c>
      <c r="F49" s="42">
        <v>5106</v>
      </c>
      <c r="G49" s="42">
        <v>1071</v>
      </c>
      <c r="H49" s="42">
        <v>4552</v>
      </c>
      <c r="I49" s="42">
        <v>1394</v>
      </c>
      <c r="J49" s="42">
        <v>312</v>
      </c>
      <c r="K49" s="42">
        <v>38</v>
      </c>
      <c r="L49" s="49">
        <f t="shared" si="1"/>
        <v>183946</v>
      </c>
      <c r="N49" s="39"/>
      <c r="O49" s="205"/>
      <c r="P49" s="205"/>
      <c r="Q49" s="205"/>
      <c r="R49" s="205"/>
      <c r="S49" s="205"/>
      <c r="T49" s="205"/>
      <c r="U49" s="205"/>
      <c r="V49" s="205"/>
    </row>
    <row r="50" spans="1:22">
      <c r="A50" s="42">
        <v>2015</v>
      </c>
      <c r="B50" s="42">
        <v>90135</v>
      </c>
      <c r="C50" s="42">
        <v>45064</v>
      </c>
      <c r="D50" s="42">
        <v>31665</v>
      </c>
      <c r="E50" s="42">
        <v>3144</v>
      </c>
      <c r="F50" s="42">
        <v>6024</v>
      </c>
      <c r="G50" s="42">
        <v>913</v>
      </c>
      <c r="H50" s="42">
        <v>4483</v>
      </c>
      <c r="I50" s="42">
        <v>1202</v>
      </c>
      <c r="J50" s="42">
        <v>322</v>
      </c>
      <c r="K50" s="42">
        <v>39</v>
      </c>
      <c r="L50" s="49">
        <f t="shared" si="1"/>
        <v>170008</v>
      </c>
      <c r="N50" s="39"/>
      <c r="O50" s="205"/>
      <c r="P50" s="205"/>
      <c r="Q50" s="205"/>
      <c r="R50" s="205"/>
      <c r="S50" s="205"/>
      <c r="T50" s="205"/>
      <c r="U50" s="205"/>
      <c r="V50" s="205"/>
    </row>
    <row r="51" spans="1:22">
      <c r="A51" s="42">
        <v>2016</v>
      </c>
      <c r="B51" s="42">
        <v>98306</v>
      </c>
      <c r="C51" s="42">
        <v>32001</v>
      </c>
      <c r="D51" s="42">
        <v>36934</v>
      </c>
      <c r="E51" s="42">
        <v>2776</v>
      </c>
      <c r="F51" s="42">
        <v>6128</v>
      </c>
      <c r="G51" s="42">
        <v>863</v>
      </c>
      <c r="H51" s="42">
        <v>4240</v>
      </c>
      <c r="I51" s="42">
        <v>876</v>
      </c>
      <c r="J51" s="42">
        <v>645</v>
      </c>
      <c r="K51" s="42">
        <v>36</v>
      </c>
      <c r="L51" s="49">
        <f t="shared" si="1"/>
        <v>170017</v>
      </c>
      <c r="N51" s="39"/>
      <c r="O51" s="205"/>
      <c r="P51" s="205"/>
      <c r="Q51" s="205"/>
      <c r="R51" s="205"/>
      <c r="S51" s="205"/>
      <c r="T51" s="205"/>
      <c r="U51" s="205"/>
      <c r="V51" s="205"/>
    </row>
    <row r="52" spans="1:22">
      <c r="A52" s="42">
        <v>2017</v>
      </c>
      <c r="B52" s="42">
        <v>104836</v>
      </c>
      <c r="C52" s="42">
        <v>28481</v>
      </c>
      <c r="D52" s="42">
        <v>42972</v>
      </c>
      <c r="E52" s="42">
        <v>2442</v>
      </c>
      <c r="F52" s="42">
        <v>6488</v>
      </c>
      <c r="G52" s="42">
        <v>521</v>
      </c>
      <c r="H52" s="42">
        <v>5400</v>
      </c>
      <c r="I52" s="42">
        <v>705</v>
      </c>
      <c r="J52" s="42">
        <v>580</v>
      </c>
      <c r="K52" s="42">
        <v>27</v>
      </c>
      <c r="L52" s="49">
        <f t="shared" si="1"/>
        <v>178731</v>
      </c>
      <c r="N52" s="39"/>
      <c r="O52" s="205"/>
      <c r="P52" s="205"/>
      <c r="Q52" s="205"/>
      <c r="R52" s="205"/>
      <c r="S52" s="205"/>
      <c r="T52" s="205"/>
      <c r="U52" s="205"/>
      <c r="V52" s="205"/>
    </row>
    <row r="53" spans="1:22">
      <c r="A53" s="42">
        <v>2018</v>
      </c>
      <c r="B53" s="42">
        <v>105041</v>
      </c>
      <c r="C53" s="42">
        <v>16798</v>
      </c>
      <c r="D53" s="42">
        <v>44986</v>
      </c>
      <c r="E53" s="42">
        <v>3630</v>
      </c>
      <c r="F53" s="42">
        <v>6694</v>
      </c>
      <c r="G53" s="42">
        <v>343</v>
      </c>
      <c r="H53" s="42">
        <v>5604</v>
      </c>
      <c r="I53" s="42">
        <v>475</v>
      </c>
      <c r="J53" s="42">
        <v>854</v>
      </c>
      <c r="K53" s="42">
        <v>14</v>
      </c>
      <c r="L53" s="49">
        <f t="shared" si="1"/>
        <v>170455</v>
      </c>
      <c r="N53" s="39"/>
      <c r="O53" s="205"/>
      <c r="P53" s="205"/>
      <c r="Q53" s="205"/>
      <c r="R53" s="205"/>
      <c r="S53" s="205"/>
      <c r="T53" s="205"/>
      <c r="U53" s="205"/>
      <c r="V53" s="205"/>
    </row>
    <row r="54" spans="1:22">
      <c r="A54" s="42">
        <v>2019</v>
      </c>
      <c r="B54" s="42">
        <v>101736</v>
      </c>
      <c r="C54" s="42">
        <v>6269</v>
      </c>
      <c r="D54" s="42">
        <v>42757</v>
      </c>
      <c r="E54" s="42">
        <v>2254</v>
      </c>
      <c r="F54" s="42">
        <v>6829</v>
      </c>
      <c r="G54" s="42">
        <v>249</v>
      </c>
      <c r="H54" s="42">
        <v>5658</v>
      </c>
      <c r="I54" s="42">
        <v>242</v>
      </c>
      <c r="J54" s="42">
        <v>369</v>
      </c>
      <c r="K54" s="42">
        <v>5</v>
      </c>
      <c r="L54" s="49">
        <f t="shared" si="1"/>
        <v>153016</v>
      </c>
      <c r="N54" s="39"/>
      <c r="O54" s="205"/>
      <c r="P54" s="205"/>
      <c r="Q54" s="205"/>
      <c r="R54" s="205"/>
      <c r="S54" s="205"/>
      <c r="T54" s="205"/>
      <c r="U54" s="205"/>
      <c r="V54" s="205"/>
    </row>
    <row r="55" spans="1:22">
      <c r="A55" s="42">
        <v>2020</v>
      </c>
      <c r="B55" s="42">
        <v>79255</v>
      </c>
      <c r="C55" s="42">
        <v>3723</v>
      </c>
      <c r="D55" s="42">
        <v>32747</v>
      </c>
      <c r="E55" s="42">
        <v>795</v>
      </c>
      <c r="F55" s="42">
        <v>7575</v>
      </c>
      <c r="G55" s="42">
        <v>150</v>
      </c>
      <c r="H55" s="42">
        <v>4552</v>
      </c>
      <c r="I55" s="42">
        <v>173</v>
      </c>
      <c r="J55" s="42">
        <v>217</v>
      </c>
      <c r="K55" s="42">
        <v>0</v>
      </c>
      <c r="L55" s="49">
        <f t="shared" si="1"/>
        <v>116520</v>
      </c>
      <c r="N55" s="39"/>
      <c r="O55" s="205"/>
      <c r="P55" s="205"/>
      <c r="Q55" s="205"/>
      <c r="R55" s="205"/>
      <c r="S55" s="205"/>
      <c r="T55" s="205"/>
      <c r="U55" s="205"/>
      <c r="V55" s="205"/>
    </row>
    <row r="56" spans="1:22">
      <c r="A56" s="42">
        <v>2021</v>
      </c>
      <c r="B56" s="42">
        <v>110320</v>
      </c>
      <c r="C56" s="42">
        <v>1758</v>
      </c>
      <c r="D56" s="42">
        <v>45777</v>
      </c>
      <c r="E56" s="42">
        <v>814</v>
      </c>
      <c r="F56" s="42">
        <v>9580</v>
      </c>
      <c r="G56" s="42">
        <v>80</v>
      </c>
      <c r="H56" s="42">
        <v>5847</v>
      </c>
      <c r="I56" s="42">
        <v>163</v>
      </c>
      <c r="J56" s="42">
        <v>355</v>
      </c>
      <c r="K56" s="42">
        <v>2</v>
      </c>
      <c r="L56" s="49">
        <f t="shared" si="1"/>
        <v>158669</v>
      </c>
      <c r="O56" s="205"/>
      <c r="P56" s="205"/>
      <c r="Q56" s="205"/>
      <c r="R56" s="205"/>
      <c r="S56" s="205"/>
      <c r="T56" s="205"/>
      <c r="U56" s="205"/>
      <c r="V56" s="205"/>
    </row>
    <row r="57" spans="1:22">
      <c r="A57" s="42">
        <v>2022</v>
      </c>
      <c r="B57" s="42">
        <v>114324</v>
      </c>
      <c r="C57" s="42">
        <v>610</v>
      </c>
      <c r="D57" s="42">
        <v>40075</v>
      </c>
      <c r="E57" s="42">
        <v>366</v>
      </c>
      <c r="F57" s="42">
        <v>9565</v>
      </c>
      <c r="G57" s="42">
        <v>48</v>
      </c>
      <c r="H57" s="42">
        <v>6816</v>
      </c>
      <c r="I57" s="42">
        <v>58</v>
      </c>
      <c r="J57" s="42">
        <v>414</v>
      </c>
      <c r="K57" s="42">
        <v>1</v>
      </c>
      <c r="L57" s="49">
        <f t="shared" si="1"/>
        <v>155375</v>
      </c>
      <c r="O57" s="205"/>
      <c r="P57" s="205"/>
      <c r="Q57" s="205"/>
      <c r="R57" s="205"/>
      <c r="S57" s="205"/>
      <c r="T57" s="205"/>
      <c r="U57" s="205"/>
      <c r="V57" s="205"/>
    </row>
    <row r="58" spans="1:22">
      <c r="A58" s="42">
        <v>2023</v>
      </c>
      <c r="B58" s="42">
        <v>110427</v>
      </c>
      <c r="C58" s="42">
        <v>144</v>
      </c>
      <c r="D58" s="42">
        <v>30477</v>
      </c>
      <c r="E58" s="42">
        <v>191</v>
      </c>
      <c r="F58" s="42">
        <v>8652</v>
      </c>
      <c r="G58" s="42">
        <v>17</v>
      </c>
      <c r="H58" s="42">
        <v>7638</v>
      </c>
      <c r="I58" s="42">
        <v>13</v>
      </c>
      <c r="J58" s="42">
        <v>296</v>
      </c>
      <c r="K58" s="42">
        <v>0</v>
      </c>
      <c r="L58" s="49">
        <f t="shared" si="1"/>
        <v>141239</v>
      </c>
      <c r="O58" s="205"/>
      <c r="P58" s="205"/>
      <c r="Q58" s="205"/>
      <c r="R58" s="205"/>
      <c r="S58" s="205"/>
      <c r="T58" s="205"/>
      <c r="U58" s="205"/>
      <c r="V58" s="205"/>
    </row>
    <row r="59" spans="1:22">
      <c r="O59" s="205"/>
      <c r="P59" s="205"/>
      <c r="Q59" s="205"/>
      <c r="R59" s="205"/>
      <c r="S59" s="205"/>
      <c r="T59" s="205"/>
      <c r="U59" s="205"/>
      <c r="V59" s="205"/>
    </row>
  </sheetData>
  <phoneticPr fontId="0" type="noConversion"/>
  <hyperlinks>
    <hyperlink ref="J1" location="Contents!A1" display="Back to Contents" xr:uid="{00000000-0004-0000-0900-000000000000}"/>
  </hyperlinks>
  <pageMargins left="0.75" right="0.75" top="1" bottom="1" header="0.5" footer="0.5"/>
  <pageSetup paperSize="9" orientation="landscape" horizontalDpi="4294967292" verticalDpi="4294967292"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J14"/>
  <sheetViews>
    <sheetView workbookViewId="0"/>
  </sheetViews>
  <sheetFormatPr defaultColWidth="8.81640625" defaultRowHeight="12.5"/>
  <cols>
    <col min="1" max="1" width="14.453125" customWidth="1"/>
    <col min="2" max="2" width="10.26953125" style="1" customWidth="1"/>
    <col min="3" max="5" width="8.81640625" style="1"/>
    <col min="6" max="6" width="11" bestFit="1" customWidth="1"/>
  </cols>
  <sheetData>
    <row r="1" spans="1:10" ht="27" customHeight="1">
      <c r="B1" s="17" t="s">
        <v>212</v>
      </c>
      <c r="C1" s="30"/>
      <c r="D1" s="30"/>
      <c r="E1" s="30"/>
      <c r="F1" s="207" t="s">
        <v>79</v>
      </c>
      <c r="G1" s="207"/>
    </row>
    <row r="2" spans="1:10" s="20" customFormat="1" ht="26.25" customHeight="1">
      <c r="A2" s="178" t="s">
        <v>213</v>
      </c>
      <c r="B2" s="179" t="s">
        <v>214</v>
      </c>
      <c r="C2" s="180" t="s">
        <v>215</v>
      </c>
      <c r="D2" s="179" t="s">
        <v>87</v>
      </c>
      <c r="E2" s="179"/>
      <c r="F2" s="107"/>
    </row>
    <row r="3" spans="1:10" s="20" customFormat="1">
      <c r="A3" s="181" t="s">
        <v>216</v>
      </c>
      <c r="B3" s="42">
        <v>14715</v>
      </c>
      <c r="C3" s="42">
        <v>16015</v>
      </c>
      <c r="D3" s="182">
        <f t="shared" ref="D3:D14" si="0">SUM(B3:C3)</f>
        <v>30730</v>
      </c>
      <c r="E3" s="182"/>
      <c r="F3" s="108"/>
      <c r="I3" s="206"/>
      <c r="J3" s="206"/>
    </row>
    <row r="4" spans="1:10" s="20" customFormat="1">
      <c r="A4" s="181" t="s">
        <v>217</v>
      </c>
      <c r="B4" s="42">
        <v>19774</v>
      </c>
      <c r="C4" s="42">
        <v>19857</v>
      </c>
      <c r="D4" s="182">
        <f t="shared" si="0"/>
        <v>39631</v>
      </c>
      <c r="E4" s="182"/>
      <c r="F4" s="107"/>
      <c r="I4" s="206"/>
      <c r="J4" s="206"/>
    </row>
    <row r="5" spans="1:10" s="20" customFormat="1">
      <c r="A5" s="181" t="s">
        <v>218</v>
      </c>
      <c r="B5" s="42">
        <v>10157</v>
      </c>
      <c r="C5" s="42">
        <v>9834</v>
      </c>
      <c r="D5" s="182">
        <f t="shared" si="0"/>
        <v>19991</v>
      </c>
      <c r="E5" s="182"/>
      <c r="F5" s="108"/>
      <c r="I5" s="206"/>
      <c r="J5" s="206"/>
    </row>
    <row r="6" spans="1:10" s="20" customFormat="1">
      <c r="A6" s="181" t="s">
        <v>219</v>
      </c>
      <c r="B6" s="42">
        <v>2079</v>
      </c>
      <c r="C6" s="42">
        <v>6799</v>
      </c>
      <c r="D6" s="182">
        <f t="shared" si="0"/>
        <v>8878</v>
      </c>
      <c r="E6" s="182"/>
      <c r="F6" s="107"/>
      <c r="I6" s="206"/>
      <c r="J6" s="206"/>
    </row>
    <row r="7" spans="1:10" s="20" customFormat="1">
      <c r="A7" s="181" t="s">
        <v>220</v>
      </c>
      <c r="B7" s="42">
        <v>1664</v>
      </c>
      <c r="C7" s="42">
        <v>7260</v>
      </c>
      <c r="D7" s="182">
        <f t="shared" si="0"/>
        <v>8924</v>
      </c>
      <c r="E7" s="182"/>
      <c r="F7" s="108"/>
      <c r="I7" s="206"/>
      <c r="J7" s="206"/>
    </row>
    <row r="8" spans="1:10" s="20" customFormat="1">
      <c r="A8" s="181" t="s">
        <v>221</v>
      </c>
      <c r="B8" s="42">
        <v>1511</v>
      </c>
      <c r="C8" s="42">
        <v>8090</v>
      </c>
      <c r="D8" s="182">
        <f t="shared" si="0"/>
        <v>9601</v>
      </c>
      <c r="E8" s="182"/>
      <c r="F8" s="107"/>
      <c r="I8" s="206"/>
      <c r="J8" s="206"/>
    </row>
    <row r="9" spans="1:10" s="20" customFormat="1">
      <c r="A9" s="181" t="s">
        <v>222</v>
      </c>
      <c r="B9" s="42">
        <v>2128</v>
      </c>
      <c r="C9" s="42">
        <v>15102</v>
      </c>
      <c r="D9" s="182">
        <f>SUM(B9:C9)</f>
        <v>17230</v>
      </c>
      <c r="E9" s="182"/>
      <c r="F9" s="108"/>
      <c r="I9" s="206"/>
      <c r="J9" s="206"/>
    </row>
    <row r="10" spans="1:10" s="20" customFormat="1">
      <c r="A10" s="181" t="s">
        <v>223</v>
      </c>
      <c r="B10" s="42">
        <v>1098</v>
      </c>
      <c r="C10" s="42">
        <v>17631</v>
      </c>
      <c r="D10" s="182">
        <f t="shared" si="0"/>
        <v>18729</v>
      </c>
      <c r="E10" s="182"/>
      <c r="F10" s="107"/>
      <c r="I10" s="206"/>
      <c r="J10" s="206"/>
    </row>
    <row r="11" spans="1:10" s="20" customFormat="1">
      <c r="A11" s="181" t="s">
        <v>224</v>
      </c>
      <c r="B11" s="42">
        <v>328</v>
      </c>
      <c r="C11" s="42">
        <v>16826</v>
      </c>
      <c r="D11" s="182">
        <f t="shared" si="0"/>
        <v>17154</v>
      </c>
      <c r="E11" s="182"/>
      <c r="F11" s="108"/>
      <c r="I11" s="206"/>
      <c r="J11" s="206"/>
    </row>
    <row r="12" spans="1:10" s="20" customFormat="1">
      <c r="A12" s="181" t="s">
        <v>225</v>
      </c>
      <c r="B12" s="42">
        <v>1082</v>
      </c>
      <c r="C12" s="42">
        <v>1962</v>
      </c>
      <c r="D12" s="182">
        <f t="shared" si="0"/>
        <v>3044</v>
      </c>
      <c r="E12" s="182"/>
      <c r="F12" s="107"/>
      <c r="I12" s="206"/>
      <c r="J12" s="206"/>
    </row>
    <row r="13" spans="1:10" s="20" customFormat="1">
      <c r="A13" s="181" t="s">
        <v>226</v>
      </c>
      <c r="B13" s="42">
        <v>615</v>
      </c>
      <c r="C13" s="42">
        <v>1837</v>
      </c>
      <c r="D13" s="182">
        <f t="shared" si="0"/>
        <v>2452</v>
      </c>
      <c r="E13" s="182"/>
      <c r="F13" s="108"/>
      <c r="I13" s="206"/>
      <c r="J13" s="206"/>
    </row>
    <row r="14" spans="1:10" s="20" customFormat="1">
      <c r="A14" s="181" t="s">
        <v>227</v>
      </c>
      <c r="B14" s="42">
        <v>1040</v>
      </c>
      <c r="C14" s="42">
        <v>4983</v>
      </c>
      <c r="D14" s="182">
        <f t="shared" si="0"/>
        <v>6023</v>
      </c>
      <c r="E14" s="182"/>
      <c r="F14" s="107"/>
      <c r="I14" s="206"/>
      <c r="J14" s="206"/>
    </row>
  </sheetData>
  <mergeCells count="1">
    <mergeCell ref="F1:G1"/>
  </mergeCells>
  <phoneticPr fontId="5" type="noConversion"/>
  <hyperlinks>
    <hyperlink ref="F1:G1" location="Contents!A1" display="Back to Contents" xr:uid="{00000000-0004-0000-0A00-000000000000}"/>
  </hyperlinks>
  <pageMargins left="0.75" right="0.75" top="1" bottom="1" header="0.5" footer="0.5"/>
  <pageSetup paperSize="9" orientation="landscape" horizontalDpi="4294967292" vertic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sheetPr>
  <dimension ref="A1:Y29"/>
  <sheetViews>
    <sheetView workbookViewId="0"/>
  </sheetViews>
  <sheetFormatPr defaultColWidth="8.81640625" defaultRowHeight="12.5"/>
  <cols>
    <col min="2" max="2" width="11.7265625" bestFit="1" customWidth="1"/>
    <col min="14" max="18" width="7.453125" customWidth="1"/>
    <col min="19" max="33" width="7.7265625" customWidth="1"/>
    <col min="34" max="36" width="6.81640625" customWidth="1"/>
    <col min="37" max="37" width="7.7265625" customWidth="1"/>
  </cols>
  <sheetData>
    <row r="1" spans="1:25" ht="24.75" customHeight="1">
      <c r="B1" s="17" t="s">
        <v>228</v>
      </c>
      <c r="C1" s="17"/>
      <c r="D1" s="17"/>
      <c r="E1" s="17"/>
      <c r="F1" s="17"/>
      <c r="G1" s="17"/>
      <c r="H1" s="17"/>
      <c r="I1" s="17"/>
      <c r="J1" s="17"/>
      <c r="K1" s="17"/>
      <c r="L1" s="17"/>
      <c r="M1" s="17"/>
      <c r="N1" s="17"/>
      <c r="O1" s="17"/>
      <c r="P1" s="17"/>
      <c r="Q1" s="17"/>
      <c r="R1" s="17"/>
      <c r="S1" s="212" t="s">
        <v>79</v>
      </c>
      <c r="T1" s="212"/>
      <c r="U1" s="17"/>
      <c r="V1" s="17"/>
      <c r="W1" s="17"/>
      <c r="X1" s="17"/>
      <c r="Y1" s="17"/>
    </row>
    <row r="2" spans="1:25">
      <c r="A2" s="42" t="s">
        <v>229</v>
      </c>
      <c r="B2" s="42">
        <v>2000</v>
      </c>
      <c r="C2" s="42">
        <v>2001</v>
      </c>
      <c r="D2" s="42">
        <v>2002</v>
      </c>
      <c r="E2" s="42">
        <v>2003</v>
      </c>
      <c r="F2" s="42">
        <v>2004</v>
      </c>
      <c r="G2" s="42">
        <v>2005</v>
      </c>
      <c r="H2" s="42">
        <v>2006</v>
      </c>
      <c r="I2" s="42">
        <v>2007</v>
      </c>
      <c r="J2" s="42">
        <v>2008</v>
      </c>
      <c r="K2" s="42">
        <v>2009</v>
      </c>
      <c r="L2" s="42">
        <v>2010</v>
      </c>
      <c r="M2" s="42">
        <v>2011</v>
      </c>
      <c r="N2" s="42">
        <v>2012</v>
      </c>
      <c r="O2" s="42">
        <v>2013</v>
      </c>
      <c r="P2" s="42">
        <v>2014</v>
      </c>
      <c r="Q2" s="42">
        <v>2015</v>
      </c>
      <c r="R2" s="42">
        <v>2016</v>
      </c>
      <c r="S2" s="42">
        <v>2017</v>
      </c>
      <c r="T2" s="42">
        <v>2018</v>
      </c>
      <c r="U2" s="42">
        <v>2019</v>
      </c>
      <c r="V2" s="42">
        <v>2020</v>
      </c>
      <c r="W2" s="42">
        <v>2021</v>
      </c>
      <c r="X2" s="42">
        <v>2022</v>
      </c>
      <c r="Y2" s="42">
        <v>2023</v>
      </c>
    </row>
    <row r="3" spans="1:25">
      <c r="A3" s="42" t="s">
        <v>230</v>
      </c>
      <c r="B3" s="42">
        <v>375595</v>
      </c>
      <c r="C3" s="42">
        <v>361250</v>
      </c>
      <c r="D3" s="42">
        <v>371531</v>
      </c>
      <c r="E3" s="42">
        <v>397135</v>
      </c>
      <c r="F3" s="42">
        <v>422502</v>
      </c>
      <c r="G3" s="42">
        <v>451868</v>
      </c>
      <c r="H3" s="42">
        <v>475878</v>
      </c>
      <c r="I3" s="42">
        <v>498452</v>
      </c>
      <c r="J3" s="42">
        <v>503725</v>
      </c>
      <c r="K3" s="42">
        <v>471588</v>
      </c>
      <c r="L3" s="42">
        <v>448822</v>
      </c>
      <c r="M3" s="42">
        <v>425961</v>
      </c>
      <c r="N3" s="42">
        <v>423448</v>
      </c>
      <c r="O3" s="42">
        <v>443008</v>
      </c>
      <c r="P3" s="42">
        <v>502812</v>
      </c>
      <c r="Q3" s="42">
        <v>559017</v>
      </c>
      <c r="R3" s="42">
        <v>620490</v>
      </c>
      <c r="S3" s="42">
        <v>678018</v>
      </c>
      <c r="T3" s="42">
        <v>722241</v>
      </c>
      <c r="U3" s="42">
        <v>744907</v>
      </c>
      <c r="V3" s="42">
        <v>726794</v>
      </c>
      <c r="W3" s="42">
        <v>744176</v>
      </c>
      <c r="X3" s="42">
        <v>747672</v>
      </c>
      <c r="Y3" s="42">
        <v>724820</v>
      </c>
    </row>
    <row r="4" spans="1:25">
      <c r="A4" s="54" t="s">
        <v>231</v>
      </c>
      <c r="B4" s="42">
        <v>720474</v>
      </c>
      <c r="C4" s="42">
        <v>737637</v>
      </c>
      <c r="D4" s="42">
        <v>730120</v>
      </c>
      <c r="E4" s="42">
        <v>760009</v>
      </c>
      <c r="F4" s="42">
        <v>761874</v>
      </c>
      <c r="G4" s="42">
        <v>756371</v>
      </c>
      <c r="H4" s="42">
        <v>661006</v>
      </c>
      <c r="I4" s="42">
        <v>609593</v>
      </c>
      <c r="J4" s="42">
        <v>592820</v>
      </c>
      <c r="K4" s="42">
        <v>594274</v>
      </c>
      <c r="L4" s="42">
        <v>630826</v>
      </c>
      <c r="M4" s="42">
        <v>649291</v>
      </c>
      <c r="N4" s="42">
        <v>663849</v>
      </c>
      <c r="O4" s="42">
        <v>704429</v>
      </c>
      <c r="P4" s="42">
        <v>698844</v>
      </c>
      <c r="Q4" s="42">
        <v>665896</v>
      </c>
      <c r="R4" s="42">
        <v>629226</v>
      </c>
      <c r="S4" s="42">
        <v>606796</v>
      </c>
      <c r="T4" s="42">
        <v>603984</v>
      </c>
      <c r="U4" s="42">
        <v>663733</v>
      </c>
      <c r="V4" s="42">
        <v>707226</v>
      </c>
      <c r="W4" s="42">
        <v>779912</v>
      </c>
      <c r="X4" s="42">
        <v>833786</v>
      </c>
      <c r="Y4" s="42">
        <v>873157</v>
      </c>
    </row>
    <row r="5" spans="1:25">
      <c r="A5" s="55" t="s">
        <v>232</v>
      </c>
      <c r="B5" s="42">
        <v>785329</v>
      </c>
      <c r="C5" s="42">
        <v>829944</v>
      </c>
      <c r="D5" s="42">
        <v>887818</v>
      </c>
      <c r="E5" s="42">
        <v>907696</v>
      </c>
      <c r="F5" s="42">
        <v>926763</v>
      </c>
      <c r="G5" s="42">
        <v>938736</v>
      </c>
      <c r="H5" s="42">
        <v>1023134</v>
      </c>
      <c r="I5" s="42">
        <v>1052628</v>
      </c>
      <c r="J5" s="42">
        <v>1050466</v>
      </c>
      <c r="K5" s="42">
        <v>995716</v>
      </c>
      <c r="L5" s="42">
        <v>926404</v>
      </c>
      <c r="M5" s="42">
        <v>809545</v>
      </c>
      <c r="N5" s="42">
        <v>752883</v>
      </c>
      <c r="O5" s="42">
        <v>724455</v>
      </c>
      <c r="P5" s="42">
        <v>765832</v>
      </c>
      <c r="Q5" s="42">
        <v>854435</v>
      </c>
      <c r="R5" s="42">
        <v>961502</v>
      </c>
      <c r="S5" s="42">
        <v>1079686</v>
      </c>
      <c r="T5" s="42">
        <v>1176237</v>
      </c>
      <c r="U5" s="42">
        <v>1122720</v>
      </c>
      <c r="V5" s="42">
        <v>1016871</v>
      </c>
      <c r="W5" s="42">
        <v>910491</v>
      </c>
      <c r="X5" s="42">
        <v>835161</v>
      </c>
      <c r="Y5" s="42">
        <v>805956</v>
      </c>
    </row>
    <row r="6" spans="1:25">
      <c r="A6" s="42" t="s">
        <v>233</v>
      </c>
      <c r="B6" s="42">
        <v>393886</v>
      </c>
      <c r="C6" s="42">
        <v>404925</v>
      </c>
      <c r="D6" s="42">
        <v>419311</v>
      </c>
      <c r="E6" s="42">
        <v>446602</v>
      </c>
      <c r="F6" s="42">
        <v>488830</v>
      </c>
      <c r="G6" s="42">
        <v>536073</v>
      </c>
      <c r="H6" s="42">
        <v>572288</v>
      </c>
      <c r="I6" s="42">
        <v>616169</v>
      </c>
      <c r="J6" s="42">
        <v>627757</v>
      </c>
      <c r="K6" s="42">
        <v>661072</v>
      </c>
      <c r="L6" s="42">
        <v>687247</v>
      </c>
      <c r="M6" s="42">
        <v>768183</v>
      </c>
      <c r="N6" s="42">
        <v>808726</v>
      </c>
      <c r="O6" s="42">
        <v>813663</v>
      </c>
      <c r="P6" s="42">
        <v>774000</v>
      </c>
      <c r="Q6" s="42">
        <v>728896</v>
      </c>
      <c r="R6" s="42">
        <v>645377</v>
      </c>
      <c r="S6" s="42">
        <v>596437</v>
      </c>
      <c r="T6" s="42">
        <v>568450</v>
      </c>
      <c r="U6" s="42">
        <v>647352</v>
      </c>
      <c r="V6" s="42">
        <v>768897</v>
      </c>
      <c r="W6" s="42">
        <v>872464</v>
      </c>
      <c r="X6" s="42">
        <v>967658</v>
      </c>
      <c r="Y6" s="42">
        <v>1021004</v>
      </c>
    </row>
    <row r="7" spans="1:25">
      <c r="A7" s="42" t="s">
        <v>234</v>
      </c>
      <c r="B7" s="42">
        <v>219561</v>
      </c>
      <c r="C7" s="42">
        <v>229885</v>
      </c>
      <c r="D7" s="42">
        <v>239222</v>
      </c>
      <c r="E7" s="42">
        <v>248029</v>
      </c>
      <c r="F7" s="42">
        <v>267101</v>
      </c>
      <c r="G7" s="42">
        <v>284145</v>
      </c>
      <c r="H7" s="42">
        <v>297552</v>
      </c>
      <c r="I7" s="42">
        <v>312035</v>
      </c>
      <c r="J7" s="42">
        <v>334176</v>
      </c>
      <c r="K7" s="42">
        <v>377603</v>
      </c>
      <c r="L7" s="42">
        <v>429612</v>
      </c>
      <c r="M7" s="42">
        <v>465175</v>
      </c>
      <c r="N7" s="42">
        <v>517433</v>
      </c>
      <c r="O7" s="42">
        <v>558506</v>
      </c>
      <c r="P7" s="42">
        <v>618272</v>
      </c>
      <c r="Q7" s="42">
        <v>675011</v>
      </c>
      <c r="R7" s="42">
        <v>774941</v>
      </c>
      <c r="S7" s="42">
        <v>822794</v>
      </c>
      <c r="T7" s="42">
        <v>829104</v>
      </c>
      <c r="U7" s="42">
        <v>817881</v>
      </c>
      <c r="V7" s="42">
        <v>818002</v>
      </c>
      <c r="W7" s="42">
        <v>818758</v>
      </c>
      <c r="X7" s="42">
        <v>823352</v>
      </c>
      <c r="Y7" s="42">
        <v>840043</v>
      </c>
    </row>
    <row r="8" spans="1:25">
      <c r="A8" s="42" t="s">
        <v>87</v>
      </c>
      <c r="B8" s="42">
        <f t="shared" ref="B8:X8" si="0">SUM(B3:B7)</f>
        <v>2494845</v>
      </c>
      <c r="C8" s="42">
        <f t="shared" si="0"/>
        <v>2563641</v>
      </c>
      <c r="D8" s="42">
        <f t="shared" si="0"/>
        <v>2648002</v>
      </c>
      <c r="E8" s="42">
        <f t="shared" si="0"/>
        <v>2759471</v>
      </c>
      <c r="F8" s="42">
        <f t="shared" si="0"/>
        <v>2867070</v>
      </c>
      <c r="G8" s="42">
        <f t="shared" si="0"/>
        <v>2967193</v>
      </c>
      <c r="H8" s="42">
        <f t="shared" si="0"/>
        <v>3029858</v>
      </c>
      <c r="I8" s="42">
        <f t="shared" si="0"/>
        <v>3088877</v>
      </c>
      <c r="J8" s="42">
        <f t="shared" si="0"/>
        <v>3108944</v>
      </c>
      <c r="K8" s="42">
        <f t="shared" si="0"/>
        <v>3100253</v>
      </c>
      <c r="L8" s="42">
        <f t="shared" si="0"/>
        <v>3122911</v>
      </c>
      <c r="M8" s="42">
        <f t="shared" si="0"/>
        <v>3118155</v>
      </c>
      <c r="N8" s="42">
        <f t="shared" si="0"/>
        <v>3166339</v>
      </c>
      <c r="O8" s="42">
        <f t="shared" si="0"/>
        <v>3244061</v>
      </c>
      <c r="P8" s="42">
        <f t="shared" si="0"/>
        <v>3359760</v>
      </c>
      <c r="Q8" s="42">
        <f t="shared" si="0"/>
        <v>3483255</v>
      </c>
      <c r="R8" s="42">
        <f t="shared" ref="R8:S8" si="1">SUM(R3:R7)</f>
        <v>3631536</v>
      </c>
      <c r="S8" s="42">
        <f t="shared" si="1"/>
        <v>3783731</v>
      </c>
      <c r="T8" s="42">
        <f t="shared" si="0"/>
        <v>3900016</v>
      </c>
      <c r="U8" s="42">
        <f t="shared" si="0"/>
        <v>3996593</v>
      </c>
      <c r="V8" s="42">
        <f t="shared" si="0"/>
        <v>4037790</v>
      </c>
      <c r="W8" s="42">
        <f t="shared" si="0"/>
        <v>4125801</v>
      </c>
      <c r="X8" s="42">
        <f t="shared" si="0"/>
        <v>4207629</v>
      </c>
      <c r="Y8" s="42">
        <f>SUM(Y3:Y7)</f>
        <v>4264980</v>
      </c>
    </row>
    <row r="9" spans="1:25">
      <c r="T9" s="42"/>
    </row>
    <row r="11" spans="1:25">
      <c r="A11" s="42" t="s">
        <v>235</v>
      </c>
      <c r="B11" s="73">
        <f t="shared" ref="B11:T11" si="2">B3/B$8</f>
        <v>0.15054843086444247</v>
      </c>
      <c r="C11" s="73">
        <f t="shared" si="2"/>
        <v>0.14091286572495915</v>
      </c>
      <c r="D11" s="73">
        <f t="shared" si="2"/>
        <v>0.1403061629107531</v>
      </c>
      <c r="E11" s="73">
        <f t="shared" si="2"/>
        <v>0.14391707686002136</v>
      </c>
      <c r="F11" s="73">
        <f t="shared" si="2"/>
        <v>0.14736368487689522</v>
      </c>
      <c r="G11" s="73">
        <f t="shared" si="2"/>
        <v>0.15228803788631207</v>
      </c>
      <c r="H11" s="73">
        <f t="shared" si="2"/>
        <v>0.15706280624372496</v>
      </c>
      <c r="I11" s="73">
        <f t="shared" si="2"/>
        <v>0.16136997361824379</v>
      </c>
      <c r="J11" s="73">
        <f t="shared" si="2"/>
        <v>0.1620244687585238</v>
      </c>
      <c r="K11" s="73">
        <f t="shared" si="2"/>
        <v>0.15211274692742818</v>
      </c>
      <c r="L11" s="73">
        <f t="shared" si="2"/>
        <v>0.14371911335289414</v>
      </c>
      <c r="M11" s="73">
        <f t="shared" si="2"/>
        <v>0.13660674341076695</v>
      </c>
      <c r="N11" s="73">
        <f t="shared" si="2"/>
        <v>0.13373425902911848</v>
      </c>
      <c r="O11" s="73">
        <f t="shared" si="2"/>
        <v>0.13655970094273814</v>
      </c>
      <c r="P11" s="73">
        <f t="shared" si="2"/>
        <v>0.14965711836559753</v>
      </c>
      <c r="Q11" s="73">
        <f t="shared" si="2"/>
        <v>0.16048695831915838</v>
      </c>
      <c r="R11" s="73">
        <f t="shared" si="2"/>
        <v>0.17086158584136299</v>
      </c>
      <c r="S11" s="73">
        <f t="shared" si="2"/>
        <v>0.17919297117051924</v>
      </c>
      <c r="T11" s="73">
        <f t="shared" si="2"/>
        <v>0.18518924024927078</v>
      </c>
      <c r="U11" s="73">
        <f t="shared" ref="U11:W11" si="3">U3/U$8</f>
        <v>0.18638550385290673</v>
      </c>
      <c r="V11" s="73">
        <f t="shared" si="3"/>
        <v>0.17999796918611419</v>
      </c>
      <c r="W11" s="73">
        <f t="shared" si="3"/>
        <v>0.18037127820755292</v>
      </c>
      <c r="X11" s="73">
        <f t="shared" ref="X11" si="4">X3/X$8</f>
        <v>0.17769437371973623</v>
      </c>
      <c r="Y11" s="56">
        <f>Y3/Y$8</f>
        <v>0.1699468696218974</v>
      </c>
    </row>
    <row r="12" spans="1:25">
      <c r="A12" s="54" t="s">
        <v>236</v>
      </c>
      <c r="B12" s="73">
        <f t="shared" ref="B12:T12" si="5">B4/B$8</f>
        <v>0.28878507482428767</v>
      </c>
      <c r="C12" s="73">
        <f t="shared" si="5"/>
        <v>0.28773022431767942</v>
      </c>
      <c r="D12" s="73">
        <f t="shared" si="5"/>
        <v>0.27572486727729056</v>
      </c>
      <c r="E12" s="73">
        <f t="shared" si="5"/>
        <v>0.27541836823072247</v>
      </c>
      <c r="F12" s="73">
        <f t="shared" si="5"/>
        <v>0.26573261203946885</v>
      </c>
      <c r="G12" s="73">
        <f t="shared" si="5"/>
        <v>0.25491129158096559</v>
      </c>
      <c r="H12" s="73">
        <f t="shared" si="5"/>
        <v>0.21816401956791373</v>
      </c>
      <c r="I12" s="73">
        <f t="shared" si="5"/>
        <v>0.19735101138698627</v>
      </c>
      <c r="J12" s="73">
        <f t="shared" si="5"/>
        <v>0.19068210942364996</v>
      </c>
      <c r="K12" s="73">
        <f t="shared" si="5"/>
        <v>0.19168564630047935</v>
      </c>
      <c r="L12" s="73">
        <f t="shared" si="5"/>
        <v>0.20199935252717738</v>
      </c>
      <c r="M12" s="73">
        <f t="shared" si="5"/>
        <v>0.20822922529508636</v>
      </c>
      <c r="N12" s="73">
        <f t="shared" si="5"/>
        <v>0.20965822042428181</v>
      </c>
      <c r="O12" s="73">
        <f t="shared" si="5"/>
        <v>0.21714419056854972</v>
      </c>
      <c r="P12" s="73">
        <f t="shared" si="5"/>
        <v>0.20800414315308235</v>
      </c>
      <c r="Q12" s="73">
        <f t="shared" si="5"/>
        <v>0.19117061484157777</v>
      </c>
      <c r="R12" s="73">
        <f t="shared" si="5"/>
        <v>0.17326717950751416</v>
      </c>
      <c r="S12" s="73">
        <f t="shared" si="5"/>
        <v>0.16036975144374693</v>
      </c>
      <c r="T12" s="73">
        <f t="shared" si="5"/>
        <v>0.15486705695566377</v>
      </c>
      <c r="U12" s="73">
        <f t="shared" ref="U12:W12" si="6">U4/U$8</f>
        <v>0.16607470412924208</v>
      </c>
      <c r="V12" s="73">
        <f t="shared" si="6"/>
        <v>0.17515175380591858</v>
      </c>
      <c r="W12" s="73">
        <f t="shared" si="6"/>
        <v>0.189032869011375</v>
      </c>
      <c r="X12" s="73">
        <f t="shared" ref="X12" si="7">X4/X$8</f>
        <v>0.19816053173889617</v>
      </c>
      <c r="Y12" s="56">
        <f>Y4/Y$8</f>
        <v>0.2047271030579276</v>
      </c>
    </row>
    <row r="13" spans="1:25">
      <c r="A13" s="55" t="s">
        <v>237</v>
      </c>
      <c r="B13" s="73">
        <f t="shared" ref="B13:T13" si="8">B5/B$8</f>
        <v>0.31478067775753604</v>
      </c>
      <c r="C13" s="73">
        <f t="shared" si="8"/>
        <v>0.32373643579580758</v>
      </c>
      <c r="D13" s="73">
        <f t="shared" si="8"/>
        <v>0.33527844767488846</v>
      </c>
      <c r="E13" s="73">
        <f t="shared" si="8"/>
        <v>0.32893840884720293</v>
      </c>
      <c r="F13" s="73">
        <f t="shared" si="8"/>
        <v>0.32324393893417319</v>
      </c>
      <c r="G13" s="73">
        <f t="shared" si="8"/>
        <v>0.31637173584596623</v>
      </c>
      <c r="H13" s="73">
        <f t="shared" si="8"/>
        <v>0.33768381224466626</v>
      </c>
      <c r="I13" s="73">
        <f t="shared" si="8"/>
        <v>0.3407801605567331</v>
      </c>
      <c r="J13" s="73">
        <f t="shared" si="8"/>
        <v>0.33788514685372267</v>
      </c>
      <c r="K13" s="73">
        <f t="shared" si="8"/>
        <v>0.3211724978574329</v>
      </c>
      <c r="L13" s="73">
        <f t="shared" si="8"/>
        <v>0.29664758297626798</v>
      </c>
      <c r="M13" s="73">
        <f t="shared" si="8"/>
        <v>0.25962307839090742</v>
      </c>
      <c r="N13" s="73">
        <f t="shared" si="8"/>
        <v>0.2377771299914507</v>
      </c>
      <c r="O13" s="73">
        <f t="shared" si="8"/>
        <v>0.22331731739939539</v>
      </c>
      <c r="P13" s="73">
        <f t="shared" si="8"/>
        <v>0.22794247208133914</v>
      </c>
      <c r="Q13" s="73">
        <f t="shared" si="8"/>
        <v>0.24529786076528995</v>
      </c>
      <c r="R13" s="73">
        <f t="shared" si="8"/>
        <v>0.26476455141846317</v>
      </c>
      <c r="S13" s="73">
        <f t="shared" si="8"/>
        <v>0.28534956634073616</v>
      </c>
      <c r="T13" s="73">
        <f t="shared" si="8"/>
        <v>0.30159799344412946</v>
      </c>
      <c r="U13" s="73">
        <f t="shared" ref="U13:W13" si="9">U5/U$8</f>
        <v>0.28091927299076991</v>
      </c>
      <c r="V13" s="73">
        <f t="shared" si="9"/>
        <v>0.25183850571723643</v>
      </c>
      <c r="W13" s="73">
        <f t="shared" si="9"/>
        <v>0.22068223843079199</v>
      </c>
      <c r="X13" s="73">
        <f t="shared" ref="X13" si="10">X5/X$8</f>
        <v>0.1984873191053679</v>
      </c>
      <c r="Y13" s="56">
        <f>Y5/Y$8</f>
        <v>0.18897063995610766</v>
      </c>
    </row>
    <row r="14" spans="1:25">
      <c r="A14" s="42" t="s">
        <v>238</v>
      </c>
      <c r="B14" s="73">
        <f t="shared" ref="B14:T14" si="11">B6/B$8</f>
        <v>0.15787994845371156</v>
      </c>
      <c r="C14" s="73">
        <f t="shared" si="11"/>
        <v>0.15794918243232964</v>
      </c>
      <c r="D14" s="73">
        <f t="shared" si="11"/>
        <v>0.15834995592903631</v>
      </c>
      <c r="E14" s="73">
        <f t="shared" si="11"/>
        <v>0.16184333881385238</v>
      </c>
      <c r="F14" s="73">
        <f t="shared" si="11"/>
        <v>0.17049810433648288</v>
      </c>
      <c r="G14" s="73">
        <f t="shared" si="11"/>
        <v>0.18066671092847686</v>
      </c>
      <c r="H14" s="73">
        <f t="shared" si="11"/>
        <v>0.18888277932497166</v>
      </c>
      <c r="I14" s="73">
        <f t="shared" si="11"/>
        <v>0.19947994044437509</v>
      </c>
      <c r="J14" s="73">
        <f t="shared" si="11"/>
        <v>0.20191968719925479</v>
      </c>
      <c r="K14" s="73">
        <f t="shared" si="11"/>
        <v>0.21323162980569652</v>
      </c>
      <c r="L14" s="73">
        <f t="shared" si="11"/>
        <v>0.22006614981983155</v>
      </c>
      <c r="M14" s="73">
        <f t="shared" si="11"/>
        <v>0.24635818296396428</v>
      </c>
      <c r="N14" s="73">
        <f t="shared" si="11"/>
        <v>0.25541358647952728</v>
      </c>
      <c r="O14" s="73">
        <f t="shared" si="11"/>
        <v>0.25081618378939236</v>
      </c>
      <c r="P14" s="73">
        <f t="shared" si="11"/>
        <v>0.23037359811415101</v>
      </c>
      <c r="Q14" s="73">
        <f t="shared" si="11"/>
        <v>0.20925714597409606</v>
      </c>
      <c r="R14" s="73">
        <f t="shared" si="11"/>
        <v>0.17771460891479529</v>
      </c>
      <c r="S14" s="73">
        <f t="shared" si="11"/>
        <v>0.15763197753751523</v>
      </c>
      <c r="T14" s="73">
        <f t="shared" si="11"/>
        <v>0.14575581228384704</v>
      </c>
      <c r="U14" s="73">
        <f t="shared" ref="U14:W14" si="12">U6/U$8</f>
        <v>0.16197596302650782</v>
      </c>
      <c r="V14" s="73">
        <f t="shared" si="12"/>
        <v>0.190425207848848</v>
      </c>
      <c r="W14" s="73">
        <f t="shared" si="12"/>
        <v>0.21146536151404297</v>
      </c>
      <c r="X14" s="73">
        <f t="shared" ref="X14" si="13">X6/X$8</f>
        <v>0.22997702506566051</v>
      </c>
      <c r="Y14" s="56">
        <f>Y6/Y$8</f>
        <v>0.2393924473268339</v>
      </c>
    </row>
    <row r="15" spans="1:25">
      <c r="A15" s="42" t="s">
        <v>239</v>
      </c>
      <c r="B15" s="73">
        <f t="shared" ref="B15:T15" si="14">B7/B$8</f>
        <v>8.8005868100022241E-2</v>
      </c>
      <c r="C15" s="73">
        <f t="shared" si="14"/>
        <v>8.9671291729224181E-2</v>
      </c>
      <c r="D15" s="73">
        <f t="shared" si="14"/>
        <v>9.0340566208031561E-2</v>
      </c>
      <c r="E15" s="73">
        <f t="shared" si="14"/>
        <v>8.988280724820083E-2</v>
      </c>
      <c r="F15" s="73">
        <f t="shared" si="14"/>
        <v>9.3161659812979802E-2</v>
      </c>
      <c r="G15" s="73">
        <f t="shared" si="14"/>
        <v>9.5762223758279294E-2</v>
      </c>
      <c r="H15" s="73">
        <f t="shared" si="14"/>
        <v>9.8206582618723393E-2</v>
      </c>
      <c r="I15" s="73">
        <f t="shared" si="14"/>
        <v>0.10101891399366178</v>
      </c>
      <c r="J15" s="73">
        <f t="shared" si="14"/>
        <v>0.10748858776484878</v>
      </c>
      <c r="K15" s="73">
        <f t="shared" si="14"/>
        <v>0.12179747910896305</v>
      </c>
      <c r="L15" s="73">
        <f t="shared" si="14"/>
        <v>0.13756780132382895</v>
      </c>
      <c r="M15" s="73">
        <f t="shared" si="14"/>
        <v>0.14918276993927498</v>
      </c>
      <c r="N15" s="73">
        <f t="shared" si="14"/>
        <v>0.16341680407562173</v>
      </c>
      <c r="O15" s="73">
        <f t="shared" si="14"/>
        <v>0.17216260729992439</v>
      </c>
      <c r="P15" s="73">
        <f t="shared" si="14"/>
        <v>0.18402266828582994</v>
      </c>
      <c r="Q15" s="73">
        <f t="shared" si="14"/>
        <v>0.19378742009987784</v>
      </c>
      <c r="R15" s="73">
        <f t="shared" si="14"/>
        <v>0.21339207431786439</v>
      </c>
      <c r="S15" s="73">
        <f t="shared" si="14"/>
        <v>0.21745573350748243</v>
      </c>
      <c r="T15" s="73">
        <f t="shared" si="14"/>
        <v>0.21258989706708895</v>
      </c>
      <c r="U15" s="73">
        <f t="shared" ref="U15:W15" si="15">U7/U$8</f>
        <v>0.20464455600057349</v>
      </c>
      <c r="V15" s="73">
        <f t="shared" si="15"/>
        <v>0.20258656344188281</v>
      </c>
      <c r="W15" s="73">
        <f t="shared" si="15"/>
        <v>0.19844825283623713</v>
      </c>
      <c r="X15" s="73">
        <f t="shared" ref="X15" si="16">X7/X$8</f>
        <v>0.19568075037033922</v>
      </c>
      <c r="Y15" s="56">
        <f>Y7/Y$8</f>
        <v>0.19696294003723347</v>
      </c>
    </row>
    <row r="16" spans="1:25">
      <c r="A16" s="42"/>
      <c r="B16" s="42"/>
      <c r="C16" s="42"/>
      <c r="D16" s="42"/>
      <c r="E16" s="42"/>
      <c r="F16" s="42"/>
      <c r="G16" s="42"/>
      <c r="H16" s="42"/>
      <c r="I16" s="42"/>
      <c r="J16" s="42"/>
      <c r="K16" s="42"/>
      <c r="L16" s="42"/>
      <c r="M16" s="42"/>
      <c r="N16" s="42"/>
      <c r="O16" s="42"/>
      <c r="P16" s="42"/>
      <c r="Q16" s="42"/>
      <c r="R16" s="42"/>
      <c r="S16" s="42"/>
      <c r="T16" s="42"/>
    </row>
    <row r="17" spans="2:24">
      <c r="B17" s="100"/>
      <c r="C17" s="100"/>
      <c r="D17" s="100"/>
      <c r="E17" s="100"/>
      <c r="F17" s="100"/>
      <c r="G17" s="100"/>
      <c r="H17" s="100"/>
      <c r="I17" s="100"/>
      <c r="J17" s="100"/>
      <c r="K17" s="100"/>
      <c r="L17" s="100"/>
      <c r="M17" s="100"/>
      <c r="N17" s="100"/>
      <c r="O17" s="100"/>
      <c r="P17" s="100"/>
      <c r="Q17" s="100"/>
      <c r="R17" s="100"/>
      <c r="S17" s="100"/>
      <c r="T17" s="100"/>
    </row>
    <row r="25" spans="2:24">
      <c r="B25" s="205"/>
      <c r="C25" s="205"/>
      <c r="D25" s="205"/>
      <c r="E25" s="205"/>
      <c r="F25" s="205"/>
      <c r="G25" s="205"/>
      <c r="H25" s="205"/>
      <c r="I25" s="205"/>
      <c r="J25" s="205"/>
      <c r="K25" s="205"/>
      <c r="L25" s="205"/>
      <c r="M25" s="205"/>
      <c r="N25" s="205"/>
      <c r="O25" s="205"/>
      <c r="P25" s="205"/>
      <c r="Q25" s="205"/>
      <c r="R25" s="205"/>
      <c r="S25" s="205"/>
      <c r="T25" s="205"/>
      <c r="U25" s="205"/>
      <c r="V25" s="205"/>
      <c r="W25" s="205"/>
      <c r="X25" s="205"/>
    </row>
    <row r="26" spans="2:24">
      <c r="B26" s="205"/>
      <c r="C26" s="205"/>
      <c r="D26" s="205"/>
      <c r="E26" s="205"/>
      <c r="F26" s="205"/>
      <c r="G26" s="205"/>
      <c r="H26" s="205"/>
      <c r="I26" s="205"/>
      <c r="J26" s="205"/>
      <c r="K26" s="205"/>
      <c r="L26" s="205"/>
      <c r="M26" s="205"/>
      <c r="N26" s="205"/>
      <c r="O26" s="205"/>
      <c r="P26" s="205"/>
      <c r="Q26" s="205"/>
      <c r="R26" s="205"/>
      <c r="S26" s="205"/>
      <c r="T26" s="205"/>
      <c r="U26" s="205"/>
      <c r="V26" s="205"/>
      <c r="W26" s="205"/>
      <c r="X26" s="205"/>
    </row>
    <row r="27" spans="2:24">
      <c r="B27" s="205"/>
      <c r="C27" s="205"/>
      <c r="D27" s="205"/>
      <c r="E27" s="205"/>
      <c r="F27" s="205"/>
      <c r="G27" s="205"/>
      <c r="H27" s="205"/>
      <c r="I27" s="205"/>
      <c r="J27" s="205"/>
      <c r="K27" s="205"/>
      <c r="L27" s="205"/>
      <c r="M27" s="205"/>
      <c r="N27" s="205"/>
      <c r="O27" s="205"/>
      <c r="P27" s="205"/>
      <c r="Q27" s="205"/>
      <c r="R27" s="205"/>
      <c r="S27" s="205"/>
      <c r="T27" s="205"/>
      <c r="U27" s="205"/>
      <c r="V27" s="205"/>
      <c r="W27" s="205"/>
      <c r="X27" s="205"/>
    </row>
    <row r="28" spans="2:24">
      <c r="B28" s="205"/>
      <c r="C28" s="205"/>
      <c r="D28" s="205"/>
      <c r="E28" s="205"/>
      <c r="F28" s="205"/>
      <c r="G28" s="205"/>
      <c r="H28" s="205"/>
      <c r="I28" s="205"/>
      <c r="J28" s="205"/>
      <c r="K28" s="205"/>
      <c r="L28" s="205"/>
      <c r="M28" s="205"/>
      <c r="N28" s="205"/>
      <c r="O28" s="205"/>
      <c r="P28" s="205"/>
      <c r="Q28" s="205"/>
      <c r="R28" s="205"/>
      <c r="S28" s="205"/>
      <c r="T28" s="205"/>
      <c r="U28" s="205"/>
      <c r="V28" s="205"/>
      <c r="W28" s="205"/>
      <c r="X28" s="205"/>
    </row>
    <row r="29" spans="2:24">
      <c r="B29" s="205"/>
      <c r="C29" s="205"/>
      <c r="D29" s="205"/>
      <c r="E29" s="205"/>
      <c r="F29" s="205"/>
      <c r="G29" s="205"/>
      <c r="H29" s="205"/>
      <c r="I29" s="205"/>
      <c r="J29" s="205"/>
      <c r="K29" s="205"/>
      <c r="L29" s="205"/>
      <c r="M29" s="205"/>
      <c r="N29" s="205"/>
      <c r="O29" s="205"/>
      <c r="P29" s="205"/>
      <c r="Q29" s="205"/>
      <c r="R29" s="205"/>
      <c r="S29" s="205"/>
      <c r="T29" s="205"/>
      <c r="U29" s="205"/>
      <c r="V29" s="205"/>
      <c r="W29" s="205"/>
      <c r="X29" s="205"/>
    </row>
  </sheetData>
  <mergeCells count="1">
    <mergeCell ref="S1:T1"/>
  </mergeCells>
  <hyperlinks>
    <hyperlink ref="S1:T1" location="Contents!A1" display="Back to Contents" xr:uid="{00000000-0004-0000-0B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39997558519241921"/>
  </sheetPr>
  <dimension ref="A1:AK98"/>
  <sheetViews>
    <sheetView zoomScaleNormal="100" workbookViewId="0"/>
  </sheetViews>
  <sheetFormatPr defaultColWidth="8.81640625" defaultRowHeight="12.5"/>
  <cols>
    <col min="1" max="1" width="10.453125" customWidth="1"/>
    <col min="2" max="2" width="12.7265625" customWidth="1"/>
    <col min="3" max="3" width="10.453125" customWidth="1"/>
    <col min="4" max="4" width="11.453125" customWidth="1"/>
    <col min="5" max="5" width="9.26953125" customWidth="1"/>
    <col min="6" max="6" width="12.1796875" customWidth="1"/>
    <col min="7" max="7" width="10.453125" bestFit="1" customWidth="1"/>
    <col min="8" max="9" width="9.7265625" bestFit="1" customWidth="1"/>
    <col min="10" max="10" width="10.453125" bestFit="1" customWidth="1"/>
    <col min="11" max="11" width="12.453125" bestFit="1" customWidth="1"/>
    <col min="12" max="12" width="11.453125" bestFit="1" customWidth="1"/>
    <col min="13" max="13" width="13.81640625" bestFit="1" customWidth="1"/>
    <col min="14" max="14" width="13.7265625" bestFit="1" customWidth="1"/>
    <col min="15" max="16" width="13.81640625" bestFit="1" customWidth="1"/>
    <col min="17" max="17" width="12.81640625" bestFit="1" customWidth="1"/>
    <col min="18" max="18" width="12.7265625" bestFit="1" customWidth="1"/>
    <col min="19" max="19" width="12.81640625" bestFit="1" customWidth="1"/>
    <col min="20" max="20" width="12.7265625" bestFit="1" customWidth="1"/>
    <col min="21" max="21" width="11.81640625" bestFit="1" customWidth="1"/>
    <col min="22" max="22" width="11.7265625" bestFit="1" customWidth="1"/>
    <col min="23" max="24" width="10.453125" bestFit="1" customWidth="1"/>
    <col min="25" max="25" width="13.7265625" bestFit="1" customWidth="1"/>
    <col min="26" max="26" width="12.453125" bestFit="1" customWidth="1"/>
    <col min="27" max="31" width="14.7265625" bestFit="1" customWidth="1"/>
    <col min="32" max="34" width="13.7265625" bestFit="1" customWidth="1"/>
    <col min="35" max="36" width="12.453125" bestFit="1" customWidth="1"/>
    <col min="37" max="37" width="13.7265625" bestFit="1" customWidth="1"/>
  </cols>
  <sheetData>
    <row r="1" spans="1:23" ht="31.5" customHeight="1">
      <c r="B1" s="17" t="s">
        <v>240</v>
      </c>
      <c r="C1" s="18"/>
      <c r="D1" s="18"/>
      <c r="E1" s="18"/>
      <c r="F1" s="18"/>
      <c r="G1" s="18"/>
      <c r="H1" s="18"/>
      <c r="I1" s="18"/>
      <c r="J1" s="18"/>
      <c r="K1" s="18"/>
      <c r="L1" s="18"/>
      <c r="M1" s="213" t="s">
        <v>79</v>
      </c>
      <c r="N1" s="213"/>
      <c r="O1" s="18"/>
      <c r="P1" s="18"/>
      <c r="Q1" s="18"/>
      <c r="R1" s="18"/>
      <c r="S1" s="18"/>
      <c r="T1" s="18"/>
      <c r="U1" s="18"/>
      <c r="V1" s="18"/>
      <c r="W1" s="18"/>
    </row>
    <row r="2" spans="1:23" s="42" customFormat="1" ht="18" customHeight="1">
      <c r="A2" s="137"/>
      <c r="B2" s="135" t="s">
        <v>241</v>
      </c>
      <c r="C2" s="136"/>
      <c r="D2" s="136"/>
      <c r="E2" s="136"/>
      <c r="F2" s="136"/>
      <c r="G2" s="136"/>
      <c r="H2" s="136"/>
      <c r="I2" s="136"/>
      <c r="J2" s="136"/>
      <c r="K2" s="136"/>
      <c r="L2" s="136"/>
      <c r="M2" s="138" t="s">
        <v>242</v>
      </c>
      <c r="N2" s="139"/>
    </row>
    <row r="3" spans="1:23" s="42" customFormat="1" ht="20">
      <c r="A3" s="42" t="s">
        <v>243</v>
      </c>
      <c r="B3" s="76" t="s">
        <v>244</v>
      </c>
      <c r="C3" s="76" t="s">
        <v>245</v>
      </c>
      <c r="D3" s="76" t="s">
        <v>246</v>
      </c>
      <c r="E3" s="76" t="s">
        <v>247</v>
      </c>
      <c r="F3" s="76" t="s">
        <v>248</v>
      </c>
      <c r="G3" s="76" t="s">
        <v>249</v>
      </c>
      <c r="H3" s="76" t="s">
        <v>250</v>
      </c>
      <c r="I3" s="76" t="s">
        <v>251</v>
      </c>
      <c r="J3" s="76" t="s">
        <v>83</v>
      </c>
      <c r="K3" s="76" t="s">
        <v>252</v>
      </c>
      <c r="L3" s="76" t="s">
        <v>253</v>
      </c>
      <c r="M3" s="76" t="s">
        <v>254</v>
      </c>
      <c r="N3" s="76" t="s">
        <v>255</v>
      </c>
      <c r="O3" s="76" t="s">
        <v>244</v>
      </c>
      <c r="P3" s="76" t="s">
        <v>245</v>
      </c>
      <c r="Q3" s="76" t="s">
        <v>246</v>
      </c>
      <c r="R3" s="76" t="s">
        <v>247</v>
      </c>
      <c r="S3" s="76" t="s">
        <v>256</v>
      </c>
      <c r="T3" s="76" t="s">
        <v>257</v>
      </c>
      <c r="U3" s="76" t="s">
        <v>258</v>
      </c>
      <c r="V3" s="76" t="s">
        <v>259</v>
      </c>
      <c r="W3" s="134" t="s">
        <v>260</v>
      </c>
    </row>
    <row r="4" spans="1:23">
      <c r="A4" s="42" t="s">
        <v>261</v>
      </c>
      <c r="B4" s="65">
        <v>60.844616559999999</v>
      </c>
      <c r="C4" s="65">
        <v>52.66123279</v>
      </c>
      <c r="D4" s="65">
        <v>11.354349300000001</v>
      </c>
      <c r="E4" s="65">
        <v>10.16986078</v>
      </c>
      <c r="F4" s="65">
        <v>2.49786441</v>
      </c>
      <c r="G4" s="65">
        <v>0.30531471599999999</v>
      </c>
      <c r="H4" s="65">
        <v>0.19238253399999999</v>
      </c>
      <c r="I4" s="65">
        <v>9.0874606999999996E-2</v>
      </c>
      <c r="J4" s="65">
        <v>10.819607189999999</v>
      </c>
      <c r="K4" s="65">
        <v>133.80279419999999</v>
      </c>
      <c r="L4" s="65">
        <v>1.1385299019999999</v>
      </c>
      <c r="M4" s="186">
        <v>51189</v>
      </c>
      <c r="N4" s="186">
        <v>373</v>
      </c>
      <c r="O4" s="186">
        <v>26399</v>
      </c>
      <c r="P4" s="186">
        <v>18426</v>
      </c>
      <c r="Q4" s="186">
        <v>4009</v>
      </c>
      <c r="R4" s="186">
        <v>2799</v>
      </c>
      <c r="S4" s="186">
        <v>1425</v>
      </c>
      <c r="T4" s="186">
        <v>226</v>
      </c>
      <c r="U4" s="186">
        <v>70</v>
      </c>
      <c r="V4" s="186">
        <v>16</v>
      </c>
      <c r="W4" s="186">
        <v>5333</v>
      </c>
    </row>
    <row r="5" spans="1:23">
      <c r="A5" s="42" t="s">
        <v>262</v>
      </c>
      <c r="B5" s="65">
        <v>58.562323169999999</v>
      </c>
      <c r="C5" s="65">
        <v>16.728967709999999</v>
      </c>
      <c r="D5" s="65">
        <v>11.56964172</v>
      </c>
      <c r="E5" s="65">
        <v>3.2189527039999999</v>
      </c>
      <c r="F5" s="65">
        <v>2.858212398</v>
      </c>
      <c r="G5" s="65">
        <v>0.29731967999999998</v>
      </c>
      <c r="H5" s="65">
        <v>0.41463334000000002</v>
      </c>
      <c r="I5" s="65">
        <v>4.0054445000000001E-2</v>
      </c>
      <c r="J5" s="65">
        <v>5.8103234920000002</v>
      </c>
      <c r="K5" s="65">
        <v>88.389511630000001</v>
      </c>
      <c r="L5" s="65">
        <v>1.4765939459999999</v>
      </c>
      <c r="M5" s="186">
        <v>32131</v>
      </c>
      <c r="N5" s="186">
        <v>482</v>
      </c>
      <c r="O5" s="186">
        <v>22453</v>
      </c>
      <c r="P5" s="186">
        <v>6176</v>
      </c>
      <c r="Q5" s="186">
        <v>3165</v>
      </c>
      <c r="R5" s="186">
        <v>852</v>
      </c>
      <c r="S5" s="186">
        <v>1336</v>
      </c>
      <c r="T5" s="186">
        <v>75</v>
      </c>
      <c r="U5" s="186">
        <v>70</v>
      </c>
      <c r="V5" s="186">
        <v>6</v>
      </c>
      <c r="W5" s="186">
        <v>3893</v>
      </c>
    </row>
    <row r="6" spans="1:23">
      <c r="A6" s="42" t="s">
        <v>263</v>
      </c>
      <c r="B6" s="65">
        <v>15.003915940000001</v>
      </c>
      <c r="C6" s="65">
        <v>6.4268517860000003</v>
      </c>
      <c r="D6" s="65">
        <v>14.63277622</v>
      </c>
      <c r="E6" s="65">
        <v>4.8171424070000004</v>
      </c>
      <c r="F6" s="65">
        <v>1.197981679</v>
      </c>
      <c r="G6" s="65">
        <v>0.1555339</v>
      </c>
      <c r="H6" s="65">
        <v>0.83989460299999996</v>
      </c>
      <c r="I6" s="65">
        <v>0.13303669300000001</v>
      </c>
      <c r="J6" s="65">
        <v>4.7093167420000004</v>
      </c>
      <c r="K6" s="65">
        <v>38.488572959999999</v>
      </c>
      <c r="L6" s="65">
        <v>2.2877143580000001</v>
      </c>
      <c r="M6" s="186">
        <v>21010</v>
      </c>
      <c r="N6" s="186">
        <v>831</v>
      </c>
      <c r="O6" s="186">
        <v>13183</v>
      </c>
      <c r="P6" s="186">
        <v>3499</v>
      </c>
      <c r="Q6" s="186">
        <v>4283</v>
      </c>
      <c r="R6" s="186">
        <v>921</v>
      </c>
      <c r="S6" s="186">
        <v>1925</v>
      </c>
      <c r="T6" s="186">
        <v>158</v>
      </c>
      <c r="U6" s="186">
        <v>198</v>
      </c>
      <c r="V6" s="186">
        <v>28</v>
      </c>
      <c r="W6" s="186">
        <v>3769</v>
      </c>
    </row>
    <row r="7" spans="1:23">
      <c r="A7" s="110" t="s">
        <v>264</v>
      </c>
      <c r="B7" s="65">
        <v>29.88328542</v>
      </c>
      <c r="C7" s="65">
        <v>13.10367514</v>
      </c>
      <c r="D7" s="65">
        <v>24.958907239999998</v>
      </c>
      <c r="E7" s="65">
        <v>6.4273405429999997</v>
      </c>
      <c r="F7" s="65">
        <v>6.6756568810000001</v>
      </c>
      <c r="G7" s="65">
        <v>2.1691994220000002</v>
      </c>
      <c r="H7" s="65">
        <v>1.209923192</v>
      </c>
      <c r="I7" s="65">
        <v>0.28816340899999998</v>
      </c>
      <c r="J7" s="65">
        <v>6.8372233319999998</v>
      </c>
      <c r="K7" s="65">
        <v>66.201718200000002</v>
      </c>
      <c r="L7" s="65">
        <v>8.0419640819999998</v>
      </c>
      <c r="M7" s="186">
        <v>22167</v>
      </c>
      <c r="N7" s="186">
        <v>2657</v>
      </c>
      <c r="O7" s="186">
        <v>10998</v>
      </c>
      <c r="P7" s="186">
        <v>5867</v>
      </c>
      <c r="Q7" s="186">
        <v>6628</v>
      </c>
      <c r="R7" s="186">
        <v>1366</v>
      </c>
      <c r="S7" s="186">
        <v>3351</v>
      </c>
      <c r="T7" s="186">
        <v>1058</v>
      </c>
      <c r="U7" s="186">
        <v>223</v>
      </c>
      <c r="V7" s="186">
        <v>107</v>
      </c>
      <c r="W7" s="186">
        <v>5073</v>
      </c>
    </row>
    <row r="8" spans="1:23">
      <c r="A8" s="42" t="s">
        <v>265</v>
      </c>
      <c r="B8" s="65">
        <v>49.637817120000001</v>
      </c>
      <c r="C8" s="65">
        <v>46.248926179999998</v>
      </c>
      <c r="D8" s="65">
        <v>30.486358559999999</v>
      </c>
      <c r="E8" s="65">
        <v>24.86265143</v>
      </c>
      <c r="F8" s="65">
        <v>14.33445856</v>
      </c>
      <c r="G8" s="65">
        <v>16.027762259999999</v>
      </c>
      <c r="H8" s="65">
        <v>1.4387653439999999</v>
      </c>
      <c r="I8" s="65">
        <v>2.3899473599999999</v>
      </c>
      <c r="J8" s="65">
        <v>12.70170759</v>
      </c>
      <c r="K8" s="65">
        <v>116.6347033</v>
      </c>
      <c r="L8" s="65">
        <v>34.572719280000001</v>
      </c>
      <c r="M8" s="186">
        <v>38458</v>
      </c>
      <c r="N8" s="186">
        <v>10265</v>
      </c>
      <c r="O8" s="186">
        <v>16434</v>
      </c>
      <c r="P8" s="186">
        <v>17474</v>
      </c>
      <c r="Q8" s="186">
        <v>8275</v>
      </c>
      <c r="R8" s="186">
        <v>6562</v>
      </c>
      <c r="S8" s="186">
        <v>4962</v>
      </c>
      <c r="T8" s="186">
        <v>5948</v>
      </c>
      <c r="U8" s="186">
        <v>232</v>
      </c>
      <c r="V8" s="186">
        <v>438</v>
      </c>
      <c r="W8" s="186">
        <v>7721</v>
      </c>
    </row>
    <row r="9" spans="1:23">
      <c r="A9" s="42" t="s">
        <v>266</v>
      </c>
      <c r="B9" s="65">
        <v>139.00015400000001</v>
      </c>
      <c r="C9" s="65">
        <v>292.07225440000002</v>
      </c>
      <c r="D9" s="65">
        <v>86.612824560000007</v>
      </c>
      <c r="E9" s="65">
        <v>58.194240610000001</v>
      </c>
      <c r="F9" s="65">
        <v>25.14084476</v>
      </c>
      <c r="G9" s="65">
        <v>54.815578129999999</v>
      </c>
      <c r="H9" s="65">
        <v>1.9007858399999999</v>
      </c>
      <c r="I9" s="65">
        <v>5.5314975989999997</v>
      </c>
      <c r="J9" s="65">
        <v>10.01250426</v>
      </c>
      <c r="K9" s="65">
        <v>386.20703730000002</v>
      </c>
      <c r="L9" s="65">
        <v>189.5568375</v>
      </c>
      <c r="M9" s="186">
        <v>92761</v>
      </c>
      <c r="N9" s="186">
        <v>39965</v>
      </c>
      <c r="O9" s="186">
        <v>31672</v>
      </c>
      <c r="P9" s="186">
        <v>69621</v>
      </c>
      <c r="Q9" s="186">
        <v>18943</v>
      </c>
      <c r="R9" s="186">
        <v>12530</v>
      </c>
      <c r="S9" s="186">
        <v>5602</v>
      </c>
      <c r="T9" s="186">
        <v>12397</v>
      </c>
      <c r="U9" s="186">
        <v>179</v>
      </c>
      <c r="V9" s="186">
        <v>743</v>
      </c>
      <c r="W9" s="186">
        <v>5742</v>
      </c>
    </row>
    <row r="10" spans="1:23">
      <c r="A10" s="42" t="s">
        <v>267</v>
      </c>
      <c r="B10" s="65">
        <v>352.731514</v>
      </c>
      <c r="C10" s="65">
        <v>1110.6050929999999</v>
      </c>
      <c r="D10" s="65">
        <v>138.7748852</v>
      </c>
      <c r="E10" s="65">
        <v>99.516340029999995</v>
      </c>
      <c r="F10" s="65">
        <v>48.455311379999998</v>
      </c>
      <c r="G10" s="65">
        <v>85.312815700000002</v>
      </c>
      <c r="H10" s="65">
        <v>4.6756022269999997</v>
      </c>
      <c r="I10" s="65">
        <v>4.9735423250000004</v>
      </c>
      <c r="J10" s="65">
        <v>16.493395830000001</v>
      </c>
      <c r="K10" s="65">
        <v>1225.7051309999999</v>
      </c>
      <c r="L10" s="65">
        <v>475.64849939999999</v>
      </c>
      <c r="M10" s="186">
        <v>209791</v>
      </c>
      <c r="N10" s="186">
        <v>71001</v>
      </c>
      <c r="O10" s="186">
        <v>62527</v>
      </c>
      <c r="P10" s="186">
        <v>177775</v>
      </c>
      <c r="Q10" s="186">
        <v>24262</v>
      </c>
      <c r="R10" s="186">
        <v>16283</v>
      </c>
      <c r="S10" s="186">
        <v>6969</v>
      </c>
      <c r="T10" s="186">
        <v>12953</v>
      </c>
      <c r="U10" s="186">
        <v>410</v>
      </c>
      <c r="V10" s="186">
        <v>530</v>
      </c>
      <c r="W10" s="186">
        <v>9267</v>
      </c>
    </row>
    <row r="11" spans="1:23">
      <c r="A11" s="42" t="s">
        <v>268</v>
      </c>
      <c r="B11" s="65">
        <v>1130.8697279999999</v>
      </c>
      <c r="C11" s="65">
        <v>2088.9855379999999</v>
      </c>
      <c r="D11" s="65">
        <v>388.28305640000002</v>
      </c>
      <c r="E11" s="65">
        <v>89.52275899</v>
      </c>
      <c r="F11" s="65">
        <v>168.3095323</v>
      </c>
      <c r="G11" s="65">
        <v>18.245172499999999</v>
      </c>
      <c r="H11" s="65">
        <v>18.30151553</v>
      </c>
      <c r="I11" s="65">
        <v>1.6282048280000001</v>
      </c>
      <c r="J11" s="65">
        <v>28.46559353</v>
      </c>
      <c r="K11" s="65">
        <v>3282.7133779999999</v>
      </c>
      <c r="L11" s="65">
        <v>404.0087777</v>
      </c>
      <c r="M11" s="186">
        <v>433322</v>
      </c>
      <c r="N11" s="186">
        <v>54426</v>
      </c>
      <c r="O11" s="186">
        <v>163113</v>
      </c>
      <c r="P11" s="186">
        <v>259823</v>
      </c>
      <c r="Q11" s="186">
        <v>55026</v>
      </c>
      <c r="R11" s="186">
        <v>10922</v>
      </c>
      <c r="S11" s="186">
        <v>13511</v>
      </c>
      <c r="T11" s="186">
        <v>2250</v>
      </c>
      <c r="U11" s="186">
        <v>848</v>
      </c>
      <c r="V11" s="186">
        <v>132</v>
      </c>
      <c r="W11" s="186">
        <v>15998</v>
      </c>
    </row>
    <row r="12" spans="1:23">
      <c r="A12" s="42" t="s">
        <v>269</v>
      </c>
      <c r="B12" s="65">
        <v>2360.9018529999998</v>
      </c>
      <c r="C12" s="65">
        <v>6759.6409869999998</v>
      </c>
      <c r="D12" s="65">
        <v>775.14972790000002</v>
      </c>
      <c r="E12" s="65">
        <v>330.05271649999997</v>
      </c>
      <c r="F12" s="65">
        <v>257.27332790000003</v>
      </c>
      <c r="G12" s="65">
        <v>104.02310799999999</v>
      </c>
      <c r="H12" s="65">
        <v>30.42496397</v>
      </c>
      <c r="I12" s="65">
        <v>6.2094726250000001</v>
      </c>
      <c r="J12" s="65">
        <v>57.697982979999999</v>
      </c>
      <c r="K12" s="65">
        <v>8984.8421249999992</v>
      </c>
      <c r="L12" s="65">
        <v>1090.6036549999999</v>
      </c>
      <c r="M12" s="186">
        <v>959246</v>
      </c>
      <c r="N12" s="186">
        <v>105979</v>
      </c>
      <c r="O12" s="186">
        <v>279005</v>
      </c>
      <c r="P12" s="186">
        <v>692899</v>
      </c>
      <c r="Q12" s="186">
        <v>77629</v>
      </c>
      <c r="R12" s="186">
        <v>28503</v>
      </c>
      <c r="S12" s="186">
        <v>14968</v>
      </c>
      <c r="T12" s="186">
        <v>8618</v>
      </c>
      <c r="U12" s="186">
        <v>1117</v>
      </c>
      <c r="V12" s="186">
        <v>385</v>
      </c>
      <c r="W12" s="186">
        <v>30007</v>
      </c>
    </row>
    <row r="13" spans="1:23">
      <c r="A13" s="42" t="s">
        <v>270</v>
      </c>
      <c r="B13" s="65">
        <v>3542.714786</v>
      </c>
      <c r="C13" s="65">
        <v>4194.0846199999996</v>
      </c>
      <c r="D13" s="65">
        <v>1393.815906</v>
      </c>
      <c r="E13" s="65">
        <v>372.67861720000002</v>
      </c>
      <c r="F13" s="65">
        <v>395.25867770000002</v>
      </c>
      <c r="G13" s="65">
        <v>121.83617150000001</v>
      </c>
      <c r="H13" s="65">
        <v>50.351719760000002</v>
      </c>
      <c r="I13" s="65">
        <v>6.9628938160000002</v>
      </c>
      <c r="J13" s="65">
        <v>50.562160689999999</v>
      </c>
      <c r="K13" s="65">
        <v>5775.4183860000003</v>
      </c>
      <c r="L13" s="65">
        <v>2376.2593630000001</v>
      </c>
      <c r="M13" s="186">
        <v>580001</v>
      </c>
      <c r="N13" s="186">
        <v>183524</v>
      </c>
      <c r="O13" s="186">
        <v>350852</v>
      </c>
      <c r="P13" s="186">
        <v>391169</v>
      </c>
      <c r="Q13" s="186">
        <v>104057</v>
      </c>
      <c r="R13" s="186">
        <v>27733</v>
      </c>
      <c r="S13" s="186">
        <v>15672</v>
      </c>
      <c r="T13" s="186">
        <v>8302</v>
      </c>
      <c r="U13" s="186">
        <v>1446</v>
      </c>
      <c r="V13" s="186">
        <v>331</v>
      </c>
      <c r="W13" s="186">
        <v>22090</v>
      </c>
    </row>
    <row r="14" spans="1:23">
      <c r="A14" s="42" t="s">
        <v>271</v>
      </c>
      <c r="B14" s="65">
        <v>5974.0301730000001</v>
      </c>
      <c r="C14" s="65">
        <v>1436.500927</v>
      </c>
      <c r="D14" s="65">
        <v>3485.743297</v>
      </c>
      <c r="E14" s="65">
        <v>196.7472899</v>
      </c>
      <c r="F14" s="65">
        <v>965.83357980000005</v>
      </c>
      <c r="G14" s="65">
        <v>63.182851049999996</v>
      </c>
      <c r="H14" s="65">
        <v>112.1163785</v>
      </c>
      <c r="I14" s="65">
        <v>3.017382241</v>
      </c>
      <c r="J14" s="65">
        <v>86.93532476</v>
      </c>
      <c r="K14" s="65">
        <v>5185.3752450000002</v>
      </c>
      <c r="L14" s="65">
        <v>4753.3785820000003</v>
      </c>
      <c r="M14" s="186">
        <v>473512</v>
      </c>
      <c r="N14" s="186">
        <v>292363</v>
      </c>
      <c r="O14" s="186">
        <v>508735</v>
      </c>
      <c r="P14" s="186">
        <v>131848</v>
      </c>
      <c r="Q14" s="186">
        <v>204384</v>
      </c>
      <c r="R14" s="186">
        <v>14713</v>
      </c>
      <c r="S14" s="186">
        <v>25794</v>
      </c>
      <c r="T14" s="186">
        <v>3587</v>
      </c>
      <c r="U14" s="186">
        <v>2783</v>
      </c>
      <c r="V14" s="186">
        <v>122</v>
      </c>
      <c r="W14" s="186">
        <v>30667</v>
      </c>
    </row>
    <row r="15" spans="1:23">
      <c r="A15" s="111" t="s">
        <v>272</v>
      </c>
      <c r="B15" s="65">
        <v>5200.4921869999998</v>
      </c>
      <c r="C15" s="65">
        <v>51.534398000000003</v>
      </c>
      <c r="D15" s="65">
        <v>2924.1441009999999</v>
      </c>
      <c r="E15" s="65">
        <v>20.22758018</v>
      </c>
      <c r="F15" s="65">
        <v>875.43523449999998</v>
      </c>
      <c r="G15" s="65">
        <v>7.2004714390000002</v>
      </c>
      <c r="H15" s="65">
        <v>39.731859</v>
      </c>
      <c r="I15" s="65">
        <v>4.5620689999999998E-2</v>
      </c>
      <c r="J15" s="65">
        <v>57.763744459999998</v>
      </c>
      <c r="K15" s="65">
        <v>3209.434964</v>
      </c>
      <c r="L15" s="65">
        <v>3420.3477440000001</v>
      </c>
      <c r="M15" s="186">
        <v>255793</v>
      </c>
      <c r="N15" s="186">
        <v>185286</v>
      </c>
      <c r="O15" s="186">
        <v>419360</v>
      </c>
      <c r="P15" s="186">
        <v>6361</v>
      </c>
      <c r="Q15" s="186">
        <v>151866</v>
      </c>
      <c r="R15" s="186">
        <v>2235</v>
      </c>
      <c r="S15" s="186">
        <v>25107</v>
      </c>
      <c r="T15" s="186">
        <v>424</v>
      </c>
      <c r="U15" s="186">
        <v>1286</v>
      </c>
      <c r="V15" s="186">
        <v>3</v>
      </c>
      <c r="W15" s="186">
        <v>30150</v>
      </c>
    </row>
    <row r="16" spans="1:23">
      <c r="A16" s="111"/>
      <c r="B16" s="60"/>
      <c r="C16" s="60"/>
      <c r="D16" s="60"/>
      <c r="E16" s="60"/>
      <c r="F16" s="60"/>
      <c r="G16" s="60"/>
      <c r="H16" s="60"/>
      <c r="I16" s="60"/>
      <c r="J16" s="60"/>
      <c r="K16" s="60"/>
      <c r="L16" s="60"/>
      <c r="M16" s="63"/>
      <c r="N16" s="63"/>
      <c r="O16" s="63"/>
      <c r="P16" s="63"/>
      <c r="Q16" s="63"/>
      <c r="R16" s="63"/>
      <c r="S16" s="63"/>
      <c r="T16" s="63"/>
      <c r="U16" s="63"/>
      <c r="V16" s="63"/>
      <c r="W16" s="49"/>
    </row>
    <row r="17" spans="1:23">
      <c r="B17" s="4"/>
      <c r="C17" s="4"/>
      <c r="D17" s="4"/>
      <c r="E17" s="4"/>
      <c r="F17" s="4"/>
      <c r="G17" s="4"/>
      <c r="H17" s="4"/>
      <c r="I17" s="4"/>
      <c r="J17" s="4"/>
      <c r="K17" s="4"/>
      <c r="L17" s="4"/>
      <c r="M17" s="99" t="s">
        <v>273</v>
      </c>
      <c r="N17" s="3"/>
      <c r="O17" s="3"/>
      <c r="P17" s="3"/>
      <c r="Q17" s="3"/>
      <c r="R17" s="3"/>
      <c r="S17" s="3"/>
      <c r="T17" s="3"/>
      <c r="U17" s="3"/>
      <c r="V17" s="3"/>
      <c r="W17" s="1"/>
    </row>
    <row r="18" spans="1:23">
      <c r="M18" s="112"/>
    </row>
    <row r="19" spans="1:23" s="42" customFormat="1" ht="10.5">
      <c r="B19" s="135" t="s">
        <v>241</v>
      </c>
      <c r="C19" s="136"/>
      <c r="D19" s="136"/>
      <c r="E19" s="136"/>
      <c r="F19" s="136"/>
      <c r="K19" s="135" t="s">
        <v>274</v>
      </c>
      <c r="P19" s="136"/>
      <c r="Q19" s="136"/>
    </row>
    <row r="20" spans="1:23" s="42" customFormat="1" ht="20">
      <c r="A20" s="42" t="s">
        <v>243</v>
      </c>
      <c r="B20" s="76" t="s">
        <v>275</v>
      </c>
      <c r="C20" s="76" t="s">
        <v>276</v>
      </c>
      <c r="D20" s="76" t="s">
        <v>84</v>
      </c>
      <c r="E20" s="76" t="s">
        <v>277</v>
      </c>
      <c r="F20" s="76" t="s">
        <v>278</v>
      </c>
      <c r="G20" s="76" t="s">
        <v>113</v>
      </c>
      <c r="H20" s="76" t="s">
        <v>85</v>
      </c>
      <c r="I20" s="76" t="s">
        <v>279</v>
      </c>
      <c r="J20" s="76" t="s">
        <v>280</v>
      </c>
      <c r="K20" s="76" t="s">
        <v>281</v>
      </c>
      <c r="L20" s="76" t="s">
        <v>282</v>
      </c>
      <c r="M20" s="76" t="s">
        <v>283</v>
      </c>
      <c r="N20" s="76" t="s">
        <v>284</v>
      </c>
      <c r="O20" s="76" t="s">
        <v>285</v>
      </c>
      <c r="P20" s="76" t="s">
        <v>286</v>
      </c>
      <c r="Q20" s="76" t="s">
        <v>287</v>
      </c>
      <c r="R20" s="76" t="s">
        <v>288</v>
      </c>
      <c r="S20" s="76" t="s">
        <v>289</v>
      </c>
      <c r="T20" s="76" t="s">
        <v>290</v>
      </c>
      <c r="U20" s="76" t="s">
        <v>291</v>
      </c>
    </row>
    <row r="21" spans="1:23" s="42" customFormat="1" ht="10">
      <c r="A21" s="42" t="s">
        <v>261</v>
      </c>
      <c r="B21" s="65">
        <f t="shared" ref="B21:B32" si="0">B4+D4</f>
        <v>72.198965860000001</v>
      </c>
      <c r="C21" s="65">
        <f t="shared" ref="C21:C32" si="1">C4+E4</f>
        <v>62.83109357</v>
      </c>
      <c r="D21" s="65">
        <f t="shared" ref="D21:D32" si="2">F4+G4</f>
        <v>2.8031791259999999</v>
      </c>
      <c r="E21" s="65">
        <f t="shared" ref="E21:E32" si="3">H4+I4</f>
        <v>0.28325714099999999</v>
      </c>
      <c r="F21" s="65">
        <f t="shared" ref="F21:F32" si="4">J4</f>
        <v>10.819607189999999</v>
      </c>
    </row>
    <row r="22" spans="1:23" s="42" customFormat="1" ht="10">
      <c r="A22" s="42" t="s">
        <v>262</v>
      </c>
      <c r="B22" s="65">
        <f t="shared" si="0"/>
        <v>70.131964890000006</v>
      </c>
      <c r="C22" s="65">
        <f t="shared" si="1"/>
        <v>19.947920413999999</v>
      </c>
      <c r="D22" s="65">
        <f t="shared" si="2"/>
        <v>3.1555320780000002</v>
      </c>
      <c r="E22" s="65">
        <f t="shared" si="3"/>
        <v>0.45468778500000001</v>
      </c>
      <c r="F22" s="65">
        <f t="shared" si="4"/>
        <v>5.8103234920000002</v>
      </c>
    </row>
    <row r="23" spans="1:23">
      <c r="A23" s="42" t="s">
        <v>263</v>
      </c>
      <c r="B23" s="65">
        <f t="shared" si="0"/>
        <v>29.636692160000003</v>
      </c>
      <c r="C23" s="65">
        <f t="shared" si="1"/>
        <v>11.243994193000001</v>
      </c>
      <c r="D23" s="65">
        <f t="shared" si="2"/>
        <v>1.353515579</v>
      </c>
      <c r="E23" s="65">
        <f t="shared" si="3"/>
        <v>0.97293129599999995</v>
      </c>
      <c r="F23" s="65">
        <f t="shared" si="4"/>
        <v>4.7093167420000004</v>
      </c>
      <c r="G23" s="42"/>
      <c r="H23" s="42"/>
    </row>
    <row r="24" spans="1:23">
      <c r="A24" s="42" t="s">
        <v>264</v>
      </c>
      <c r="B24" s="65">
        <f t="shared" si="0"/>
        <v>54.842192659999995</v>
      </c>
      <c r="C24" s="65">
        <f t="shared" si="1"/>
        <v>19.531015683</v>
      </c>
      <c r="D24" s="65">
        <f t="shared" si="2"/>
        <v>8.8448563030000003</v>
      </c>
      <c r="E24" s="65">
        <f t="shared" si="3"/>
        <v>1.498086601</v>
      </c>
      <c r="F24" s="65">
        <f t="shared" si="4"/>
        <v>6.8372233319999998</v>
      </c>
      <c r="G24" s="46">
        <f>D24/SUM(D$24:D$32)</f>
        <v>2.7387443303911567E-3</v>
      </c>
      <c r="H24" s="46">
        <f t="shared" ref="G24:H26" si="5">E24/SUM(E$24:E$32)</f>
        <v>5.1445592870757433E-3</v>
      </c>
      <c r="I24" s="46">
        <f t="shared" ref="I24:I32" si="6">(S7+T7)/SUM(S$7:T$15)</f>
        <v>2.5712502843013185E-2</v>
      </c>
      <c r="J24" s="46">
        <f t="shared" ref="J24:J32" si="7">(U7+V7)/SUM(U$7:V$15)</f>
        <v>2.9164825452938577E-2</v>
      </c>
      <c r="K24" s="186">
        <f t="shared" ref="K24:N31" si="8">B7/O7*1000000</f>
        <v>2717.1563393344245</v>
      </c>
      <c r="L24" s="186">
        <f t="shared" si="8"/>
        <v>2233.4540889722175</v>
      </c>
      <c r="M24" s="186">
        <f t="shared" si="8"/>
        <v>3765.6770126735059</v>
      </c>
      <c r="N24" s="186">
        <f t="shared" si="8"/>
        <v>4705.2273374816978</v>
      </c>
      <c r="O24" s="186">
        <f t="shared" ref="O24:P31" si="9">K7/M7*1000000</f>
        <v>2986.4987684395724</v>
      </c>
      <c r="P24" s="186">
        <f t="shared" si="9"/>
        <v>3026.7083485133608</v>
      </c>
      <c r="Q24" s="186">
        <f t="shared" ref="Q24:U31" si="10">F7/S7*1000000</f>
        <v>1992.1387290361085</v>
      </c>
      <c r="R24" s="186">
        <f t="shared" si="10"/>
        <v>2050.2830075614365</v>
      </c>
      <c r="S24" s="186">
        <f t="shared" si="10"/>
        <v>5425.6645381165927</v>
      </c>
      <c r="T24" s="186">
        <f t="shared" si="10"/>
        <v>2693.1159719626166</v>
      </c>
      <c r="U24" s="186">
        <f t="shared" si="10"/>
        <v>1347.7672643406268</v>
      </c>
    </row>
    <row r="25" spans="1:23">
      <c r="A25" s="42" t="s">
        <v>265</v>
      </c>
      <c r="B25" s="65">
        <f t="shared" si="0"/>
        <v>80.124175680000008</v>
      </c>
      <c r="C25" s="65">
        <f t="shared" si="1"/>
        <v>71.111577609999998</v>
      </c>
      <c r="D25" s="65">
        <f t="shared" si="2"/>
        <v>30.362220819999997</v>
      </c>
      <c r="E25" s="65">
        <f t="shared" si="3"/>
        <v>3.828712704</v>
      </c>
      <c r="F25" s="65">
        <f t="shared" si="4"/>
        <v>12.70170759</v>
      </c>
      <c r="G25" s="46">
        <f t="shared" si="5"/>
        <v>9.401437092952547E-3</v>
      </c>
      <c r="H25" s="46">
        <f t="shared" si="5"/>
        <v>1.3148131413604495E-2</v>
      </c>
      <c r="I25" s="46">
        <f t="shared" si="6"/>
        <v>6.36251771415908E-2</v>
      </c>
      <c r="J25" s="46">
        <f t="shared" si="7"/>
        <v>5.9213433495360145E-2</v>
      </c>
      <c r="K25" s="186">
        <f t="shared" si="8"/>
        <v>3020.4342898868199</v>
      </c>
      <c r="L25" s="186">
        <f t="shared" si="8"/>
        <v>2646.7280634084927</v>
      </c>
      <c r="M25" s="186">
        <f t="shared" si="8"/>
        <v>3684.1520918429001</v>
      </c>
      <c r="N25" s="186">
        <f t="shared" si="8"/>
        <v>3788.8831804327947</v>
      </c>
      <c r="O25" s="186">
        <f t="shared" si="9"/>
        <v>3032.7813016797545</v>
      </c>
      <c r="P25" s="186">
        <f t="shared" si="9"/>
        <v>3368.0194135411593</v>
      </c>
      <c r="Q25" s="186">
        <f t="shared" si="10"/>
        <v>2888.8469488109636</v>
      </c>
      <c r="R25" s="186">
        <f t="shared" si="10"/>
        <v>2694.6473201075992</v>
      </c>
      <c r="S25" s="186">
        <f t="shared" si="10"/>
        <v>6201.574758620689</v>
      </c>
      <c r="T25" s="186">
        <f t="shared" si="10"/>
        <v>5456.500821917808</v>
      </c>
      <c r="U25" s="186">
        <f t="shared" si="10"/>
        <v>1645.0858166040668</v>
      </c>
    </row>
    <row r="26" spans="1:23">
      <c r="A26" s="42" t="s">
        <v>266</v>
      </c>
      <c r="B26" s="65">
        <f t="shared" si="0"/>
        <v>225.61297856000002</v>
      </c>
      <c r="C26" s="65">
        <f t="shared" si="1"/>
        <v>350.26649501000003</v>
      </c>
      <c r="D26" s="65">
        <f t="shared" si="2"/>
        <v>79.956422889999999</v>
      </c>
      <c r="E26" s="65">
        <f t="shared" si="3"/>
        <v>7.4322834389999999</v>
      </c>
      <c r="F26" s="65">
        <f t="shared" si="4"/>
        <v>10.01250426</v>
      </c>
      <c r="G26" s="46">
        <f t="shared" si="5"/>
        <v>2.4757914924414481E-2</v>
      </c>
      <c r="H26" s="46">
        <f t="shared" si="5"/>
        <v>2.5523105783579927E-2</v>
      </c>
      <c r="I26" s="46">
        <f t="shared" si="6"/>
        <v>0.10496696272882611</v>
      </c>
      <c r="J26" s="46">
        <f t="shared" si="7"/>
        <v>8.1484754750331415E-2</v>
      </c>
      <c r="K26" s="186">
        <f t="shared" si="8"/>
        <v>4388.7393912604202</v>
      </c>
      <c r="L26" s="186">
        <f t="shared" si="8"/>
        <v>4195.1746513264679</v>
      </c>
      <c r="M26" s="186">
        <f t="shared" si="8"/>
        <v>4572.2865734044235</v>
      </c>
      <c r="N26" s="186">
        <f t="shared" si="8"/>
        <v>4644.3927063048686</v>
      </c>
      <c r="O26" s="186">
        <f t="shared" si="9"/>
        <v>4163.4634954345047</v>
      </c>
      <c r="P26" s="186">
        <f t="shared" si="9"/>
        <v>4743.0711247341424</v>
      </c>
      <c r="Q26" s="186">
        <f t="shared" si="10"/>
        <v>4487.8337665119598</v>
      </c>
      <c r="R26" s="186">
        <f t="shared" si="10"/>
        <v>4421.6809010244415</v>
      </c>
      <c r="S26" s="186">
        <f t="shared" si="10"/>
        <v>10618.915307262569</v>
      </c>
      <c r="T26" s="186">
        <f t="shared" si="10"/>
        <v>7444.8150726783306</v>
      </c>
      <c r="U26" s="186">
        <f t="shared" si="10"/>
        <v>1743.7311494252874</v>
      </c>
    </row>
    <row r="27" spans="1:23">
      <c r="A27" s="42" t="s">
        <v>267</v>
      </c>
      <c r="B27" s="65">
        <f t="shared" si="0"/>
        <v>491.50639920000003</v>
      </c>
      <c r="C27" s="65">
        <f t="shared" si="1"/>
        <v>1210.1214330299999</v>
      </c>
      <c r="D27" s="65">
        <f t="shared" si="2"/>
        <v>133.76812708</v>
      </c>
      <c r="E27" s="65">
        <f t="shared" si="3"/>
        <v>9.6491445519999992</v>
      </c>
      <c r="F27" s="65">
        <f t="shared" si="4"/>
        <v>16.493395830000001</v>
      </c>
      <c r="G27" s="46">
        <f t="shared" ref="G27:G32" si="11">D27/SUM(D$24:D$32)</f>
        <v>4.1420311091219519E-2</v>
      </c>
      <c r="H27" s="46">
        <f t="shared" ref="H27:H32" si="12">E27/SUM(E$24:E$32)</f>
        <v>3.3135999069874807E-2</v>
      </c>
      <c r="I27" s="46">
        <f t="shared" si="6"/>
        <v>0.11618155627999743</v>
      </c>
      <c r="J27" s="46">
        <f t="shared" si="7"/>
        <v>8.3075563411400793E-2</v>
      </c>
      <c r="K27" s="186">
        <f t="shared" si="8"/>
        <v>5641.2671965710815</v>
      </c>
      <c r="L27" s="186">
        <f t="shared" si="8"/>
        <v>6247.2512614259595</v>
      </c>
      <c r="M27" s="186">
        <f t="shared" si="8"/>
        <v>5719.8452394691285</v>
      </c>
      <c r="N27" s="186">
        <f t="shared" si="8"/>
        <v>6111.6710698274264</v>
      </c>
      <c r="O27" s="186">
        <f t="shared" si="9"/>
        <v>5842.505784328212</v>
      </c>
      <c r="P27" s="186">
        <f t="shared" si="9"/>
        <v>6699.1802847847212</v>
      </c>
      <c r="Q27" s="186">
        <f t="shared" si="10"/>
        <v>6952.9791046061127</v>
      </c>
      <c r="R27" s="186">
        <f t="shared" si="10"/>
        <v>6586.3364239944422</v>
      </c>
      <c r="S27" s="186">
        <f t="shared" si="10"/>
        <v>11403.907870731708</v>
      </c>
      <c r="T27" s="186">
        <f t="shared" si="10"/>
        <v>9384.042122641511</v>
      </c>
      <c r="U27" s="186">
        <f t="shared" si="10"/>
        <v>1779.7988378115897</v>
      </c>
    </row>
    <row r="28" spans="1:23">
      <c r="A28" s="42" t="s">
        <v>268</v>
      </c>
      <c r="B28" s="65">
        <f t="shared" si="0"/>
        <v>1519.1527844</v>
      </c>
      <c r="C28" s="65">
        <f t="shared" si="1"/>
        <v>2178.50829699</v>
      </c>
      <c r="D28" s="65">
        <f t="shared" si="2"/>
        <v>186.5547048</v>
      </c>
      <c r="E28" s="65">
        <f t="shared" si="3"/>
        <v>19.929720358000001</v>
      </c>
      <c r="F28" s="65">
        <f t="shared" si="4"/>
        <v>28.46559353</v>
      </c>
      <c r="G28" s="46">
        <f t="shared" si="11"/>
        <v>5.776528442926767E-2</v>
      </c>
      <c r="H28" s="46">
        <f t="shared" si="12"/>
        <v>6.8440387817453957E-2</v>
      </c>
      <c r="I28" s="46">
        <f t="shared" si="6"/>
        <v>9.1915345273016744E-2</v>
      </c>
      <c r="J28" s="46">
        <f t="shared" si="7"/>
        <v>8.6610693769332739E-2</v>
      </c>
      <c r="K28" s="186">
        <f t="shared" si="8"/>
        <v>6933.0447481194005</v>
      </c>
      <c r="L28" s="186">
        <f t="shared" si="8"/>
        <v>8040.0331687340995</v>
      </c>
      <c r="M28" s="186">
        <f t="shared" si="8"/>
        <v>7056.3562025224446</v>
      </c>
      <c r="N28" s="186">
        <f t="shared" si="8"/>
        <v>8196.5536522614893</v>
      </c>
      <c r="O28" s="186">
        <f t="shared" si="9"/>
        <v>7575.6905442142333</v>
      </c>
      <c r="P28" s="186">
        <f t="shared" si="9"/>
        <v>7423.0841454451911</v>
      </c>
      <c r="Q28" s="186">
        <f t="shared" si="10"/>
        <v>12457.222433572646</v>
      </c>
      <c r="R28" s="186">
        <f t="shared" si="10"/>
        <v>8108.9655555555555</v>
      </c>
      <c r="S28" s="186">
        <f t="shared" si="10"/>
        <v>21581.975860849056</v>
      </c>
      <c r="T28" s="186">
        <f t="shared" si="10"/>
        <v>12334.885060606062</v>
      </c>
      <c r="U28" s="186">
        <f t="shared" si="10"/>
        <v>1779.3220108763596</v>
      </c>
    </row>
    <row r="29" spans="1:23">
      <c r="A29" s="42" t="s">
        <v>269</v>
      </c>
      <c r="B29" s="65">
        <f t="shared" si="0"/>
        <v>3136.0515808999999</v>
      </c>
      <c r="C29" s="65">
        <f t="shared" si="1"/>
        <v>7089.6937035000001</v>
      </c>
      <c r="D29" s="65">
        <f t="shared" si="2"/>
        <v>361.29643590000001</v>
      </c>
      <c r="E29" s="65">
        <f t="shared" si="3"/>
        <v>36.634436594999997</v>
      </c>
      <c r="F29" s="65">
        <f t="shared" si="4"/>
        <v>57.697982979999999</v>
      </c>
      <c r="G29" s="46">
        <f t="shared" si="11"/>
        <v>0.11187276893080091</v>
      </c>
      <c r="H29" s="46">
        <f t="shared" si="12"/>
        <v>0.12580583184295813</v>
      </c>
      <c r="I29" s="46">
        <f t="shared" si="6"/>
        <v>0.13754935179299366</v>
      </c>
      <c r="J29" s="46">
        <f t="shared" si="7"/>
        <v>0.13274414494034467</v>
      </c>
      <c r="K29" s="186">
        <f t="shared" si="8"/>
        <v>8461.8621637605065</v>
      </c>
      <c r="L29" s="186">
        <f t="shared" si="8"/>
        <v>9755.593509299335</v>
      </c>
      <c r="M29" s="186">
        <f t="shared" si="8"/>
        <v>9985.3112612554578</v>
      </c>
      <c r="N29" s="186">
        <f t="shared" si="8"/>
        <v>11579.578167210468</v>
      </c>
      <c r="O29" s="186">
        <f t="shared" si="9"/>
        <v>9366.5672048671549</v>
      </c>
      <c r="P29" s="186">
        <f t="shared" si="9"/>
        <v>10290.752460393096</v>
      </c>
      <c r="Q29" s="186">
        <f t="shared" si="10"/>
        <v>17188.22340326029</v>
      </c>
      <c r="R29" s="186">
        <f t="shared" si="10"/>
        <v>12070.44650731028</v>
      </c>
      <c r="S29" s="186">
        <f t="shared" si="10"/>
        <v>27238.105613249776</v>
      </c>
      <c r="T29" s="186">
        <f t="shared" si="10"/>
        <v>16128.500324675326</v>
      </c>
      <c r="U29" s="186">
        <f t="shared" si="10"/>
        <v>1922.8174419302163</v>
      </c>
    </row>
    <row r="30" spans="1:23">
      <c r="A30" s="42" t="s">
        <v>270</v>
      </c>
      <c r="B30" s="65">
        <f t="shared" si="0"/>
        <v>4936.5306920000003</v>
      </c>
      <c r="C30" s="65">
        <f t="shared" si="1"/>
        <v>4566.7632371999998</v>
      </c>
      <c r="D30" s="65">
        <f t="shared" si="2"/>
        <v>517.0948492</v>
      </c>
      <c r="E30" s="65">
        <f t="shared" si="3"/>
        <v>57.314613575999999</v>
      </c>
      <c r="F30" s="65">
        <f t="shared" si="4"/>
        <v>50.562160689999999</v>
      </c>
      <c r="G30" s="46">
        <f t="shared" si="11"/>
        <v>0.16011459519592494</v>
      </c>
      <c r="H30" s="46">
        <f t="shared" si="12"/>
        <v>0.1968233527759643</v>
      </c>
      <c r="I30" s="46">
        <f t="shared" si="6"/>
        <v>0.13981209869775416</v>
      </c>
      <c r="J30" s="46">
        <f t="shared" si="7"/>
        <v>0.15704816615112682</v>
      </c>
      <c r="K30" s="186">
        <f t="shared" si="8"/>
        <v>10097.462137881499</v>
      </c>
      <c r="L30" s="186">
        <f t="shared" si="8"/>
        <v>10721.924845782767</v>
      </c>
      <c r="M30" s="186">
        <f t="shared" si="8"/>
        <v>13394.734674265066</v>
      </c>
      <c r="N30" s="186">
        <f t="shared" si="8"/>
        <v>13438.092424187791</v>
      </c>
      <c r="O30" s="186">
        <f t="shared" si="9"/>
        <v>9957.600738619416</v>
      </c>
      <c r="P30" s="186">
        <f t="shared" si="9"/>
        <v>12947.94884047863</v>
      </c>
      <c r="Q30" s="186">
        <f t="shared" si="10"/>
        <v>25220.691532669731</v>
      </c>
      <c r="R30" s="186">
        <f t="shared" si="10"/>
        <v>14675.520537219949</v>
      </c>
      <c r="S30" s="186">
        <f t="shared" si="10"/>
        <v>34821.38295988935</v>
      </c>
      <c r="T30" s="186">
        <f t="shared" si="10"/>
        <v>21035.932978851964</v>
      </c>
      <c r="U30" s="186">
        <f t="shared" si="10"/>
        <v>2288.9162829334537</v>
      </c>
    </row>
    <row r="31" spans="1:23">
      <c r="A31" s="42" t="s">
        <v>271</v>
      </c>
      <c r="B31" s="65">
        <f t="shared" si="0"/>
        <v>9459.7734700000001</v>
      </c>
      <c r="C31" s="65">
        <f t="shared" si="1"/>
        <v>1633.2482169</v>
      </c>
      <c r="D31" s="65">
        <f t="shared" si="2"/>
        <v>1029.01643085</v>
      </c>
      <c r="E31" s="65">
        <f t="shared" si="3"/>
        <v>115.133760741</v>
      </c>
      <c r="F31" s="65">
        <f t="shared" si="4"/>
        <v>86.93532476</v>
      </c>
      <c r="G31" s="46">
        <f t="shared" si="11"/>
        <v>0.3186273263607346</v>
      </c>
      <c r="H31" s="46">
        <f t="shared" si="12"/>
        <v>0.39537931764471351</v>
      </c>
      <c r="I31" s="46">
        <f t="shared" si="6"/>
        <v>0.17134475981641425</v>
      </c>
      <c r="J31" s="46">
        <f t="shared" si="7"/>
        <v>0.25673884224480775</v>
      </c>
      <c r="K31" s="186">
        <f t="shared" si="8"/>
        <v>11742.911678968421</v>
      </c>
      <c r="L31" s="186">
        <f t="shared" si="8"/>
        <v>10895.128686062741</v>
      </c>
      <c r="M31" s="186">
        <f t="shared" si="8"/>
        <v>17054.873654493502</v>
      </c>
      <c r="N31" s="186">
        <f t="shared" si="8"/>
        <v>13372.343498946509</v>
      </c>
      <c r="O31" s="186">
        <f t="shared" si="9"/>
        <v>10950.884549916371</v>
      </c>
      <c r="P31" s="186">
        <f t="shared" si="9"/>
        <v>16258.482030899944</v>
      </c>
      <c r="Q31" s="186">
        <f t="shared" si="10"/>
        <v>37444.118004187025</v>
      </c>
      <c r="R31" s="186">
        <f t="shared" si="10"/>
        <v>17614.399512127125</v>
      </c>
      <c r="S31" s="186">
        <f t="shared" si="10"/>
        <v>40286.158282429031</v>
      </c>
      <c r="T31" s="186">
        <f t="shared" si="10"/>
        <v>24732.641319672133</v>
      </c>
      <c r="U31" s="186">
        <f t="shared" si="10"/>
        <v>2834.8167332963772</v>
      </c>
    </row>
    <row r="32" spans="1:23">
      <c r="A32" s="111" t="s">
        <v>272</v>
      </c>
      <c r="B32" s="65">
        <f t="shared" si="0"/>
        <v>8124.6362879999997</v>
      </c>
      <c r="C32" s="65">
        <f t="shared" si="1"/>
        <v>71.76197818</v>
      </c>
      <c r="D32" s="65">
        <f t="shared" si="2"/>
        <v>882.63570593899999</v>
      </c>
      <c r="E32" s="65">
        <f t="shared" si="3"/>
        <v>39.77747969</v>
      </c>
      <c r="F32" s="65">
        <f t="shared" si="4"/>
        <v>57.763744459999998</v>
      </c>
      <c r="G32" s="46">
        <f t="shared" si="11"/>
        <v>0.27330161764429428</v>
      </c>
      <c r="H32" s="46">
        <f t="shared" si="12"/>
        <v>0.13659931436477502</v>
      </c>
      <c r="I32" s="46">
        <f t="shared" si="6"/>
        <v>0.14889224542639365</v>
      </c>
      <c r="J32" s="46">
        <f t="shared" si="7"/>
        <v>0.11391957578435705</v>
      </c>
      <c r="K32" s="186">
        <f t="shared" ref="K32" si="13">B15/O15*1000000</f>
        <v>12401.021048740939</v>
      </c>
      <c r="L32" s="186">
        <f t="shared" ref="L32" si="14">C15/P15*1000000</f>
        <v>8101.6189278415341</v>
      </c>
      <c r="M32" s="186">
        <f t="shared" ref="M32" si="15">D15/Q15*1000000</f>
        <v>19254.764733383374</v>
      </c>
      <c r="N32" s="186">
        <f t="shared" ref="N32" si="16">E15/R15*1000000</f>
        <v>9050.3714451901578</v>
      </c>
      <c r="O32" s="186">
        <f t="shared" ref="O32" si="17">K15/M15*1000000</f>
        <v>12547.000754516348</v>
      </c>
      <c r="P32" s="186">
        <f t="shared" ref="P32" si="18">L15/N15*1000000</f>
        <v>18459.828287080512</v>
      </c>
      <c r="Q32" s="186">
        <f t="shared" ref="Q32" si="19">F15/S15*1000000</f>
        <v>34868.173597004818</v>
      </c>
      <c r="R32" s="186">
        <f t="shared" ref="R32" si="20">G15/T15*1000000</f>
        <v>16982.24395990566</v>
      </c>
      <c r="S32" s="186">
        <f t="shared" ref="S32" si="21">H15/U15*1000000</f>
        <v>30895.691290824259</v>
      </c>
      <c r="T32" s="186">
        <f t="shared" ref="T32" si="22">I15/V15*1000000</f>
        <v>15206.896666666666</v>
      </c>
      <c r="U32" s="186">
        <f t="shared" ref="U32" si="23">J15/W15*1000000</f>
        <v>1915.8787548922055</v>
      </c>
    </row>
    <row r="33" spans="1:37">
      <c r="F33" s="42"/>
      <c r="G33" s="113"/>
      <c r="H33" s="113"/>
      <c r="I33" s="113"/>
      <c r="J33" s="113"/>
    </row>
    <row r="34" spans="1:37" ht="13">
      <c r="A34" s="22"/>
      <c r="I34" s="114"/>
    </row>
    <row r="36" spans="1:37">
      <c r="P36" s="115"/>
      <c r="Q36" s="115"/>
      <c r="R36" s="115"/>
      <c r="S36" s="115"/>
      <c r="T36" s="115"/>
      <c r="U36" s="115"/>
      <c r="V36" s="115"/>
      <c r="W36" s="115"/>
      <c r="X36" s="115"/>
      <c r="Y36" s="115"/>
      <c r="Z36" s="115"/>
      <c r="AA36" s="115"/>
      <c r="AB36" s="115"/>
      <c r="AC36" s="115"/>
      <c r="AD36" s="115"/>
      <c r="AE36" s="115"/>
      <c r="AF36" s="115"/>
      <c r="AG36" s="115"/>
      <c r="AH36" s="115"/>
      <c r="AI36" s="115"/>
      <c r="AJ36" s="115"/>
      <c r="AK36" s="115"/>
    </row>
    <row r="37" spans="1:37">
      <c r="P37" s="115"/>
      <c r="Q37" s="115"/>
      <c r="R37" s="115"/>
      <c r="S37" s="115"/>
      <c r="T37" s="115"/>
      <c r="U37" s="115"/>
      <c r="V37" s="115"/>
      <c r="W37" s="115"/>
      <c r="X37" s="115"/>
      <c r="Y37" s="115"/>
      <c r="Z37" s="115"/>
      <c r="AA37" s="115"/>
      <c r="AB37" s="115"/>
      <c r="AC37" s="115"/>
      <c r="AD37" s="115"/>
      <c r="AE37" s="115"/>
      <c r="AF37" s="115"/>
      <c r="AG37" s="115"/>
      <c r="AH37" s="115"/>
      <c r="AI37" s="115"/>
      <c r="AJ37" s="115"/>
      <c r="AK37" s="115"/>
    </row>
    <row r="38" spans="1:37">
      <c r="P38" s="115"/>
      <c r="Q38" s="115"/>
      <c r="R38" s="115"/>
      <c r="S38" s="115"/>
      <c r="T38" s="115"/>
      <c r="U38" s="115"/>
      <c r="V38" s="115"/>
      <c r="W38" s="115"/>
      <c r="X38" s="115"/>
      <c r="Y38" s="115"/>
      <c r="Z38" s="115"/>
      <c r="AA38" s="115"/>
      <c r="AB38" s="115"/>
      <c r="AC38" s="115"/>
      <c r="AD38" s="115"/>
      <c r="AE38" s="115"/>
      <c r="AF38" s="115"/>
      <c r="AG38" s="115"/>
      <c r="AH38" s="115"/>
      <c r="AI38" s="115"/>
      <c r="AJ38" s="115"/>
      <c r="AK38" s="115"/>
    </row>
    <row r="39" spans="1:37">
      <c r="P39" s="115"/>
      <c r="Q39" s="115"/>
      <c r="R39" s="115"/>
      <c r="S39" s="115"/>
      <c r="T39" s="115"/>
      <c r="U39" s="115"/>
      <c r="V39" s="115"/>
      <c r="W39" s="115"/>
      <c r="X39" s="115"/>
      <c r="Y39" s="115"/>
      <c r="Z39" s="115"/>
      <c r="AA39" s="115"/>
      <c r="AB39" s="115"/>
      <c r="AC39" s="115"/>
      <c r="AD39" s="115"/>
      <c r="AE39" s="115"/>
      <c r="AF39" s="115"/>
      <c r="AG39" s="115"/>
      <c r="AH39" s="115"/>
      <c r="AI39" s="115"/>
      <c r="AJ39" s="115"/>
      <c r="AK39" s="115"/>
    </row>
    <row r="40" spans="1:37">
      <c r="P40" s="115"/>
      <c r="Q40" s="115"/>
      <c r="R40" s="115"/>
      <c r="S40" s="115"/>
      <c r="T40" s="115"/>
      <c r="U40" s="115"/>
      <c r="V40" s="115"/>
      <c r="W40" s="115"/>
      <c r="X40" s="115"/>
      <c r="Y40" s="115"/>
      <c r="Z40" s="115"/>
      <c r="AA40" s="115"/>
      <c r="AB40" s="115"/>
      <c r="AC40" s="115"/>
      <c r="AD40" s="115"/>
      <c r="AE40" s="115"/>
      <c r="AF40" s="115"/>
      <c r="AG40" s="115"/>
      <c r="AH40" s="115"/>
      <c r="AI40" s="115"/>
      <c r="AJ40" s="115"/>
      <c r="AK40" s="115"/>
    </row>
    <row r="41" spans="1:37">
      <c r="P41" s="115"/>
      <c r="Q41" s="115"/>
      <c r="R41" s="115"/>
      <c r="S41" s="115"/>
      <c r="T41" s="115"/>
      <c r="U41" s="115"/>
      <c r="V41" s="115"/>
      <c r="W41" s="115"/>
      <c r="X41" s="115"/>
      <c r="Y41" s="115"/>
      <c r="Z41" s="115"/>
      <c r="AA41" s="115"/>
      <c r="AB41" s="115"/>
      <c r="AC41" s="115"/>
      <c r="AD41" s="115"/>
      <c r="AE41" s="115"/>
      <c r="AF41" s="115"/>
      <c r="AG41" s="115"/>
      <c r="AH41" s="115"/>
      <c r="AI41" s="115"/>
      <c r="AJ41" s="115"/>
      <c r="AK41" s="115"/>
    </row>
    <row r="42" spans="1:37">
      <c r="P42" s="115"/>
      <c r="Q42" s="115"/>
      <c r="R42" s="115"/>
      <c r="S42" s="115"/>
      <c r="T42" s="115"/>
      <c r="U42" s="115"/>
      <c r="V42" s="115"/>
      <c r="W42" s="115"/>
      <c r="X42" s="115"/>
      <c r="Y42" s="115"/>
      <c r="Z42" s="115"/>
      <c r="AA42" s="115"/>
      <c r="AB42" s="115"/>
      <c r="AC42" s="115"/>
      <c r="AD42" s="115"/>
      <c r="AE42" s="115"/>
      <c r="AF42" s="115"/>
      <c r="AG42" s="115"/>
      <c r="AH42" s="115"/>
      <c r="AI42" s="115"/>
      <c r="AJ42" s="115"/>
      <c r="AK42" s="115"/>
    </row>
    <row r="43" spans="1:37">
      <c r="P43" s="115"/>
      <c r="Q43" s="115"/>
      <c r="R43" s="115"/>
      <c r="S43" s="115"/>
      <c r="T43" s="115"/>
      <c r="U43" s="115"/>
      <c r="V43" s="115"/>
      <c r="W43" s="115"/>
      <c r="X43" s="115"/>
      <c r="Y43" s="115"/>
      <c r="Z43" s="115"/>
      <c r="AA43" s="115"/>
      <c r="AB43" s="115"/>
      <c r="AC43" s="115"/>
      <c r="AD43" s="115"/>
      <c r="AE43" s="115"/>
      <c r="AF43" s="115"/>
      <c r="AG43" s="115"/>
      <c r="AH43" s="115"/>
      <c r="AI43" s="115"/>
      <c r="AJ43" s="115"/>
      <c r="AK43" s="115"/>
    </row>
    <row r="44" spans="1:37">
      <c r="P44" s="115"/>
      <c r="Q44" s="115"/>
      <c r="R44" s="115"/>
      <c r="S44" s="115"/>
      <c r="T44" s="115"/>
      <c r="U44" s="115"/>
      <c r="V44" s="115"/>
      <c r="W44" s="115"/>
      <c r="X44" s="115"/>
      <c r="Y44" s="115"/>
      <c r="Z44" s="115"/>
      <c r="AA44" s="115"/>
      <c r="AB44" s="115"/>
      <c r="AC44" s="115"/>
      <c r="AD44" s="115"/>
      <c r="AE44" s="115"/>
      <c r="AF44" s="115"/>
      <c r="AG44" s="115"/>
      <c r="AH44" s="115"/>
      <c r="AI44" s="115"/>
      <c r="AJ44" s="115"/>
      <c r="AK44" s="115"/>
    </row>
    <row r="45" spans="1:37">
      <c r="P45" s="115"/>
      <c r="Q45" s="115"/>
      <c r="R45" s="115"/>
      <c r="S45" s="115"/>
      <c r="T45" s="115"/>
      <c r="U45" s="115"/>
      <c r="V45" s="115"/>
      <c r="W45" s="115"/>
      <c r="X45" s="115"/>
      <c r="Y45" s="115"/>
      <c r="Z45" s="115"/>
      <c r="AA45" s="115"/>
      <c r="AB45" s="115"/>
      <c r="AC45" s="115"/>
      <c r="AD45" s="115"/>
      <c r="AE45" s="115"/>
      <c r="AF45" s="115"/>
      <c r="AG45" s="115"/>
      <c r="AH45" s="115"/>
      <c r="AI45" s="115"/>
      <c r="AJ45" s="115"/>
      <c r="AK45" s="115"/>
    </row>
    <row r="46" spans="1:37">
      <c r="P46" s="115"/>
      <c r="Q46" s="115"/>
      <c r="R46" s="115"/>
      <c r="S46" s="115"/>
      <c r="T46" s="115"/>
      <c r="U46" s="115"/>
      <c r="V46" s="115"/>
      <c r="W46" s="115"/>
      <c r="X46" s="115"/>
      <c r="Y46" s="115"/>
      <c r="Z46" s="115"/>
      <c r="AA46" s="115"/>
      <c r="AB46" s="115"/>
      <c r="AC46" s="115"/>
      <c r="AD46" s="115"/>
      <c r="AE46" s="115"/>
      <c r="AF46" s="115"/>
      <c r="AG46" s="115"/>
      <c r="AH46" s="115"/>
      <c r="AI46" s="115"/>
      <c r="AJ46" s="115"/>
      <c r="AK46" s="115"/>
    </row>
    <row r="52" spans="7:7">
      <c r="G52" s="42"/>
    </row>
    <row r="54" spans="7:7">
      <c r="G54" s="73"/>
    </row>
    <row r="85" spans="7:7">
      <c r="G85" s="50"/>
    </row>
    <row r="98" spans="7:7">
      <c r="G98" s="50"/>
    </row>
  </sheetData>
  <mergeCells count="1">
    <mergeCell ref="M1:N1"/>
  </mergeCells>
  <phoneticPr fontId="0" type="noConversion"/>
  <hyperlinks>
    <hyperlink ref="M1:N1" location="Contents!A1" display="Back to Contents" xr:uid="{00000000-0004-0000-0C00-000000000000}"/>
  </hyperlinks>
  <pageMargins left="0.75" right="0.75" top="1" bottom="1" header="0.5" footer="0.5"/>
  <pageSetup paperSize="9" orientation="portrait" horizontalDpi="4294967292" verticalDpi="4294967292"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39997558519241921"/>
  </sheetPr>
  <dimension ref="A1:S57"/>
  <sheetViews>
    <sheetView zoomScaleNormal="100" workbookViewId="0"/>
  </sheetViews>
  <sheetFormatPr defaultColWidth="8.81640625" defaultRowHeight="12.5"/>
  <cols>
    <col min="1" max="1" width="8.81640625" customWidth="1"/>
    <col min="2" max="2" width="10" customWidth="1"/>
    <col min="3" max="3" width="11.453125" customWidth="1"/>
    <col min="4" max="4" width="9.453125" bestFit="1" customWidth="1"/>
  </cols>
  <sheetData>
    <row r="1" spans="1:12" ht="26.25" customHeight="1">
      <c r="B1" s="17" t="s">
        <v>292</v>
      </c>
      <c r="C1" s="17"/>
      <c r="D1" s="17"/>
      <c r="E1" s="17"/>
      <c r="F1" s="17"/>
      <c r="G1" s="17"/>
      <c r="K1" s="207" t="s">
        <v>79</v>
      </c>
      <c r="L1" s="207"/>
    </row>
    <row r="2" spans="1:12" ht="20">
      <c r="A2" s="58" t="s">
        <v>207</v>
      </c>
      <c r="B2" s="58" t="s">
        <v>81</v>
      </c>
      <c r="C2" s="58" t="s">
        <v>82</v>
      </c>
      <c r="D2" s="58" t="s">
        <v>293</v>
      </c>
    </row>
    <row r="3" spans="1:12">
      <c r="A3" s="42" t="s">
        <v>294</v>
      </c>
      <c r="B3" s="186">
        <v>2532.1996509999999</v>
      </c>
      <c r="C3" s="186">
        <v>3161.6054749999998</v>
      </c>
      <c r="D3" s="186">
        <v>2615.189112</v>
      </c>
    </row>
    <row r="4" spans="1:12">
      <c r="A4" s="42" t="s">
        <v>295</v>
      </c>
      <c r="B4" s="186">
        <v>2629.8959399999999</v>
      </c>
      <c r="C4" s="186">
        <v>3681.5022210000002</v>
      </c>
      <c r="D4" s="186">
        <v>2759.2931840000001</v>
      </c>
    </row>
    <row r="5" spans="1:12">
      <c r="A5" s="42" t="s">
        <v>263</v>
      </c>
      <c r="B5" s="186">
        <v>1284.6641729999999</v>
      </c>
      <c r="C5" s="186">
        <v>3737.49397</v>
      </c>
      <c r="D5" s="186">
        <v>1867.8920929999999</v>
      </c>
    </row>
    <row r="6" spans="1:12">
      <c r="A6" s="42">
        <v>1980</v>
      </c>
      <c r="B6" s="186">
        <v>2794.2786299999998</v>
      </c>
      <c r="C6" s="186">
        <v>4139.325425</v>
      </c>
      <c r="D6" s="186">
        <v>3163.1981179999998</v>
      </c>
    </row>
    <row r="7" spans="1:12">
      <c r="A7" s="42">
        <v>1981</v>
      </c>
      <c r="B7" s="186">
        <v>2728.8198710000001</v>
      </c>
      <c r="C7" s="186">
        <v>4659.7683749999997</v>
      </c>
      <c r="D7" s="186">
        <v>3291.9949940000001</v>
      </c>
    </row>
    <row r="8" spans="1:12">
      <c r="A8" s="42">
        <v>1982</v>
      </c>
      <c r="B8" s="186">
        <v>2530.3582110000002</v>
      </c>
      <c r="C8" s="186">
        <v>4075.3228570000001</v>
      </c>
      <c r="D8" s="186">
        <v>3048.029215</v>
      </c>
    </row>
    <row r="9" spans="1:12">
      <c r="A9" s="42">
        <v>1983</v>
      </c>
      <c r="B9" s="186">
        <v>2316.882822</v>
      </c>
      <c r="C9" s="186">
        <v>3417.6926790000002</v>
      </c>
      <c r="D9" s="186">
        <v>2695.7284479999998</v>
      </c>
    </row>
    <row r="10" spans="1:12">
      <c r="A10" s="42">
        <v>1984</v>
      </c>
      <c r="B10" s="186">
        <v>2368.943417</v>
      </c>
      <c r="C10" s="186">
        <v>3614.0859110000001</v>
      </c>
      <c r="D10" s="186">
        <v>2811.5568149999999</v>
      </c>
    </row>
    <row r="11" spans="1:12">
      <c r="A11" s="42">
        <v>1985</v>
      </c>
      <c r="B11" s="186">
        <v>2421.1399769999998</v>
      </c>
      <c r="C11" s="186">
        <v>3396.1879490000001</v>
      </c>
      <c r="D11" s="186">
        <v>2770.0759250000001</v>
      </c>
    </row>
    <row r="12" spans="1:12">
      <c r="A12" s="42">
        <v>1986</v>
      </c>
      <c r="B12" s="186">
        <v>2488.8597220000001</v>
      </c>
      <c r="C12" s="186">
        <v>3630.187852</v>
      </c>
      <c r="D12" s="186">
        <v>2836.7243819999999</v>
      </c>
    </row>
    <row r="13" spans="1:12">
      <c r="A13" s="42">
        <v>1987</v>
      </c>
      <c r="B13" s="186">
        <v>2730.2939999999999</v>
      </c>
      <c r="C13" s="186">
        <v>3450.9742740000002</v>
      </c>
      <c r="D13" s="186">
        <v>2930.8878629999999</v>
      </c>
    </row>
    <row r="14" spans="1:12">
      <c r="A14" s="42">
        <v>1988</v>
      </c>
      <c r="B14" s="186">
        <v>2872.0153030000001</v>
      </c>
      <c r="C14" s="186">
        <v>3775.0093440000001</v>
      </c>
      <c r="D14" s="186">
        <v>3152.4979790000002</v>
      </c>
    </row>
    <row r="15" spans="1:12">
      <c r="A15" s="42">
        <v>1989</v>
      </c>
      <c r="B15" s="186">
        <v>3166.2780680000001</v>
      </c>
      <c r="C15" s="186">
        <v>4069.9371489999999</v>
      </c>
      <c r="D15" s="186">
        <v>3429.233686</v>
      </c>
    </row>
    <row r="16" spans="1:12">
      <c r="A16" s="42">
        <v>1990</v>
      </c>
      <c r="B16" s="186">
        <v>3510.921926</v>
      </c>
      <c r="C16" s="186">
        <v>4225.2540520000002</v>
      </c>
      <c r="D16" s="186">
        <v>3718.3238710000001</v>
      </c>
    </row>
    <row r="17" spans="1:4">
      <c r="A17" s="42">
        <v>1991</v>
      </c>
      <c r="B17" s="186">
        <v>3868.0780580000001</v>
      </c>
      <c r="C17" s="186">
        <v>4350.7387319999998</v>
      </c>
      <c r="D17" s="186">
        <v>3988.6063370000002</v>
      </c>
    </row>
    <row r="18" spans="1:4">
      <c r="A18" s="42">
        <v>1992</v>
      </c>
      <c r="B18" s="186">
        <v>4101.5844450000004</v>
      </c>
      <c r="C18" s="186">
        <v>4688.1331980000004</v>
      </c>
      <c r="D18" s="186">
        <v>4236.8679419999999</v>
      </c>
    </row>
    <row r="19" spans="1:4">
      <c r="A19" s="42">
        <v>1993</v>
      </c>
      <c r="B19" s="186">
        <v>4474.5435420000003</v>
      </c>
      <c r="C19" s="186">
        <v>4705.4754039999998</v>
      </c>
      <c r="D19" s="186">
        <v>4528.5596990000004</v>
      </c>
    </row>
    <row r="20" spans="1:4">
      <c r="A20" s="42">
        <v>1994</v>
      </c>
      <c r="B20" s="186">
        <v>4835.9563520000002</v>
      </c>
      <c r="C20" s="186">
        <v>4964.4116770000001</v>
      </c>
      <c r="D20" s="186">
        <v>4862.0497130000003</v>
      </c>
    </row>
    <row r="21" spans="1:4">
      <c r="A21" s="42">
        <v>1995</v>
      </c>
      <c r="B21" s="186">
        <v>5318.7069979999997</v>
      </c>
      <c r="C21" s="186">
        <v>5407.1130649999996</v>
      </c>
      <c r="D21" s="186">
        <v>5333.6123230000003</v>
      </c>
    </row>
    <row r="22" spans="1:4">
      <c r="A22" s="42">
        <v>1996</v>
      </c>
      <c r="B22" s="186">
        <v>5948.5302449999999</v>
      </c>
      <c r="C22" s="186">
        <v>5617.1781099999998</v>
      </c>
      <c r="D22" s="186">
        <v>5907.0255999999999</v>
      </c>
    </row>
    <row r="23" spans="1:4">
      <c r="A23" s="42">
        <v>1997</v>
      </c>
      <c r="B23" s="186">
        <v>6188.1549299999997</v>
      </c>
      <c r="C23" s="186">
        <v>5807.3098609999997</v>
      </c>
      <c r="D23" s="186">
        <v>6135.2589129999997</v>
      </c>
    </row>
    <row r="24" spans="1:4">
      <c r="A24" s="42">
        <v>1998</v>
      </c>
      <c r="B24" s="186">
        <v>6299.4656459999997</v>
      </c>
      <c r="C24" s="186">
        <v>5961.5338599999995</v>
      </c>
      <c r="D24" s="186">
        <v>6253.2781850000001</v>
      </c>
    </row>
    <row r="25" spans="1:4">
      <c r="A25" s="42">
        <v>1999</v>
      </c>
      <c r="B25" s="186">
        <v>6512.5120500000003</v>
      </c>
      <c r="C25" s="186">
        <v>6475.5836959999997</v>
      </c>
      <c r="D25" s="186">
        <v>6506.4776810000003</v>
      </c>
    </row>
    <row r="26" spans="1:4">
      <c r="A26" s="42">
        <v>2000</v>
      </c>
      <c r="B26" s="186">
        <v>6686.0522229999997</v>
      </c>
      <c r="C26" s="186">
        <v>6653.6786959999999</v>
      </c>
      <c r="D26" s="186">
        <v>6681.1073729999998</v>
      </c>
    </row>
    <row r="27" spans="1:4">
      <c r="A27" s="42">
        <v>2001</v>
      </c>
      <c r="B27" s="186">
        <v>7040.3916129999998</v>
      </c>
      <c r="C27" s="186">
        <v>6747.7576870000003</v>
      </c>
      <c r="D27" s="186">
        <v>6997.4188610000001</v>
      </c>
    </row>
    <row r="28" spans="1:4">
      <c r="A28" s="42">
        <v>2002</v>
      </c>
      <c r="B28" s="186">
        <v>7178.0406199999998</v>
      </c>
      <c r="C28" s="186">
        <v>7099.5575959999996</v>
      </c>
      <c r="D28" s="186">
        <v>7166.3548229999997</v>
      </c>
    </row>
    <row r="29" spans="1:4">
      <c r="A29" s="42">
        <v>2003</v>
      </c>
      <c r="B29" s="186">
        <v>7287.9454210000004</v>
      </c>
      <c r="C29" s="186">
        <v>7295.271761</v>
      </c>
      <c r="D29" s="186">
        <v>7289.1489609999999</v>
      </c>
    </row>
    <row r="30" spans="1:4">
      <c r="A30" s="42">
        <v>2004</v>
      </c>
      <c r="B30" s="186">
        <v>8537.9935690000002</v>
      </c>
      <c r="C30" s="186">
        <v>7966.4780849999997</v>
      </c>
      <c r="D30" s="186">
        <v>8480.1257609999993</v>
      </c>
    </row>
    <row r="31" spans="1:4">
      <c r="A31" s="42">
        <v>2005</v>
      </c>
      <c r="B31" s="186">
        <v>8920.5294479999993</v>
      </c>
      <c r="C31" s="186">
        <v>9180.3065029999998</v>
      </c>
      <c r="D31" s="186">
        <v>8943.4325709999994</v>
      </c>
    </row>
    <row r="32" spans="1:4">
      <c r="A32" s="42">
        <v>2006</v>
      </c>
      <c r="B32" s="186">
        <v>9180.1978190000009</v>
      </c>
      <c r="C32" s="186">
        <v>9742.1356329999999</v>
      </c>
      <c r="D32" s="186">
        <v>9228.3455209999993</v>
      </c>
    </row>
    <row r="33" spans="1:4">
      <c r="A33" s="42">
        <v>2007</v>
      </c>
      <c r="B33" s="186">
        <v>9437.8458580000006</v>
      </c>
      <c r="C33" s="186">
        <v>10580.577590000001</v>
      </c>
      <c r="D33" s="186">
        <v>9546.6604459999999</v>
      </c>
    </row>
    <row r="34" spans="1:4">
      <c r="A34" s="42">
        <v>2008</v>
      </c>
      <c r="B34" s="186">
        <v>9663.6668489999993</v>
      </c>
      <c r="C34" s="186">
        <v>11035.136930000001</v>
      </c>
      <c r="D34" s="186">
        <v>9825.8203259999991</v>
      </c>
    </row>
    <row r="35" spans="1:4">
      <c r="A35" s="42">
        <v>2009</v>
      </c>
      <c r="B35" s="186">
        <v>9941.0422330000001</v>
      </c>
      <c r="C35" s="186">
        <v>11517.909110000001</v>
      </c>
      <c r="D35" s="186">
        <v>10115.926820000001</v>
      </c>
    </row>
    <row r="36" spans="1:4">
      <c r="A36" s="42">
        <v>2010</v>
      </c>
      <c r="B36" s="186">
        <v>10092.864579999999</v>
      </c>
      <c r="C36" s="186">
        <v>11914.45948</v>
      </c>
      <c r="D36" s="186">
        <v>10312.0137</v>
      </c>
    </row>
    <row r="37" spans="1:4">
      <c r="A37" s="42">
        <v>2011</v>
      </c>
      <c r="B37" s="186">
        <v>10208.506509999999</v>
      </c>
      <c r="C37" s="186">
        <v>12445.867389999999</v>
      </c>
      <c r="D37" s="186">
        <v>10528.86866</v>
      </c>
    </row>
    <row r="38" spans="1:4">
      <c r="A38" s="42">
        <v>2012</v>
      </c>
      <c r="B38" s="186">
        <v>10325.845799999999</v>
      </c>
      <c r="C38" s="186">
        <v>13284.520130000001</v>
      </c>
      <c r="D38" s="186">
        <v>10724.7318</v>
      </c>
    </row>
    <row r="39" spans="1:4">
      <c r="A39" s="42">
        <v>2013</v>
      </c>
      <c r="B39" s="186">
        <v>10684.52989</v>
      </c>
      <c r="C39" s="186">
        <v>13871.5607</v>
      </c>
      <c r="D39" s="186">
        <v>11215.82914</v>
      </c>
    </row>
    <row r="40" spans="1:4">
      <c r="A40" s="42">
        <v>2014</v>
      </c>
      <c r="B40" s="186">
        <v>10774.08231</v>
      </c>
      <c r="C40" s="186">
        <v>14525.458559999999</v>
      </c>
      <c r="D40" s="186">
        <v>11464.433419999999</v>
      </c>
    </row>
    <row r="41" spans="1:4">
      <c r="A41" s="42">
        <v>2015</v>
      </c>
      <c r="B41" s="186">
        <v>11172.356379999999</v>
      </c>
      <c r="C41" s="186">
        <v>15083.12059</v>
      </c>
      <c r="D41" s="186">
        <v>11977.78406</v>
      </c>
    </row>
    <row r="42" spans="1:4">
      <c r="A42" s="42">
        <v>2016</v>
      </c>
      <c r="B42" s="186">
        <v>11171.809149999999</v>
      </c>
      <c r="C42" s="186">
        <v>15776.688039999999</v>
      </c>
      <c r="D42" s="186">
        <v>12252.81487</v>
      </c>
    </row>
    <row r="43" spans="1:4">
      <c r="A43" s="42">
        <v>2017</v>
      </c>
      <c r="B43" s="186">
        <v>11463.30867</v>
      </c>
      <c r="C43" s="186">
        <v>16647.587370000001</v>
      </c>
      <c r="D43" s="186">
        <v>12788.538399999999</v>
      </c>
    </row>
    <row r="44" spans="1:4">
      <c r="A44" s="42">
        <v>2018</v>
      </c>
      <c r="B44" s="186">
        <v>11618.791450000001</v>
      </c>
      <c r="C44" s="186">
        <v>17516.799630000001</v>
      </c>
      <c r="D44" s="186">
        <v>13311.004639999999</v>
      </c>
    </row>
    <row r="45" spans="1:4">
      <c r="A45" s="42">
        <v>2019</v>
      </c>
      <c r="B45" s="186">
        <v>12624.403410000001</v>
      </c>
      <c r="C45" s="186">
        <v>18465.604920000002</v>
      </c>
      <c r="D45" s="186">
        <v>14350.80881</v>
      </c>
    </row>
    <row r="46" spans="1:4">
      <c r="A46" s="42">
        <v>2020</v>
      </c>
      <c r="B46" s="186">
        <v>12581.60564</v>
      </c>
      <c r="C46" s="186">
        <v>19481.907709999999</v>
      </c>
      <c r="D46" s="186">
        <v>14581.428599999999</v>
      </c>
    </row>
    <row r="47" spans="1:4">
      <c r="A47" s="42">
        <v>2021</v>
      </c>
      <c r="B47" s="186">
        <v>13236.88553</v>
      </c>
      <c r="C47" s="186">
        <v>20390.760439999998</v>
      </c>
      <c r="D47" s="186">
        <v>15347.904979999999</v>
      </c>
    </row>
    <row r="48" spans="1:4">
      <c r="A48" s="42">
        <v>2022</v>
      </c>
      <c r="B48" s="186">
        <v>14485.94865</v>
      </c>
      <c r="C48" s="186">
        <v>20119.650829999999</v>
      </c>
      <c r="D48" s="186">
        <v>15958.41293</v>
      </c>
    </row>
    <row r="49" spans="1:19">
      <c r="A49" s="42">
        <v>2023</v>
      </c>
      <c r="B49" s="186">
        <v>8951.7423490000001</v>
      </c>
      <c r="C49" s="186">
        <v>15326.60138</v>
      </c>
      <c r="D49" s="186">
        <v>10335.26693</v>
      </c>
    </row>
    <row r="50" spans="1:19">
      <c r="A50" s="42"/>
      <c r="B50" s="65"/>
      <c r="C50" s="65"/>
      <c r="D50" s="65"/>
    </row>
    <row r="51" spans="1:19">
      <c r="A51" s="98" t="s">
        <v>296</v>
      </c>
      <c r="B51" s="40"/>
      <c r="C51" s="40"/>
      <c r="D51" s="40"/>
      <c r="E51" s="40"/>
      <c r="F51" s="40"/>
      <c r="G51" s="40"/>
      <c r="H51" s="40"/>
      <c r="I51" s="40"/>
      <c r="J51" s="40"/>
      <c r="K51" s="40"/>
      <c r="L51" s="40"/>
      <c r="M51" s="40"/>
      <c r="N51" s="40"/>
      <c r="O51" s="40"/>
      <c r="P51" s="40"/>
      <c r="Q51" s="40"/>
      <c r="R51" s="40"/>
      <c r="S51" s="40"/>
    </row>
    <row r="52" spans="1:19">
      <c r="B52" s="3"/>
      <c r="C52" s="3"/>
      <c r="D52" s="3"/>
    </row>
    <row r="53" spans="1:19">
      <c r="B53" s="3"/>
      <c r="C53" s="3"/>
      <c r="D53" s="3"/>
    </row>
    <row r="54" spans="1:19">
      <c r="B54" s="3"/>
      <c r="C54" s="3"/>
      <c r="D54" s="3"/>
    </row>
    <row r="55" spans="1:19">
      <c r="B55" s="3"/>
      <c r="C55" s="3"/>
      <c r="D55" s="3"/>
    </row>
    <row r="56" spans="1:19">
      <c r="B56" s="3"/>
      <c r="C56" s="3"/>
      <c r="D56" s="3"/>
    </row>
    <row r="57" spans="1:19">
      <c r="B57" s="3"/>
      <c r="C57" s="3"/>
      <c r="D57" s="3"/>
    </row>
  </sheetData>
  <mergeCells count="1">
    <mergeCell ref="K1:L1"/>
  </mergeCells>
  <phoneticPr fontId="0" type="noConversion"/>
  <hyperlinks>
    <hyperlink ref="K1:L1" location="Contents!A1" display="Back to Contents" xr:uid="{00000000-0004-0000-0D00-000000000000}"/>
  </hyperlinks>
  <pageMargins left="0.75" right="0.75" top="1" bottom="1" header="0.5" footer="0.5"/>
  <pageSetup paperSize="9" orientation="landscape" horizontalDpi="4294967292" verticalDpi="4294967292"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39997558519241921"/>
  </sheetPr>
  <dimension ref="A1:Y27"/>
  <sheetViews>
    <sheetView workbookViewId="0"/>
  </sheetViews>
  <sheetFormatPr defaultColWidth="8.81640625" defaultRowHeight="12.5"/>
  <cols>
    <col min="1" max="1" width="8.81640625" customWidth="1"/>
    <col min="2" max="6" width="7.7265625" customWidth="1"/>
    <col min="7" max="7" width="8.7265625" customWidth="1"/>
    <col min="8" max="11" width="7.7265625" customWidth="1"/>
    <col min="12" max="12" width="5.453125" customWidth="1"/>
    <col min="13" max="13" width="8.7265625" customWidth="1"/>
    <col min="14" max="14" width="10.26953125" customWidth="1"/>
    <col min="15" max="15" width="5.7265625" customWidth="1"/>
    <col min="16" max="20" width="7.7265625" customWidth="1"/>
    <col min="21" max="21" width="5.7265625" customWidth="1"/>
    <col min="22" max="22" width="10.26953125" bestFit="1" customWidth="1"/>
    <col min="27" max="28" width="8.81640625" bestFit="1" customWidth="1"/>
  </cols>
  <sheetData>
    <row r="1" spans="1:25" ht="24" customHeight="1">
      <c r="B1" s="17" t="s">
        <v>297</v>
      </c>
      <c r="C1" s="13"/>
      <c r="D1" s="13"/>
      <c r="E1" s="13"/>
      <c r="F1" s="13"/>
      <c r="G1" s="13"/>
      <c r="H1" s="13"/>
      <c r="I1" s="214" t="s">
        <v>79</v>
      </c>
      <c r="J1" s="214"/>
      <c r="K1" s="13"/>
      <c r="M1" s="17" t="s">
        <v>174</v>
      </c>
      <c r="N1" s="13"/>
      <c r="P1" s="17" t="s">
        <v>298</v>
      </c>
      <c r="Q1" s="13"/>
      <c r="R1" s="13"/>
      <c r="S1" s="13"/>
      <c r="T1" s="13"/>
      <c r="V1" s="13"/>
      <c r="W1" s="13"/>
      <c r="X1" s="13"/>
      <c r="Y1" s="13"/>
    </row>
    <row r="2" spans="1:25" ht="20">
      <c r="A2" s="67" t="s">
        <v>299</v>
      </c>
      <c r="B2" s="67" t="s">
        <v>300</v>
      </c>
      <c r="C2" s="67" t="s">
        <v>301</v>
      </c>
      <c r="D2" s="67" t="s">
        <v>302</v>
      </c>
      <c r="E2" s="67" t="s">
        <v>303</v>
      </c>
      <c r="F2" s="67" t="s">
        <v>304</v>
      </c>
      <c r="G2" s="67" t="s">
        <v>305</v>
      </c>
      <c r="H2" s="67" t="s">
        <v>306</v>
      </c>
      <c r="I2" s="67" t="s">
        <v>307</v>
      </c>
      <c r="J2" s="67" t="s">
        <v>308</v>
      </c>
      <c r="K2" s="67" t="s">
        <v>309</v>
      </c>
      <c r="L2" s="67"/>
      <c r="M2" s="68" t="s">
        <v>310</v>
      </c>
      <c r="N2" s="68" t="s">
        <v>311</v>
      </c>
      <c r="O2" s="67"/>
      <c r="P2" s="67" t="s">
        <v>312</v>
      </c>
      <c r="Q2" s="67" t="s">
        <v>313</v>
      </c>
      <c r="R2" s="67" t="s">
        <v>314</v>
      </c>
      <c r="S2" s="67" t="s">
        <v>315</v>
      </c>
      <c r="T2" s="67" t="s">
        <v>316</v>
      </c>
      <c r="U2" s="67"/>
      <c r="V2" s="58" t="s">
        <v>317</v>
      </c>
      <c r="W2" s="58" t="s">
        <v>318</v>
      </c>
      <c r="X2" s="58" t="s">
        <v>319</v>
      </c>
      <c r="Y2" s="58" t="s">
        <v>320</v>
      </c>
    </row>
    <row r="3" spans="1:25" ht="21" customHeight="1">
      <c r="A3" s="49">
        <v>2001</v>
      </c>
      <c r="B3" s="66">
        <v>3116.5510169999998</v>
      </c>
      <c r="C3" s="66">
        <v>6166.8064972000002</v>
      </c>
      <c r="D3" s="66">
        <v>10220.749454000001</v>
      </c>
      <c r="E3" s="66">
        <v>5875.3459143999999</v>
      </c>
      <c r="F3" s="66">
        <v>3418.4434326000001</v>
      </c>
      <c r="G3" s="66">
        <v>129.24648783999999</v>
      </c>
      <c r="H3" s="66">
        <v>198.23511772000001</v>
      </c>
      <c r="I3" s="66">
        <v>931.73829047000004</v>
      </c>
      <c r="J3" s="66">
        <v>3463.7660962</v>
      </c>
      <c r="K3" s="66">
        <v>456.09511934</v>
      </c>
      <c r="L3" s="63"/>
      <c r="M3" s="172">
        <v>1743858</v>
      </c>
      <c r="N3" s="172">
        <v>931530</v>
      </c>
      <c r="O3" s="63"/>
      <c r="P3" s="63">
        <f t="shared" ref="P3:P20" si="0">B3+G3</f>
        <v>3245.7975048399999</v>
      </c>
      <c r="Q3" s="63">
        <f t="shared" ref="Q3:Q20" si="1">C3+H3</f>
        <v>6365.04161492</v>
      </c>
      <c r="R3" s="63">
        <f t="shared" ref="R3:R20" si="2">D3+I3</f>
        <v>11152.487744470001</v>
      </c>
      <c r="S3" s="63">
        <f t="shared" ref="S3:S20" si="3">E3+J3</f>
        <v>9339.1120105999998</v>
      </c>
      <c r="T3" s="63">
        <f t="shared" ref="T3:T20" si="4">F3+K3</f>
        <v>3874.5385519400002</v>
      </c>
      <c r="U3" s="63"/>
      <c r="V3" s="45">
        <f t="shared" ref="V3:V20" si="5">SUM(P3:R3)</f>
        <v>20763.326864230003</v>
      </c>
      <c r="W3" s="45">
        <f t="shared" ref="W3:W20" si="6">SUM(S3:T3)</f>
        <v>13213.65056254</v>
      </c>
      <c r="X3" s="69">
        <f>W3/(V3+W3)</f>
        <v>0.38890011894139653</v>
      </c>
      <c r="Y3" s="69">
        <f t="shared" ref="Y3:Y25" si="7">N3/(M3+N3)</f>
        <v>0.34818501092178034</v>
      </c>
    </row>
    <row r="4" spans="1:25">
      <c r="A4" s="49">
        <v>2002</v>
      </c>
      <c r="B4" s="66">
        <v>2907.5802843000001</v>
      </c>
      <c r="C4" s="66">
        <v>6279.3873703999998</v>
      </c>
      <c r="D4" s="66">
        <v>10644.538914000001</v>
      </c>
      <c r="E4" s="66">
        <v>6280.4160012000002</v>
      </c>
      <c r="F4" s="66">
        <v>3682.349389</v>
      </c>
      <c r="G4" s="66">
        <v>116.82792886</v>
      </c>
      <c r="H4" s="66">
        <v>172.48243528</v>
      </c>
      <c r="I4" s="66">
        <v>874.47954770000001</v>
      </c>
      <c r="J4" s="66">
        <v>3627.1233962000001</v>
      </c>
      <c r="K4" s="66">
        <v>485.66843698999998</v>
      </c>
      <c r="L4" s="63"/>
      <c r="M4" s="172">
        <v>1772969</v>
      </c>
      <c r="N4" s="172">
        <v>1001004</v>
      </c>
      <c r="O4" s="63"/>
      <c r="P4" s="63">
        <f t="shared" si="0"/>
        <v>3024.4082131600003</v>
      </c>
      <c r="Q4" s="63">
        <f t="shared" si="1"/>
        <v>6451.8698056799994</v>
      </c>
      <c r="R4" s="63">
        <f t="shared" si="2"/>
        <v>11519.018461700001</v>
      </c>
      <c r="S4" s="63">
        <f t="shared" si="3"/>
        <v>9907.5393973999999</v>
      </c>
      <c r="T4" s="63">
        <f t="shared" si="4"/>
        <v>4168.0178259900003</v>
      </c>
      <c r="U4" s="63"/>
      <c r="V4" s="45">
        <f t="shared" si="5"/>
        <v>20995.296480540001</v>
      </c>
      <c r="W4" s="45">
        <f t="shared" si="6"/>
        <v>14075.55722339</v>
      </c>
      <c r="X4" s="69">
        <f t="shared" ref="X4:X9" si="8">W4/(V4+W4)</f>
        <v>0.40134629576504177</v>
      </c>
      <c r="Y4" s="69">
        <f t="shared" si="7"/>
        <v>0.3608557112848611</v>
      </c>
    </row>
    <row r="5" spans="1:25">
      <c r="A5" s="49">
        <v>2003</v>
      </c>
      <c r="B5" s="66">
        <v>2749.9462140000001</v>
      </c>
      <c r="C5" s="66">
        <v>6287.0989221999998</v>
      </c>
      <c r="D5" s="66">
        <v>10933.065967</v>
      </c>
      <c r="E5" s="66">
        <v>6770.3852569000001</v>
      </c>
      <c r="F5" s="66">
        <v>4005.4440552999999</v>
      </c>
      <c r="G5" s="66">
        <v>104.48354132999999</v>
      </c>
      <c r="H5" s="66">
        <v>156.10170954</v>
      </c>
      <c r="I5" s="66">
        <v>812.16813059000003</v>
      </c>
      <c r="J5" s="66">
        <v>3814.958435</v>
      </c>
      <c r="K5" s="66">
        <v>504.71481970000002</v>
      </c>
      <c r="L5" s="63"/>
      <c r="M5" s="172">
        <v>1810094</v>
      </c>
      <c r="N5" s="172">
        <v>1087551</v>
      </c>
      <c r="O5" s="63"/>
      <c r="P5" s="63">
        <f t="shared" si="0"/>
        <v>2854.4297553300003</v>
      </c>
      <c r="Q5" s="63">
        <f t="shared" si="1"/>
        <v>6443.2006317400001</v>
      </c>
      <c r="R5" s="63">
        <f t="shared" si="2"/>
        <v>11745.234097590001</v>
      </c>
      <c r="S5" s="63">
        <f t="shared" si="3"/>
        <v>10585.3436919</v>
      </c>
      <c r="T5" s="63">
        <f t="shared" si="4"/>
        <v>4510.1588750000001</v>
      </c>
      <c r="U5" s="63"/>
      <c r="V5" s="45">
        <f t="shared" si="5"/>
        <v>21042.86448466</v>
      </c>
      <c r="W5" s="45">
        <f t="shared" si="6"/>
        <v>15095.502566899999</v>
      </c>
      <c r="X5" s="69">
        <f t="shared" si="8"/>
        <v>0.41771401971103633</v>
      </c>
      <c r="Y5" s="69">
        <f t="shared" si="7"/>
        <v>0.37532237385877154</v>
      </c>
    </row>
    <row r="6" spans="1:25">
      <c r="A6" s="49">
        <v>2004</v>
      </c>
      <c r="B6" s="66">
        <v>2582.956936</v>
      </c>
      <c r="C6" s="66">
        <v>6212.5594067000002</v>
      </c>
      <c r="D6" s="66">
        <v>11077.183249</v>
      </c>
      <c r="E6" s="66">
        <v>7297.1997191999999</v>
      </c>
      <c r="F6" s="66">
        <v>4370.6874877999999</v>
      </c>
      <c r="G6" s="66">
        <v>91.386272708000007</v>
      </c>
      <c r="H6" s="66">
        <v>135.01795798000001</v>
      </c>
      <c r="I6" s="66">
        <v>741.54635728000005</v>
      </c>
      <c r="J6" s="66">
        <v>4044.2609090999999</v>
      </c>
      <c r="K6" s="66">
        <v>544.90039737999996</v>
      </c>
      <c r="L6" s="63"/>
      <c r="M6" s="172">
        <v>1838402</v>
      </c>
      <c r="N6" s="172">
        <v>1181733</v>
      </c>
      <c r="O6" s="63"/>
      <c r="P6" s="63">
        <f t="shared" si="0"/>
        <v>2674.343208708</v>
      </c>
      <c r="Q6" s="63">
        <f t="shared" si="1"/>
        <v>6347.5773646799998</v>
      </c>
      <c r="R6" s="63">
        <f t="shared" si="2"/>
        <v>11818.72960628</v>
      </c>
      <c r="S6" s="63">
        <f t="shared" si="3"/>
        <v>11341.460628299999</v>
      </c>
      <c r="T6" s="63">
        <f t="shared" si="4"/>
        <v>4915.5878851799998</v>
      </c>
      <c r="U6" s="63"/>
      <c r="V6" s="45">
        <f t="shared" si="5"/>
        <v>20840.650179668002</v>
      </c>
      <c r="W6" s="45">
        <f t="shared" si="6"/>
        <v>16257.04851348</v>
      </c>
      <c r="X6" s="69">
        <f t="shared" si="8"/>
        <v>0.43822256059464676</v>
      </c>
      <c r="Y6" s="69">
        <f t="shared" si="7"/>
        <v>0.39128482667165543</v>
      </c>
    </row>
    <row r="7" spans="1:25">
      <c r="A7" s="49">
        <v>2005</v>
      </c>
      <c r="B7" s="66">
        <v>2425.2042895999998</v>
      </c>
      <c r="C7" s="66">
        <v>6039.5084333000004</v>
      </c>
      <c r="D7" s="66">
        <v>11028.042783999999</v>
      </c>
      <c r="E7" s="66">
        <v>7608.0461496999997</v>
      </c>
      <c r="F7" s="66">
        <v>4621.2303473000002</v>
      </c>
      <c r="G7" s="66">
        <v>81.923060300000003</v>
      </c>
      <c r="H7" s="66">
        <v>120.4759416</v>
      </c>
      <c r="I7" s="66">
        <v>669.36122848000002</v>
      </c>
      <c r="J7" s="66">
        <v>4211.8276174000002</v>
      </c>
      <c r="K7" s="66">
        <v>576.36830165000003</v>
      </c>
      <c r="L7" s="63"/>
      <c r="M7" s="172">
        <v>1868618</v>
      </c>
      <c r="N7" s="172">
        <v>1267415</v>
      </c>
      <c r="O7" s="63"/>
      <c r="P7" s="63">
        <f t="shared" si="0"/>
        <v>2507.1273498999999</v>
      </c>
      <c r="Q7" s="63">
        <f t="shared" si="1"/>
        <v>6159.9843749000001</v>
      </c>
      <c r="R7" s="63">
        <f t="shared" si="2"/>
        <v>11697.404012479999</v>
      </c>
      <c r="S7" s="63">
        <f t="shared" si="3"/>
        <v>11819.8737671</v>
      </c>
      <c r="T7" s="63">
        <f t="shared" si="4"/>
        <v>5197.5986489500001</v>
      </c>
      <c r="U7" s="63"/>
      <c r="V7" s="45">
        <f t="shared" si="5"/>
        <v>20364.515737280002</v>
      </c>
      <c r="W7" s="45">
        <f t="shared" si="6"/>
        <v>17017.472416050001</v>
      </c>
      <c r="X7" s="69">
        <f t="shared" si="8"/>
        <v>0.45523187119554198</v>
      </c>
      <c r="Y7" s="69">
        <f t="shared" si="7"/>
        <v>0.40414593851531538</v>
      </c>
    </row>
    <row r="8" spans="1:25">
      <c r="A8" s="49">
        <v>2006</v>
      </c>
      <c r="B8" s="66">
        <v>2305.4690648999999</v>
      </c>
      <c r="C8" s="66">
        <v>5864.6201251000002</v>
      </c>
      <c r="D8" s="66">
        <v>10881.292975</v>
      </c>
      <c r="E8" s="66">
        <v>7757.3372660000005</v>
      </c>
      <c r="F8" s="66">
        <v>4722.3762902999997</v>
      </c>
      <c r="G8" s="66">
        <v>72.964410603000005</v>
      </c>
      <c r="H8" s="66">
        <v>105.95035550999999</v>
      </c>
      <c r="I8" s="66">
        <v>605.00355307999996</v>
      </c>
      <c r="J8" s="66">
        <v>4367.5728540999999</v>
      </c>
      <c r="K8" s="66">
        <v>602.96896036999999</v>
      </c>
      <c r="L8" s="63"/>
      <c r="M8" s="172">
        <v>1879298</v>
      </c>
      <c r="N8" s="172">
        <v>1329941</v>
      </c>
      <c r="O8" s="63"/>
      <c r="P8" s="63">
        <f t="shared" si="0"/>
        <v>2378.433475503</v>
      </c>
      <c r="Q8" s="63">
        <f t="shared" si="1"/>
        <v>5970.5704806100002</v>
      </c>
      <c r="R8" s="63">
        <f t="shared" si="2"/>
        <v>11486.29652808</v>
      </c>
      <c r="S8" s="63">
        <f t="shared" si="3"/>
        <v>12124.910120100001</v>
      </c>
      <c r="T8" s="63">
        <f t="shared" si="4"/>
        <v>5325.3452506699996</v>
      </c>
      <c r="U8" s="63"/>
      <c r="V8" s="45">
        <f t="shared" si="5"/>
        <v>19835.300484193001</v>
      </c>
      <c r="W8" s="45">
        <f t="shared" si="6"/>
        <v>17450.255370769999</v>
      </c>
      <c r="X8" s="69">
        <f t="shared" si="8"/>
        <v>0.46801650050892918</v>
      </c>
      <c r="Y8" s="69">
        <f t="shared" si="7"/>
        <v>0.41441008288880948</v>
      </c>
    </row>
    <row r="9" spans="1:25">
      <c r="A9" s="49">
        <v>2007</v>
      </c>
      <c r="B9" s="66">
        <v>2260.3777660000001</v>
      </c>
      <c r="C9" s="66">
        <v>5769.1081125999999</v>
      </c>
      <c r="D9" s="66">
        <v>10904.074166</v>
      </c>
      <c r="E9" s="66">
        <v>8059.1110992000004</v>
      </c>
      <c r="F9" s="66">
        <v>4898.7688435999999</v>
      </c>
      <c r="G9" s="66">
        <v>64.097981230000002</v>
      </c>
      <c r="H9" s="66">
        <v>94.283874002000005</v>
      </c>
      <c r="I9" s="66">
        <v>565.21490426000003</v>
      </c>
      <c r="J9" s="66">
        <v>4569.9052030000003</v>
      </c>
      <c r="K9" s="66">
        <v>638.72644554999999</v>
      </c>
      <c r="L9" s="63"/>
      <c r="M9" s="172">
        <v>1884313</v>
      </c>
      <c r="N9" s="172">
        <v>1390399</v>
      </c>
      <c r="O9" s="63"/>
      <c r="P9" s="63">
        <f t="shared" si="0"/>
        <v>2324.4757472300003</v>
      </c>
      <c r="Q9" s="63">
        <f t="shared" si="1"/>
        <v>5863.3919866019996</v>
      </c>
      <c r="R9" s="63">
        <f t="shared" si="2"/>
        <v>11469.28907026</v>
      </c>
      <c r="S9" s="63">
        <f t="shared" si="3"/>
        <v>12629.016302200002</v>
      </c>
      <c r="T9" s="63">
        <f t="shared" si="4"/>
        <v>5537.4952891499997</v>
      </c>
      <c r="U9" s="63"/>
      <c r="V9" s="45">
        <f t="shared" si="5"/>
        <v>19657.156804091999</v>
      </c>
      <c r="W9" s="45">
        <f t="shared" si="6"/>
        <v>18166.511591350001</v>
      </c>
      <c r="X9" s="69">
        <f t="shared" si="8"/>
        <v>0.48029480909734246</v>
      </c>
      <c r="Y9" s="69">
        <f t="shared" si="7"/>
        <v>0.42458665067340273</v>
      </c>
    </row>
    <row r="10" spans="1:25">
      <c r="A10" s="49">
        <v>2008</v>
      </c>
      <c r="B10" s="66">
        <v>2221.7045649000002</v>
      </c>
      <c r="C10" s="66">
        <v>5615.7696753999999</v>
      </c>
      <c r="D10" s="66">
        <v>10546.327109</v>
      </c>
      <c r="E10" s="66">
        <v>7975.9541884</v>
      </c>
      <c r="F10" s="66">
        <v>4837.4929405000003</v>
      </c>
      <c r="G10" s="66">
        <v>58.423108169000002</v>
      </c>
      <c r="H10" s="66">
        <v>85.934482865999996</v>
      </c>
      <c r="I10" s="66">
        <v>530.40102482999998</v>
      </c>
      <c r="J10" s="66">
        <v>4690.8096243</v>
      </c>
      <c r="K10" s="66">
        <v>656.30367951999995</v>
      </c>
      <c r="L10" s="63"/>
      <c r="M10" s="172">
        <v>1872673</v>
      </c>
      <c r="N10" s="172">
        <v>1426497</v>
      </c>
      <c r="O10" s="63"/>
      <c r="P10" s="63">
        <f t="shared" si="0"/>
        <v>2280.1276730690001</v>
      </c>
      <c r="Q10" s="63">
        <f t="shared" si="1"/>
        <v>5701.7041582659995</v>
      </c>
      <c r="R10" s="63">
        <f t="shared" si="2"/>
        <v>11076.72813383</v>
      </c>
      <c r="S10" s="63">
        <f t="shared" si="3"/>
        <v>12666.763812699999</v>
      </c>
      <c r="T10" s="63">
        <f t="shared" si="4"/>
        <v>5493.7966200199999</v>
      </c>
      <c r="U10" s="63"/>
      <c r="V10" s="45">
        <f t="shared" si="5"/>
        <v>19058.559965164997</v>
      </c>
      <c r="W10" s="45">
        <f t="shared" si="6"/>
        <v>18160.560432719998</v>
      </c>
      <c r="X10" s="69">
        <f t="shared" ref="X10:X14" si="9">W10/(V10+W10)</f>
        <v>0.48793631441521079</v>
      </c>
      <c r="Y10" s="69">
        <f t="shared" si="7"/>
        <v>0.43238056844600309</v>
      </c>
    </row>
    <row r="11" spans="1:25">
      <c r="A11" s="49">
        <v>2009</v>
      </c>
      <c r="B11" s="66">
        <v>2210.1565844000002</v>
      </c>
      <c r="C11" s="66">
        <v>5617.8833145999997</v>
      </c>
      <c r="D11" s="66">
        <v>10491.460192</v>
      </c>
      <c r="E11" s="66">
        <v>8082.2484683000002</v>
      </c>
      <c r="F11" s="66">
        <v>4883.0695677000003</v>
      </c>
      <c r="G11" s="66">
        <v>52.656408878000001</v>
      </c>
      <c r="H11" s="66">
        <v>79.409465710999996</v>
      </c>
      <c r="I11" s="66">
        <v>504.24718260999998</v>
      </c>
      <c r="J11" s="66">
        <v>4718.4398702999997</v>
      </c>
      <c r="K11" s="66">
        <v>661.19642428999998</v>
      </c>
      <c r="L11" s="63"/>
      <c r="M11" s="172">
        <v>1839822</v>
      </c>
      <c r="N11" s="172">
        <v>1432233</v>
      </c>
      <c r="O11" s="63"/>
      <c r="P11" s="63">
        <f t="shared" si="0"/>
        <v>2262.8129932780002</v>
      </c>
      <c r="Q11" s="63">
        <f t="shared" si="1"/>
        <v>5697.2927803109997</v>
      </c>
      <c r="R11" s="63">
        <f t="shared" si="2"/>
        <v>10995.70737461</v>
      </c>
      <c r="S11" s="63">
        <f t="shared" si="3"/>
        <v>12800.688338600001</v>
      </c>
      <c r="T11" s="63">
        <f t="shared" si="4"/>
        <v>5544.2659919900007</v>
      </c>
      <c r="U11" s="63"/>
      <c r="V11" s="45">
        <f t="shared" si="5"/>
        <v>18955.813148198999</v>
      </c>
      <c r="W11" s="45">
        <f t="shared" si="6"/>
        <v>18344.954330590001</v>
      </c>
      <c r="X11" s="69">
        <f t="shared" si="9"/>
        <v>0.49181171248076383</v>
      </c>
      <c r="Y11" s="69">
        <f t="shared" si="7"/>
        <v>0.43771666429812456</v>
      </c>
    </row>
    <row r="12" spans="1:25">
      <c r="A12" s="49">
        <v>2010</v>
      </c>
      <c r="B12" s="66">
        <v>2222.1031876000002</v>
      </c>
      <c r="C12" s="66">
        <v>5666.9061518999997</v>
      </c>
      <c r="D12" s="66">
        <v>10415.853729</v>
      </c>
      <c r="E12" s="66">
        <v>8111.0533034</v>
      </c>
      <c r="F12" s="66">
        <v>4802.2362830000002</v>
      </c>
      <c r="G12" s="66">
        <v>47.515160190000003</v>
      </c>
      <c r="H12" s="66">
        <v>74.549360680999996</v>
      </c>
      <c r="I12" s="66">
        <v>489.71089259000001</v>
      </c>
      <c r="J12" s="66">
        <v>4791.7852700000003</v>
      </c>
      <c r="K12" s="66">
        <v>648.95335153999997</v>
      </c>
      <c r="L12" s="63"/>
      <c r="M12" s="172">
        <v>1838726</v>
      </c>
      <c r="N12" s="172">
        <v>1456753</v>
      </c>
      <c r="O12" s="63"/>
      <c r="P12" s="63">
        <f t="shared" si="0"/>
        <v>2269.6183477900004</v>
      </c>
      <c r="Q12" s="63">
        <f t="shared" si="1"/>
        <v>5741.4555125809993</v>
      </c>
      <c r="R12" s="63">
        <f t="shared" si="2"/>
        <v>10905.56462159</v>
      </c>
      <c r="S12" s="63">
        <f t="shared" si="3"/>
        <v>12902.8385734</v>
      </c>
      <c r="T12" s="63">
        <f t="shared" si="4"/>
        <v>5451.18963454</v>
      </c>
      <c r="U12" s="63"/>
      <c r="V12" s="45">
        <f t="shared" si="5"/>
        <v>18916.638481960999</v>
      </c>
      <c r="W12" s="45">
        <f t="shared" si="6"/>
        <v>18354.028207939999</v>
      </c>
      <c r="X12" s="69">
        <f t="shared" si="9"/>
        <v>0.49245237174448703</v>
      </c>
      <c r="Y12" s="69">
        <f t="shared" si="7"/>
        <v>0.44204590592141535</v>
      </c>
    </row>
    <row r="13" spans="1:25">
      <c r="A13" s="49">
        <v>2011</v>
      </c>
      <c r="B13" s="66">
        <v>2231.9631251000001</v>
      </c>
      <c r="C13" s="66">
        <v>5653.0617574999997</v>
      </c>
      <c r="D13" s="66">
        <v>10174.105114</v>
      </c>
      <c r="E13" s="66">
        <v>8057.7825940000002</v>
      </c>
      <c r="F13" s="66">
        <v>4619.7859988999999</v>
      </c>
      <c r="G13" s="66">
        <v>43.293487081000002</v>
      </c>
      <c r="H13" s="66">
        <v>70.432799642999996</v>
      </c>
      <c r="I13" s="66">
        <v>479.95808446000001</v>
      </c>
      <c r="J13" s="66">
        <v>4858.0789231999997</v>
      </c>
      <c r="K13" s="66">
        <v>625.31585233999999</v>
      </c>
      <c r="L13" s="63"/>
      <c r="M13" s="172">
        <v>1837802</v>
      </c>
      <c r="N13" s="172">
        <v>1481252</v>
      </c>
      <c r="O13" s="63"/>
      <c r="P13" s="63">
        <f t="shared" si="0"/>
        <v>2275.256612181</v>
      </c>
      <c r="Q13" s="63">
        <f t="shared" si="1"/>
        <v>5723.4945571429998</v>
      </c>
      <c r="R13" s="63">
        <f t="shared" si="2"/>
        <v>10654.06319846</v>
      </c>
      <c r="S13" s="63">
        <f t="shared" si="3"/>
        <v>12915.861517199999</v>
      </c>
      <c r="T13" s="63">
        <f t="shared" si="4"/>
        <v>5245.1018512399996</v>
      </c>
      <c r="U13" s="63"/>
      <c r="V13" s="45">
        <f t="shared" si="5"/>
        <v>18652.814367783998</v>
      </c>
      <c r="W13" s="45">
        <f t="shared" si="6"/>
        <v>18160.96336844</v>
      </c>
      <c r="X13" s="69">
        <f t="shared" si="9"/>
        <v>0.49331974291163239</v>
      </c>
      <c r="Y13" s="69">
        <f t="shared" si="7"/>
        <v>0.44628740598977901</v>
      </c>
    </row>
    <row r="14" spans="1:25">
      <c r="A14" s="49">
        <v>2012</v>
      </c>
      <c r="B14" s="66">
        <v>2282.6112269</v>
      </c>
      <c r="C14" s="66">
        <v>5684.9385831999998</v>
      </c>
      <c r="D14" s="66">
        <v>10045.110083</v>
      </c>
      <c r="E14" s="66">
        <v>8169.3767736</v>
      </c>
      <c r="F14" s="66">
        <v>4523.3383981999996</v>
      </c>
      <c r="G14" s="66">
        <v>42.381475369</v>
      </c>
      <c r="H14" s="66">
        <v>67.996942379999993</v>
      </c>
      <c r="I14" s="66">
        <v>500.92735878000002</v>
      </c>
      <c r="J14" s="66">
        <v>4899.7801843999996</v>
      </c>
      <c r="K14" s="66">
        <v>671.27579976000004</v>
      </c>
      <c r="L14" s="63"/>
      <c r="M14" s="172">
        <v>1837088</v>
      </c>
      <c r="N14" s="172">
        <v>1495956</v>
      </c>
      <c r="O14" s="63"/>
      <c r="P14" s="63">
        <f t="shared" si="0"/>
        <v>2324.9927022689999</v>
      </c>
      <c r="Q14" s="63">
        <f t="shared" si="1"/>
        <v>5752.9355255800001</v>
      </c>
      <c r="R14" s="63">
        <f t="shared" si="2"/>
        <v>10546.037441779999</v>
      </c>
      <c r="S14" s="63">
        <f t="shared" si="3"/>
        <v>13069.156958</v>
      </c>
      <c r="T14" s="63">
        <f t="shared" si="4"/>
        <v>5194.6141979599997</v>
      </c>
      <c r="U14" s="63"/>
      <c r="V14" s="45">
        <f t="shared" si="5"/>
        <v>18623.965669629</v>
      </c>
      <c r="W14" s="45">
        <f t="shared" si="6"/>
        <v>18263.771155959999</v>
      </c>
      <c r="X14" s="69">
        <f t="shared" si="9"/>
        <v>0.49511769296972513</v>
      </c>
      <c r="Y14" s="69">
        <f t="shared" si="7"/>
        <v>0.448825758075801</v>
      </c>
    </row>
    <row r="15" spans="1:25">
      <c r="A15" s="49">
        <v>2013</v>
      </c>
      <c r="B15" s="66">
        <v>2378.3227098000002</v>
      </c>
      <c r="C15" s="66">
        <v>5820.9434015999996</v>
      </c>
      <c r="D15" s="66">
        <v>10040.794433999999</v>
      </c>
      <c r="E15" s="66">
        <v>8327.2428882999993</v>
      </c>
      <c r="F15" s="66">
        <v>4424.2191249999996</v>
      </c>
      <c r="G15" s="66">
        <v>42.897734776</v>
      </c>
      <c r="H15" s="66">
        <v>65.185368202999996</v>
      </c>
      <c r="I15" s="66">
        <v>539.60002605</v>
      </c>
      <c r="J15" s="66">
        <v>5018.4052111000001</v>
      </c>
      <c r="K15" s="66">
        <v>777.27040158</v>
      </c>
      <c r="L15" s="63"/>
      <c r="M15" s="172">
        <v>1873304</v>
      </c>
      <c r="N15" s="172">
        <v>1536058</v>
      </c>
      <c r="O15" s="63"/>
      <c r="P15" s="63">
        <f t="shared" si="0"/>
        <v>2421.2204445760003</v>
      </c>
      <c r="Q15" s="63">
        <f>C15+H15</f>
        <v>5886.1287698029992</v>
      </c>
      <c r="R15" s="63">
        <f t="shared" si="2"/>
        <v>10580.39446005</v>
      </c>
      <c r="S15" s="63">
        <f t="shared" si="3"/>
        <v>13345.648099399999</v>
      </c>
      <c r="T15" s="63">
        <f t="shared" si="4"/>
        <v>5201.4895265799996</v>
      </c>
      <c r="U15" s="63"/>
      <c r="V15" s="45">
        <f t="shared" si="5"/>
        <v>18887.743674428999</v>
      </c>
      <c r="W15" s="45">
        <f t="shared" si="6"/>
        <v>18547.137625979998</v>
      </c>
      <c r="X15" s="69">
        <f t="shared" ref="X15:X16" si="10">W15/(V15+W15)</f>
        <v>0.49545068614328319</v>
      </c>
      <c r="Y15" s="69">
        <f t="shared" si="7"/>
        <v>0.45054118629819889</v>
      </c>
    </row>
    <row r="16" spans="1:25">
      <c r="A16" s="49">
        <v>2014</v>
      </c>
      <c r="B16" s="66">
        <v>2521.6303373999999</v>
      </c>
      <c r="C16" s="66">
        <v>5997.1137912000004</v>
      </c>
      <c r="D16" s="66">
        <v>10112.982168</v>
      </c>
      <c r="E16" s="66">
        <v>8551.3690621999995</v>
      </c>
      <c r="F16" s="66">
        <v>4365.6753783000004</v>
      </c>
      <c r="G16" s="66">
        <v>41.581058218999999</v>
      </c>
      <c r="H16" s="66">
        <v>63.515493859000003</v>
      </c>
      <c r="I16" s="66">
        <v>585.56717830000002</v>
      </c>
      <c r="J16" s="66">
        <v>5176.2406563000004</v>
      </c>
      <c r="K16" s="66">
        <v>936.80770343999995</v>
      </c>
      <c r="L16" s="63"/>
      <c r="M16" s="172">
        <v>1933654</v>
      </c>
      <c r="N16" s="172">
        <v>1594273</v>
      </c>
      <c r="O16" s="63"/>
      <c r="P16" s="63">
        <f t="shared" si="0"/>
        <v>2563.2113956190001</v>
      </c>
      <c r="Q16" s="63">
        <f t="shared" si="1"/>
        <v>6060.6292850590007</v>
      </c>
      <c r="R16" s="63">
        <f t="shared" si="2"/>
        <v>10698.5493463</v>
      </c>
      <c r="S16" s="63">
        <f t="shared" si="3"/>
        <v>13727.6097185</v>
      </c>
      <c r="T16" s="63">
        <f t="shared" si="4"/>
        <v>5302.4830817400007</v>
      </c>
      <c r="U16" s="63"/>
      <c r="V16" s="45">
        <f t="shared" si="5"/>
        <v>19322.390026977999</v>
      </c>
      <c r="W16" s="45">
        <f t="shared" si="6"/>
        <v>19030.09280024</v>
      </c>
      <c r="X16" s="69">
        <f t="shared" si="10"/>
        <v>0.49618933110465324</v>
      </c>
      <c r="Y16" s="69">
        <f t="shared" si="7"/>
        <v>0.45190079046420178</v>
      </c>
    </row>
    <row r="17" spans="1:25">
      <c r="A17" s="49">
        <v>2015</v>
      </c>
      <c r="B17" s="66">
        <v>2682.4656211000001</v>
      </c>
      <c r="C17" s="66">
        <v>6208.6176094000002</v>
      </c>
      <c r="D17" s="66">
        <v>10353.021064</v>
      </c>
      <c r="E17" s="66">
        <v>8915.7554909999999</v>
      </c>
      <c r="F17" s="66">
        <v>4394.7725774999999</v>
      </c>
      <c r="G17" s="66">
        <v>41.735466467000002</v>
      </c>
      <c r="H17" s="66">
        <v>66.754962014</v>
      </c>
      <c r="I17" s="66">
        <v>636.59695950000003</v>
      </c>
      <c r="J17" s="66">
        <v>5380.3013016000004</v>
      </c>
      <c r="K17" s="66">
        <v>1113.0849178000001</v>
      </c>
      <c r="L17" s="63"/>
      <c r="M17" s="172">
        <v>1999397</v>
      </c>
      <c r="N17" s="172">
        <v>1662381</v>
      </c>
      <c r="O17" s="63"/>
      <c r="P17" s="63">
        <f t="shared" si="0"/>
        <v>2724.2010875670003</v>
      </c>
      <c r="Q17" s="63">
        <f t="shared" si="1"/>
        <v>6275.372571414</v>
      </c>
      <c r="R17" s="63">
        <f t="shared" si="2"/>
        <v>10989.618023500001</v>
      </c>
      <c r="S17" s="63">
        <f t="shared" si="3"/>
        <v>14296.0567926</v>
      </c>
      <c r="T17" s="63">
        <f t="shared" si="4"/>
        <v>5507.8574952999998</v>
      </c>
      <c r="U17" s="63"/>
      <c r="V17" s="45">
        <f t="shared" si="5"/>
        <v>19989.191682481003</v>
      </c>
      <c r="W17" s="45">
        <f t="shared" si="6"/>
        <v>19803.914287899999</v>
      </c>
      <c r="X17" s="69">
        <f t="shared" ref="X17" si="11">W17/(V17+W17)</f>
        <v>0.49767199129016332</v>
      </c>
      <c r="Y17" s="69">
        <f t="shared" si="7"/>
        <v>0.45398191807367894</v>
      </c>
    </row>
    <row r="18" spans="1:25">
      <c r="A18" s="49">
        <v>2016</v>
      </c>
      <c r="B18" s="66">
        <v>2851.8438308999998</v>
      </c>
      <c r="C18" s="66">
        <v>6480.2935393999996</v>
      </c>
      <c r="D18" s="66">
        <v>10709.225084</v>
      </c>
      <c r="E18" s="66">
        <v>9379.3189621000001</v>
      </c>
      <c r="F18" s="66">
        <v>4448.8163864999997</v>
      </c>
      <c r="G18" s="66">
        <v>41.679466505999997</v>
      </c>
      <c r="H18" s="66">
        <v>73.577361819999993</v>
      </c>
      <c r="I18" s="66">
        <v>696.70671388999995</v>
      </c>
      <c r="J18" s="66">
        <v>5674.5058953999996</v>
      </c>
      <c r="K18" s="66">
        <v>1318.8283265</v>
      </c>
      <c r="L18" s="63"/>
      <c r="M18" s="172">
        <v>2068907</v>
      </c>
      <c r="N18" s="172">
        <v>1736095</v>
      </c>
      <c r="O18" s="63"/>
      <c r="P18" s="63">
        <f t="shared" si="0"/>
        <v>2893.523297406</v>
      </c>
      <c r="Q18" s="63">
        <f t="shared" si="1"/>
        <v>6553.8709012199997</v>
      </c>
      <c r="R18" s="63">
        <f t="shared" si="2"/>
        <v>11405.93179789</v>
      </c>
      <c r="S18" s="63">
        <f t="shared" si="3"/>
        <v>15053.8248575</v>
      </c>
      <c r="T18" s="63">
        <f t="shared" si="4"/>
        <v>5767.6447129999997</v>
      </c>
      <c r="U18" s="63"/>
      <c r="V18" s="45">
        <f t="shared" si="5"/>
        <v>20853.325996516</v>
      </c>
      <c r="W18" s="45">
        <f t="shared" si="6"/>
        <v>20821.469570499998</v>
      </c>
      <c r="X18" s="69">
        <f t="shared" ref="X18" si="12">W18/(V18+W18)</f>
        <v>0.49961779745308194</v>
      </c>
      <c r="Y18" s="69">
        <f t="shared" si="7"/>
        <v>0.45626651444598454</v>
      </c>
    </row>
    <row r="19" spans="1:25">
      <c r="A19" s="49">
        <v>2017</v>
      </c>
      <c r="B19" s="66">
        <v>2967.4475854000002</v>
      </c>
      <c r="C19" s="66">
        <v>6663.4748292000004</v>
      </c>
      <c r="D19" s="66">
        <v>10948.744376000001</v>
      </c>
      <c r="E19" s="66">
        <v>9715.6083132999993</v>
      </c>
      <c r="F19" s="66">
        <v>4365.7342963999999</v>
      </c>
      <c r="G19" s="66">
        <v>39.626287005999998</v>
      </c>
      <c r="H19" s="66">
        <v>82.577010400000006</v>
      </c>
      <c r="I19" s="66">
        <v>761.78311052000004</v>
      </c>
      <c r="J19" s="66">
        <v>5979.2278966000003</v>
      </c>
      <c r="K19" s="66">
        <v>1526.9946098999999</v>
      </c>
      <c r="L19" s="63"/>
      <c r="M19" s="172">
        <v>2153746</v>
      </c>
      <c r="N19" s="172">
        <v>1825574</v>
      </c>
      <c r="O19" s="63"/>
      <c r="P19" s="63">
        <f t="shared" si="0"/>
        <v>3007.0738724060002</v>
      </c>
      <c r="Q19" s="63">
        <f t="shared" si="1"/>
        <v>6746.0518396000007</v>
      </c>
      <c r="R19" s="63">
        <f t="shared" si="2"/>
        <v>11710.527486520001</v>
      </c>
      <c r="S19" s="63">
        <f t="shared" si="3"/>
        <v>15694.836209900001</v>
      </c>
      <c r="T19" s="63">
        <f t="shared" si="4"/>
        <v>5892.7289062999998</v>
      </c>
      <c r="U19" s="63"/>
      <c r="V19" s="45">
        <f t="shared" si="5"/>
        <v>21463.653198526001</v>
      </c>
      <c r="W19" s="45">
        <f t="shared" si="6"/>
        <v>21587.565116199999</v>
      </c>
      <c r="X19" s="69">
        <f t="shared" ref="X19:X20" si="13">W19/(V19+W19)</f>
        <v>0.50143912207975327</v>
      </c>
      <c r="Y19" s="69">
        <f t="shared" si="7"/>
        <v>0.45876531668727322</v>
      </c>
    </row>
    <row r="20" spans="1:25">
      <c r="A20" s="49">
        <v>2018</v>
      </c>
      <c r="B20" s="66">
        <v>3107.1802054</v>
      </c>
      <c r="C20" s="66">
        <v>6783.2843208000004</v>
      </c>
      <c r="D20" s="66">
        <v>11106.277583999999</v>
      </c>
      <c r="E20" s="66">
        <v>9893.8450011000004</v>
      </c>
      <c r="F20" s="66">
        <v>4220.1799024000002</v>
      </c>
      <c r="G20" s="66">
        <v>39.519096740000002</v>
      </c>
      <c r="H20" s="66">
        <v>89.574258380000003</v>
      </c>
      <c r="I20" s="66">
        <v>815.74244509000005</v>
      </c>
      <c r="J20" s="66">
        <v>6286.7498660000001</v>
      </c>
      <c r="K20" s="66">
        <v>1721.6182507000001</v>
      </c>
      <c r="L20" s="63"/>
      <c r="M20" s="172">
        <v>2219156</v>
      </c>
      <c r="N20" s="172">
        <v>1889473</v>
      </c>
      <c r="O20" s="63"/>
      <c r="P20" s="63">
        <f t="shared" si="0"/>
        <v>3146.6993021399999</v>
      </c>
      <c r="Q20" s="63">
        <f t="shared" si="1"/>
        <v>6872.8585791800006</v>
      </c>
      <c r="R20" s="63">
        <f t="shared" si="2"/>
        <v>11922.020029089999</v>
      </c>
      <c r="S20" s="63">
        <f t="shared" si="3"/>
        <v>16180.594867100001</v>
      </c>
      <c r="T20" s="63">
        <f t="shared" si="4"/>
        <v>5941.7981531000005</v>
      </c>
      <c r="U20" s="63"/>
      <c r="V20" s="45">
        <f t="shared" si="5"/>
        <v>21941.57791041</v>
      </c>
      <c r="W20" s="45">
        <f t="shared" si="6"/>
        <v>22122.393020200001</v>
      </c>
      <c r="X20" s="69">
        <f t="shared" si="13"/>
        <v>0.50205173417160642</v>
      </c>
      <c r="Y20" s="69">
        <f t="shared" si="7"/>
        <v>0.45987919571224367</v>
      </c>
    </row>
    <row r="21" spans="1:25">
      <c r="A21" s="49">
        <v>2019</v>
      </c>
      <c r="B21" s="66">
        <v>3125.8258500000002</v>
      </c>
      <c r="C21" s="66">
        <v>6663.4077657999997</v>
      </c>
      <c r="D21" s="66">
        <v>10979.144871</v>
      </c>
      <c r="E21" s="66">
        <v>9610.0823443000008</v>
      </c>
      <c r="F21" s="66">
        <v>3945.7280403999998</v>
      </c>
      <c r="G21" s="66">
        <v>37.504948560000003</v>
      </c>
      <c r="H21" s="66">
        <v>94.692655267999996</v>
      </c>
      <c r="I21" s="66">
        <v>857.82036271000004</v>
      </c>
      <c r="J21" s="66">
        <v>6416.7571244999999</v>
      </c>
      <c r="K21" s="66">
        <v>1844.5551085</v>
      </c>
      <c r="L21" s="63"/>
      <c r="M21" s="172">
        <v>2276063</v>
      </c>
      <c r="N21" s="172">
        <v>1928280</v>
      </c>
      <c r="O21" s="63"/>
      <c r="P21" s="63">
        <f t="shared" ref="P21:P22" si="14">B21+G21</f>
        <v>3163.3307985600004</v>
      </c>
      <c r="Q21" s="63">
        <f t="shared" ref="Q21:Q22" si="15">C21+H21</f>
        <v>6758.1004210679994</v>
      </c>
      <c r="R21" s="63">
        <f t="shared" ref="R21:R22" si="16">D21+I21</f>
        <v>11836.96523371</v>
      </c>
      <c r="S21" s="63">
        <f t="shared" ref="S21:S22" si="17">E21+J21</f>
        <v>16026.839468800001</v>
      </c>
      <c r="T21" s="63">
        <f t="shared" ref="T21:T22" si="18">F21+K21</f>
        <v>5790.2831489</v>
      </c>
      <c r="U21" s="63"/>
      <c r="V21" s="45">
        <f t="shared" ref="V21:V22" si="19">SUM(P21:R21)</f>
        <v>21758.396453337999</v>
      </c>
      <c r="W21" s="45">
        <f t="shared" ref="W21:W22" si="20">SUM(S21:T21)</f>
        <v>21817.122617699999</v>
      </c>
      <c r="X21" s="69">
        <f t="shared" ref="X21:X22" si="21">W21/(V21+W21)</f>
        <v>0.5006738435435073</v>
      </c>
      <c r="Y21" s="69">
        <f t="shared" si="7"/>
        <v>0.45864003008317827</v>
      </c>
    </row>
    <row r="22" spans="1:25">
      <c r="A22" s="49">
        <v>2020</v>
      </c>
      <c r="B22" s="66">
        <v>2992.9570865999999</v>
      </c>
      <c r="C22" s="66">
        <v>6358.8710239000002</v>
      </c>
      <c r="D22" s="66">
        <v>10492.047321</v>
      </c>
      <c r="E22" s="66">
        <v>9072.1767940999998</v>
      </c>
      <c r="F22" s="66">
        <v>3641.5995171</v>
      </c>
      <c r="G22" s="66">
        <v>34.931342659999999</v>
      </c>
      <c r="H22" s="66">
        <v>99.980678947000001</v>
      </c>
      <c r="I22" s="66">
        <v>885.63509527999997</v>
      </c>
      <c r="J22" s="66">
        <v>6362.2576768999998</v>
      </c>
      <c r="K22" s="66">
        <v>1899.2016943000001</v>
      </c>
      <c r="L22" s="63"/>
      <c r="M22" s="172">
        <v>2290197</v>
      </c>
      <c r="N22" s="172">
        <v>1942463</v>
      </c>
      <c r="O22" s="63"/>
      <c r="P22" s="63">
        <f t="shared" si="14"/>
        <v>3027.8884292600001</v>
      </c>
      <c r="Q22" s="63">
        <f t="shared" si="15"/>
        <v>6458.8517028470005</v>
      </c>
      <c r="R22" s="63">
        <f t="shared" si="16"/>
        <v>11377.68241628</v>
      </c>
      <c r="S22" s="63">
        <f t="shared" si="17"/>
        <v>15434.434471</v>
      </c>
      <c r="T22" s="63">
        <f t="shared" si="18"/>
        <v>5540.8012114000003</v>
      </c>
      <c r="U22" s="63"/>
      <c r="V22" s="45">
        <f t="shared" si="19"/>
        <v>20864.422548387003</v>
      </c>
      <c r="W22" s="45">
        <f t="shared" si="20"/>
        <v>20975.235682400002</v>
      </c>
      <c r="X22" s="69">
        <f t="shared" si="21"/>
        <v>0.50132425955061288</v>
      </c>
      <c r="Y22" s="69">
        <f t="shared" si="7"/>
        <v>0.4589225215349213</v>
      </c>
    </row>
    <row r="23" spans="1:25">
      <c r="A23" s="49">
        <v>2021</v>
      </c>
      <c r="B23" s="66">
        <v>2966.837399</v>
      </c>
      <c r="C23" s="66">
        <v>6408.533257</v>
      </c>
      <c r="D23" s="66">
        <v>10513.296816</v>
      </c>
      <c r="E23" s="66">
        <v>9168.7241587999997</v>
      </c>
      <c r="F23" s="66">
        <v>3502.1659227</v>
      </c>
      <c r="G23" s="66">
        <v>34.173589407000001</v>
      </c>
      <c r="H23" s="66">
        <v>103.80447554</v>
      </c>
      <c r="I23" s="66">
        <v>1005.9996897</v>
      </c>
      <c r="J23" s="66">
        <v>6521.7471616000003</v>
      </c>
      <c r="K23" s="66">
        <v>1948.4680140999999</v>
      </c>
      <c r="M23" s="172">
        <v>2330566</v>
      </c>
      <c r="N23" s="172">
        <v>1985207</v>
      </c>
      <c r="P23" s="63">
        <f>B23+G23</f>
        <v>3001.0109884069998</v>
      </c>
      <c r="Q23" s="63">
        <f>C23+H23</f>
        <v>6512.3377325399997</v>
      </c>
      <c r="R23" s="63">
        <f t="shared" ref="R23:R24" si="22">D23+I23</f>
        <v>11519.2965057</v>
      </c>
      <c r="S23" s="63">
        <f t="shared" ref="S23:S24" si="23">E23+J23</f>
        <v>15690.4713204</v>
      </c>
      <c r="T23" s="63">
        <f t="shared" ref="T23:T24" si="24">F23+K23</f>
        <v>5450.6339367999999</v>
      </c>
      <c r="U23" s="63"/>
      <c r="V23" s="45">
        <f t="shared" ref="V23:V24" si="25">SUM(P23:R23)</f>
        <v>21032.645226647001</v>
      </c>
      <c r="W23" s="45">
        <f>SUM(S23:T23)</f>
        <v>21141.105257200001</v>
      </c>
      <c r="X23" s="69">
        <f>W23/(V23+W23)</f>
        <v>0.50128587129800728</v>
      </c>
      <c r="Y23" s="69">
        <f t="shared" si="7"/>
        <v>0.45998874361557013</v>
      </c>
    </row>
    <row r="24" spans="1:25">
      <c r="A24" s="49">
        <v>2022</v>
      </c>
      <c r="B24" s="66">
        <v>2961.8046795</v>
      </c>
      <c r="C24" s="66">
        <v>6602.1018370000002</v>
      </c>
      <c r="D24" s="66">
        <v>10632.6003</v>
      </c>
      <c r="E24" s="66">
        <v>9375.8349815000001</v>
      </c>
      <c r="F24" s="66">
        <v>3285.4949187000002</v>
      </c>
      <c r="G24" s="66">
        <v>34.039308132999999</v>
      </c>
      <c r="H24" s="66">
        <v>103.41752228999999</v>
      </c>
      <c r="I24" s="66">
        <v>1218.9993314000001</v>
      </c>
      <c r="J24" s="66">
        <v>6768.2703192999998</v>
      </c>
      <c r="K24" s="66">
        <v>1914.26477</v>
      </c>
      <c r="M24" s="172">
        <v>2364131</v>
      </c>
      <c r="N24" s="172">
        <v>2005445</v>
      </c>
      <c r="P24" s="63">
        <f t="shared" ref="P24" si="26">B24+G24</f>
        <v>2995.8439876329999</v>
      </c>
      <c r="Q24" s="63">
        <f t="shared" ref="Q24" si="27">C24+H24</f>
        <v>6705.5193592900005</v>
      </c>
      <c r="R24" s="63">
        <f t="shared" si="22"/>
        <v>11851.5996314</v>
      </c>
      <c r="S24" s="63">
        <f t="shared" si="23"/>
        <v>16144.1053008</v>
      </c>
      <c r="T24" s="63">
        <f t="shared" si="24"/>
        <v>5199.7596887</v>
      </c>
      <c r="U24" s="63"/>
      <c r="V24" s="45">
        <f t="shared" si="25"/>
        <v>21552.962978323001</v>
      </c>
      <c r="W24" s="45">
        <f t="shared" ref="W24" si="28">SUM(S24:T24)</f>
        <v>21343.864989499998</v>
      </c>
      <c r="X24" s="69">
        <f t="shared" ref="X24" si="29">W24/(V24+W24)</f>
        <v>0.49756278029485246</v>
      </c>
      <c r="Y24" s="69">
        <f t="shared" si="7"/>
        <v>0.45895642963985522</v>
      </c>
    </row>
    <row r="25" spans="1:25">
      <c r="A25" s="49">
        <v>2023</v>
      </c>
      <c r="B25" s="66">
        <v>3095.4110019999998</v>
      </c>
      <c r="C25" s="66">
        <v>7130.7979186000002</v>
      </c>
      <c r="D25" s="66">
        <v>11063.771906</v>
      </c>
      <c r="E25" s="66">
        <v>9746.2317000999992</v>
      </c>
      <c r="F25" s="66">
        <v>3181.0041835000002</v>
      </c>
      <c r="G25" s="66">
        <v>33.847783732000003</v>
      </c>
      <c r="H25" s="66">
        <v>101.51299557</v>
      </c>
      <c r="I25" s="66">
        <v>1426.5388422999999</v>
      </c>
      <c r="J25" s="66">
        <v>7083.6846318999997</v>
      </c>
      <c r="K25" s="66">
        <v>1836.6868869</v>
      </c>
      <c r="M25" s="172">
        <v>2407194</v>
      </c>
      <c r="N25" s="172">
        <v>1992829</v>
      </c>
      <c r="P25" s="63">
        <f t="shared" ref="P25" si="30">B25+G25</f>
        <v>3129.258785732</v>
      </c>
      <c r="Q25" s="63">
        <f t="shared" ref="Q25" si="31">C25+H25</f>
        <v>7232.3109141700006</v>
      </c>
      <c r="R25" s="63">
        <f t="shared" ref="R25" si="32">D25+I25</f>
        <v>12490.3107483</v>
      </c>
      <c r="S25" s="63">
        <f t="shared" ref="S25" si="33">E25+J25</f>
        <v>16829.916332000001</v>
      </c>
      <c r="T25" s="63">
        <f t="shared" ref="T25" si="34">F25+K25</f>
        <v>5017.6910704000002</v>
      </c>
      <c r="U25" s="63"/>
      <c r="V25" s="45">
        <f t="shared" ref="V25" si="35">SUM(P25:R25)</f>
        <v>22851.880448201999</v>
      </c>
      <c r="W25" s="45">
        <f t="shared" ref="W25" si="36">SUM(S25:T25)</f>
        <v>21847.607402400001</v>
      </c>
      <c r="X25" s="69">
        <f t="shared" ref="X25" si="37">W25/(V25+W25)</f>
        <v>0.48876639203162059</v>
      </c>
      <c r="Y25" s="69">
        <f t="shared" si="7"/>
        <v>0.45291331431676607</v>
      </c>
    </row>
    <row r="26" spans="1:25" ht="18" customHeight="1">
      <c r="A26" s="37"/>
    </row>
    <row r="27" spans="1:25">
      <c r="M27" s="117" t="s">
        <v>321</v>
      </c>
      <c r="N27" s="95"/>
      <c r="O27" s="96"/>
      <c r="P27" s="96"/>
      <c r="Q27" s="96"/>
      <c r="R27" s="96"/>
      <c r="S27" s="96"/>
      <c r="T27" s="96"/>
      <c r="U27" s="96"/>
      <c r="V27" s="118"/>
      <c r="W27" s="119"/>
    </row>
  </sheetData>
  <mergeCells count="1">
    <mergeCell ref="I1:J1"/>
  </mergeCells>
  <phoneticPr fontId="5" type="noConversion"/>
  <hyperlinks>
    <hyperlink ref="I1:J1" location="Contents!A1" display="Back to Contents" xr:uid="{00000000-0004-0000-0E00-000000000000}"/>
  </hyperlinks>
  <pageMargins left="0.75" right="0.75" top="1" bottom="1" header="0.5" footer="0.5"/>
  <pageSetup paperSize="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39997558519241921"/>
  </sheetPr>
  <dimension ref="A1:V26"/>
  <sheetViews>
    <sheetView workbookViewId="0">
      <selection sqref="A1:H1"/>
    </sheetView>
  </sheetViews>
  <sheetFormatPr defaultColWidth="8.81640625" defaultRowHeight="12.5"/>
  <cols>
    <col min="10" max="11" width="9.453125" bestFit="1" customWidth="1"/>
    <col min="12" max="13" width="10.453125" bestFit="1" customWidth="1"/>
    <col min="14" max="15" width="9.453125" bestFit="1" customWidth="1"/>
  </cols>
  <sheetData>
    <row r="1" spans="1:22" ht="24.75" customHeight="1">
      <c r="A1" s="215" t="s">
        <v>322</v>
      </c>
      <c r="B1" s="215"/>
      <c r="C1" s="215"/>
      <c r="D1" s="215"/>
      <c r="E1" s="215"/>
      <c r="F1" s="215"/>
      <c r="G1" s="215"/>
      <c r="H1" s="215"/>
      <c r="I1" s="157"/>
      <c r="J1" s="103" t="s">
        <v>323</v>
      </c>
      <c r="K1" s="19"/>
      <c r="L1" s="19"/>
      <c r="M1" s="19"/>
      <c r="N1" s="19"/>
      <c r="O1" s="19"/>
    </row>
    <row r="2" spans="1:22" ht="24.65" customHeight="1">
      <c r="A2" s="58" t="s">
        <v>80</v>
      </c>
      <c r="B2" s="58" t="s">
        <v>324</v>
      </c>
      <c r="C2" s="58" t="s">
        <v>325</v>
      </c>
      <c r="D2" s="58" t="s">
        <v>326</v>
      </c>
      <c r="E2" s="58" t="s">
        <v>327</v>
      </c>
      <c r="F2" s="58" t="s">
        <v>328</v>
      </c>
      <c r="G2" s="58" t="s">
        <v>329</v>
      </c>
      <c r="H2" s="79" t="s">
        <v>330</v>
      </c>
      <c r="I2" s="79"/>
      <c r="J2" s="59" t="s">
        <v>331</v>
      </c>
      <c r="K2" s="59" t="s">
        <v>332</v>
      </c>
      <c r="L2" s="59" t="s">
        <v>333</v>
      </c>
      <c r="M2" s="59" t="s">
        <v>334</v>
      </c>
      <c r="N2" s="59" t="s">
        <v>335</v>
      </c>
      <c r="O2" s="59" t="s">
        <v>336</v>
      </c>
    </row>
    <row r="3" spans="1:22">
      <c r="A3" s="109">
        <v>36861</v>
      </c>
      <c r="B3" s="66">
        <v>2031.730055</v>
      </c>
      <c r="C3" s="66">
        <v>1914.4659650000001</v>
      </c>
      <c r="D3" s="66">
        <v>2097.4605270000002</v>
      </c>
      <c r="E3" s="66">
        <v>2566.6111080000001</v>
      </c>
      <c r="F3" s="66">
        <v>2516.2617700000001</v>
      </c>
      <c r="G3" s="66">
        <v>2656.4073969999999</v>
      </c>
      <c r="H3" s="66">
        <v>2094.46227</v>
      </c>
      <c r="I3" s="63"/>
      <c r="J3" s="66">
        <v>336560</v>
      </c>
      <c r="K3" s="66">
        <v>504178</v>
      </c>
      <c r="L3" s="66">
        <v>804910</v>
      </c>
      <c r="M3" s="66">
        <v>591764</v>
      </c>
      <c r="N3" s="66">
        <v>177245</v>
      </c>
      <c r="O3" s="66">
        <v>102312</v>
      </c>
      <c r="Q3" s="5"/>
      <c r="R3" s="5"/>
      <c r="S3" s="63"/>
      <c r="T3" s="63"/>
      <c r="U3" s="63"/>
      <c r="V3" s="63"/>
    </row>
    <row r="4" spans="1:22">
      <c r="A4" s="109">
        <v>37226</v>
      </c>
      <c r="B4" s="66">
        <v>2052.943753</v>
      </c>
      <c r="C4" s="66">
        <v>1926.5894109999999</v>
      </c>
      <c r="D4" s="66">
        <v>2132.2364870000001</v>
      </c>
      <c r="E4" s="66">
        <v>2587.5286799999999</v>
      </c>
      <c r="F4" s="66">
        <v>2538.797474</v>
      </c>
      <c r="G4" s="66">
        <v>2669.938079</v>
      </c>
      <c r="H4" s="66">
        <v>2118.2202950000001</v>
      </c>
      <c r="I4" s="63"/>
      <c r="J4" s="66">
        <v>314524</v>
      </c>
      <c r="K4" s="66">
        <v>518514</v>
      </c>
      <c r="L4" s="66">
        <v>834317</v>
      </c>
      <c r="M4" s="66">
        <v>625857</v>
      </c>
      <c r="N4" s="66">
        <v>189079</v>
      </c>
      <c r="O4" s="66">
        <v>103403</v>
      </c>
      <c r="Q4" s="5"/>
      <c r="R4" s="5"/>
      <c r="S4" s="63"/>
      <c r="T4" s="63"/>
      <c r="U4" s="63"/>
      <c r="V4" s="63"/>
    </row>
    <row r="5" spans="1:22">
      <c r="A5" s="109">
        <v>37591</v>
      </c>
      <c r="B5" s="66">
        <v>2076.1170830000001</v>
      </c>
      <c r="C5" s="66">
        <v>1939.285693</v>
      </c>
      <c r="D5" s="66">
        <v>2170.7302810000001</v>
      </c>
      <c r="E5" s="66">
        <v>2616.0497089999999</v>
      </c>
      <c r="F5" s="66">
        <v>2574.2439279999999</v>
      </c>
      <c r="G5" s="66">
        <v>2684.4609289999999</v>
      </c>
      <c r="H5" s="66">
        <v>2145.1477759999998</v>
      </c>
      <c r="I5" s="63"/>
      <c r="J5" s="66">
        <v>297207</v>
      </c>
      <c r="K5" s="66">
        <v>529196</v>
      </c>
      <c r="L5" s="66">
        <v>863072</v>
      </c>
      <c r="M5" s="66">
        <v>670582</v>
      </c>
      <c r="N5" s="66">
        <v>204068</v>
      </c>
      <c r="O5" s="66">
        <v>106760</v>
      </c>
      <c r="Q5" s="5"/>
      <c r="R5" s="5"/>
      <c r="S5" s="63"/>
      <c r="T5" s="63"/>
      <c r="U5" s="63"/>
      <c r="V5" s="63"/>
    </row>
    <row r="6" spans="1:22">
      <c r="A6" s="109">
        <v>37956</v>
      </c>
      <c r="B6" s="66">
        <v>2101.7785450000001</v>
      </c>
      <c r="C6" s="66">
        <v>1952.5772280000001</v>
      </c>
      <c r="D6" s="66">
        <v>2214.7087280000001</v>
      </c>
      <c r="E6" s="66">
        <v>2649.895485</v>
      </c>
      <c r="F6" s="66">
        <v>2621.200949</v>
      </c>
      <c r="G6" s="66">
        <v>2696.6981770000002</v>
      </c>
      <c r="H6" s="66">
        <v>2175.446015</v>
      </c>
      <c r="I6" s="63"/>
      <c r="J6" s="66">
        <v>285473</v>
      </c>
      <c r="K6" s="66">
        <v>538666</v>
      </c>
      <c r="L6" s="66">
        <v>896361</v>
      </c>
      <c r="M6" s="66">
        <v>726727</v>
      </c>
      <c r="N6" s="66">
        <v>224742</v>
      </c>
      <c r="O6" s="66">
        <v>112777</v>
      </c>
      <c r="Q6" s="5"/>
      <c r="R6" s="5"/>
      <c r="S6" s="63"/>
      <c r="T6" s="63"/>
      <c r="U6" s="63"/>
      <c r="V6" s="63"/>
    </row>
    <row r="7" spans="1:22">
      <c r="A7" s="109">
        <v>38322</v>
      </c>
      <c r="B7" s="66">
        <v>2128.7797599999999</v>
      </c>
      <c r="C7" s="66">
        <v>1969.403331</v>
      </c>
      <c r="D7" s="66">
        <v>2258.6975400000001</v>
      </c>
      <c r="E7" s="66">
        <v>2679.0185029999998</v>
      </c>
      <c r="F7" s="66">
        <v>2661.3298450000002</v>
      </c>
      <c r="G7" s="66">
        <v>2707.097334</v>
      </c>
      <c r="H7" s="66">
        <v>2205.8963290000002</v>
      </c>
      <c r="I7" s="63"/>
      <c r="J7" s="66">
        <v>275445</v>
      </c>
      <c r="K7" s="66">
        <v>543482</v>
      </c>
      <c r="L7" s="66">
        <v>922385</v>
      </c>
      <c r="M7" s="66">
        <v>785961</v>
      </c>
      <c r="N7" s="66">
        <v>248565</v>
      </c>
      <c r="O7" s="66">
        <v>118905</v>
      </c>
      <c r="Q7" s="5"/>
      <c r="R7" s="5"/>
      <c r="S7" s="63"/>
      <c r="T7" s="63"/>
      <c r="U7" s="63"/>
      <c r="V7" s="63"/>
    </row>
    <row r="8" spans="1:22">
      <c r="A8" s="109">
        <v>38687</v>
      </c>
      <c r="B8" s="66">
        <v>2149.7398589999998</v>
      </c>
      <c r="C8" s="66">
        <v>1981.7475750000001</v>
      </c>
      <c r="D8" s="66">
        <v>2295.1327740000002</v>
      </c>
      <c r="E8" s="66">
        <v>2703.5745710000001</v>
      </c>
      <c r="F8" s="66">
        <v>2697.675956</v>
      </c>
      <c r="G8" s="66">
        <v>2712.410398</v>
      </c>
      <c r="H8" s="66">
        <v>2230.3880349999999</v>
      </c>
      <c r="I8" s="63"/>
      <c r="J8" s="66">
        <v>267938</v>
      </c>
      <c r="K8" s="66">
        <v>547516</v>
      </c>
      <c r="L8" s="66">
        <v>948556</v>
      </c>
      <c r="M8" s="66">
        <v>840973</v>
      </c>
      <c r="N8" s="66">
        <v>269439</v>
      </c>
      <c r="O8" s="66">
        <v>123976</v>
      </c>
      <c r="Q8" s="5"/>
      <c r="R8" s="5"/>
      <c r="S8" s="63"/>
      <c r="T8" s="63"/>
      <c r="U8" s="63"/>
      <c r="V8" s="63"/>
    </row>
    <row r="9" spans="1:22">
      <c r="A9" s="109">
        <v>39052</v>
      </c>
      <c r="B9" s="66">
        <v>2165.8442439999999</v>
      </c>
      <c r="C9" s="66">
        <v>1988.7695839999999</v>
      </c>
      <c r="D9" s="66">
        <v>2324.573727</v>
      </c>
      <c r="E9" s="66">
        <v>2719.1871449999999</v>
      </c>
      <c r="F9" s="66">
        <v>2725.5252249999999</v>
      </c>
      <c r="G9" s="66">
        <v>2710.555085</v>
      </c>
      <c r="H9" s="66">
        <v>2248.4515759999999</v>
      </c>
      <c r="I9" s="63"/>
      <c r="J9" s="66">
        <v>264155</v>
      </c>
      <c r="K9" s="66">
        <v>547444</v>
      </c>
      <c r="L9" s="66">
        <v>960500</v>
      </c>
      <c r="M9" s="66">
        <v>879568</v>
      </c>
      <c r="N9" s="66">
        <v>284667</v>
      </c>
      <c r="O9" s="66">
        <v>127558</v>
      </c>
      <c r="Q9" s="5"/>
      <c r="R9" s="5"/>
      <c r="S9" s="63"/>
      <c r="T9" s="63"/>
      <c r="U9" s="63"/>
      <c r="V9" s="63"/>
    </row>
    <row r="10" spans="1:22">
      <c r="A10" s="109">
        <v>39417</v>
      </c>
      <c r="B10" s="66">
        <v>2182.5024210000001</v>
      </c>
      <c r="C10" s="66">
        <v>1999.463675</v>
      </c>
      <c r="D10" s="66">
        <v>2351.4820829999999</v>
      </c>
      <c r="E10" s="66">
        <v>2734.7794960000001</v>
      </c>
      <c r="F10" s="66">
        <v>2750.8230159999998</v>
      </c>
      <c r="G10" s="66">
        <v>2715.3511619999999</v>
      </c>
      <c r="H10" s="66">
        <v>2266.9239990000001</v>
      </c>
      <c r="I10" s="63"/>
      <c r="J10" s="66">
        <v>261873</v>
      </c>
      <c r="K10" s="66">
        <v>545632</v>
      </c>
      <c r="L10" s="66">
        <v>966580</v>
      </c>
      <c r="M10" s="66">
        <v>917891</v>
      </c>
      <c r="N10" s="66">
        <v>299208</v>
      </c>
      <c r="O10" s="66">
        <v>132381</v>
      </c>
      <c r="Q10" s="5"/>
      <c r="R10" s="5"/>
      <c r="S10" s="63"/>
      <c r="T10" s="63"/>
      <c r="U10" s="63"/>
      <c r="V10" s="63"/>
    </row>
    <row r="11" spans="1:22">
      <c r="A11" s="109">
        <v>39783</v>
      </c>
      <c r="B11" s="66">
        <v>2194.3980940000001</v>
      </c>
      <c r="C11" s="66">
        <v>2008.3161600000001</v>
      </c>
      <c r="D11" s="66">
        <v>2367.9234540000002</v>
      </c>
      <c r="E11" s="66">
        <v>2741.9013420000001</v>
      </c>
      <c r="F11" s="66">
        <v>2771.1919720000001</v>
      </c>
      <c r="G11" s="66">
        <v>2711.0605850000002</v>
      </c>
      <c r="H11" s="66">
        <v>2279.5978289999998</v>
      </c>
      <c r="I11" s="63"/>
      <c r="J11" s="66">
        <v>259363</v>
      </c>
      <c r="K11" s="66">
        <v>544588</v>
      </c>
      <c r="L11" s="66">
        <v>959848</v>
      </c>
      <c r="M11" s="66">
        <v>937446</v>
      </c>
      <c r="N11" s="66">
        <v>307824</v>
      </c>
      <c r="O11" s="66">
        <v>135735</v>
      </c>
      <c r="Q11" s="5"/>
      <c r="R11" s="5"/>
      <c r="S11" s="63"/>
      <c r="T11" s="63"/>
      <c r="U11" s="63"/>
      <c r="V11" s="63"/>
    </row>
    <row r="12" spans="1:22">
      <c r="A12" s="109">
        <v>40148</v>
      </c>
      <c r="B12" s="66">
        <v>2201.0050759999999</v>
      </c>
      <c r="C12" s="66">
        <v>2010.9220929999999</v>
      </c>
      <c r="D12" s="66">
        <v>2379.267151</v>
      </c>
      <c r="E12" s="66">
        <v>2742.976917</v>
      </c>
      <c r="F12" s="66">
        <v>2786.6340540000001</v>
      </c>
      <c r="G12" s="66">
        <v>2702.0756219999998</v>
      </c>
      <c r="H12" s="66">
        <v>2286.2949789999998</v>
      </c>
      <c r="I12" s="63"/>
      <c r="J12" s="66">
        <v>257672</v>
      </c>
      <c r="K12" s="66">
        <v>541857</v>
      </c>
      <c r="L12" s="66">
        <v>946796</v>
      </c>
      <c r="M12" s="66">
        <v>943417</v>
      </c>
      <c r="N12" s="66">
        <v>310793</v>
      </c>
      <c r="O12" s="66">
        <v>136411</v>
      </c>
      <c r="Q12" s="5"/>
      <c r="R12" s="5"/>
      <c r="S12" s="63"/>
      <c r="T12" s="63"/>
      <c r="U12" s="63"/>
      <c r="V12" s="63"/>
    </row>
    <row r="13" spans="1:22">
      <c r="A13" s="109">
        <v>40513</v>
      </c>
      <c r="B13" s="66">
        <v>2205.8902800000001</v>
      </c>
      <c r="C13" s="66">
        <v>2014.572866</v>
      </c>
      <c r="D13" s="66">
        <v>2387.9947870000001</v>
      </c>
      <c r="E13" s="66">
        <v>2743.5445810000001</v>
      </c>
      <c r="F13" s="66">
        <v>2802.4128930000002</v>
      </c>
      <c r="G13" s="66">
        <v>2695.1256669999998</v>
      </c>
      <c r="H13" s="66">
        <v>2291.0431400000002</v>
      </c>
      <c r="I13" s="63"/>
      <c r="J13" s="66">
        <v>258645</v>
      </c>
      <c r="K13" s="66">
        <v>544236</v>
      </c>
      <c r="L13" s="66">
        <v>945464</v>
      </c>
      <c r="M13" s="66">
        <v>961579</v>
      </c>
      <c r="N13" s="66">
        <v>313888</v>
      </c>
      <c r="O13" s="66">
        <v>137825</v>
      </c>
      <c r="Q13" s="5"/>
      <c r="R13" s="5"/>
      <c r="S13" s="63"/>
      <c r="T13" s="63"/>
      <c r="U13" s="63"/>
      <c r="V13" s="63"/>
    </row>
    <row r="14" spans="1:22">
      <c r="A14" s="109">
        <v>40878</v>
      </c>
      <c r="B14" s="66">
        <v>2210.400564</v>
      </c>
      <c r="C14" s="66">
        <v>2019.633161</v>
      </c>
      <c r="D14" s="66">
        <v>2392.2923460000002</v>
      </c>
      <c r="E14" s="66">
        <v>2744.0136950000001</v>
      </c>
      <c r="F14" s="66">
        <v>2821.181509</v>
      </c>
      <c r="G14" s="66">
        <v>2689.239759</v>
      </c>
      <c r="H14" s="66">
        <v>2296.0807580000001</v>
      </c>
      <c r="I14" s="63"/>
      <c r="J14" s="66">
        <v>259855</v>
      </c>
      <c r="K14" s="66">
        <v>541776</v>
      </c>
      <c r="L14" s="66">
        <v>931650</v>
      </c>
      <c r="M14" s="66">
        <v>972119</v>
      </c>
      <c r="N14" s="66">
        <v>314502</v>
      </c>
      <c r="O14" s="66">
        <v>138962</v>
      </c>
      <c r="Q14" s="5"/>
      <c r="R14" s="5"/>
      <c r="S14" s="63"/>
      <c r="T14" s="63"/>
      <c r="U14" s="63"/>
      <c r="V14" s="63"/>
    </row>
    <row r="15" spans="1:22">
      <c r="A15" s="109">
        <v>41244</v>
      </c>
      <c r="B15" s="66">
        <v>2209.8764470000001</v>
      </c>
      <c r="C15" s="66">
        <v>2020.247296</v>
      </c>
      <c r="D15" s="66">
        <v>2389.765296</v>
      </c>
      <c r="E15" s="66">
        <v>2740.4974069999998</v>
      </c>
      <c r="F15" s="66">
        <v>2835.2378819999999</v>
      </c>
      <c r="G15" s="66">
        <v>2682.262185</v>
      </c>
      <c r="H15" s="66">
        <v>2296.7801060000002</v>
      </c>
      <c r="I15" s="63"/>
      <c r="J15" s="66">
        <v>266117</v>
      </c>
      <c r="K15" s="66">
        <v>551677</v>
      </c>
      <c r="L15" s="66">
        <v>935172</v>
      </c>
      <c r="M15" s="66">
        <v>990075</v>
      </c>
      <c r="N15" s="66">
        <v>320339</v>
      </c>
      <c r="O15" s="66">
        <v>140638</v>
      </c>
      <c r="Q15" s="5"/>
      <c r="R15" s="5"/>
      <c r="S15" s="63"/>
      <c r="T15" s="63"/>
      <c r="U15" s="63"/>
      <c r="V15" s="63"/>
    </row>
    <row r="16" spans="1:22">
      <c r="A16" s="109">
        <v>41609</v>
      </c>
      <c r="B16" s="66">
        <v>2207.3401050000002</v>
      </c>
      <c r="C16" s="66">
        <v>2020.8177089999999</v>
      </c>
      <c r="D16" s="66">
        <v>2384.950707</v>
      </c>
      <c r="E16" s="66">
        <v>2737.3542160000002</v>
      </c>
      <c r="F16" s="66">
        <v>2848.1342370000002</v>
      </c>
      <c r="G16" s="66">
        <v>2678.4073229999999</v>
      </c>
      <c r="H16" s="66">
        <v>2296.4975890000001</v>
      </c>
      <c r="I16" s="63"/>
      <c r="J16" s="66">
        <v>278454</v>
      </c>
      <c r="K16" s="66">
        <v>564524</v>
      </c>
      <c r="L16" s="66">
        <v>944083</v>
      </c>
      <c r="M16" s="66">
        <v>1018185</v>
      </c>
      <c r="N16" s="66">
        <v>328494</v>
      </c>
      <c r="O16" s="66">
        <v>143439</v>
      </c>
      <c r="Q16" s="5"/>
      <c r="R16" s="5"/>
      <c r="S16" s="63"/>
      <c r="T16" s="63"/>
      <c r="U16" s="63"/>
      <c r="V16" s="63"/>
    </row>
    <row r="17" spans="1:22">
      <c r="A17" s="109">
        <v>41974</v>
      </c>
      <c r="B17" s="66">
        <v>2203.1778749999999</v>
      </c>
      <c r="C17" s="66">
        <v>2023.4356780000001</v>
      </c>
      <c r="D17" s="66">
        <v>2377.4325009999998</v>
      </c>
      <c r="E17" s="66">
        <v>2737.5185120000001</v>
      </c>
      <c r="F17" s="66">
        <v>2861.1197910000001</v>
      </c>
      <c r="G17" s="66">
        <v>2680.4307549999999</v>
      </c>
      <c r="H17" s="66">
        <v>2295.1158780000001</v>
      </c>
      <c r="I17" s="63"/>
      <c r="J17" s="66">
        <v>294080</v>
      </c>
      <c r="K17" s="66">
        <v>585238</v>
      </c>
      <c r="L17" s="66">
        <v>963939</v>
      </c>
      <c r="M17" s="66">
        <v>1057507</v>
      </c>
      <c r="N17" s="66">
        <v>341200</v>
      </c>
      <c r="O17" s="66">
        <v>147057</v>
      </c>
      <c r="Q17" s="5"/>
      <c r="R17" s="5"/>
      <c r="S17" s="63"/>
      <c r="T17" s="63"/>
      <c r="U17" s="63"/>
      <c r="V17" s="63"/>
    </row>
    <row r="18" spans="1:22">
      <c r="A18" s="109">
        <v>42339</v>
      </c>
      <c r="B18" s="66">
        <v>2200.1008419999998</v>
      </c>
      <c r="C18" s="66">
        <v>2028.796623</v>
      </c>
      <c r="D18" s="66">
        <v>2369.8334920000002</v>
      </c>
      <c r="E18" s="66">
        <v>2736.9384559999999</v>
      </c>
      <c r="F18" s="66">
        <v>2872.9073290000001</v>
      </c>
      <c r="G18" s="66">
        <v>2682.3342769999999</v>
      </c>
      <c r="H18" s="66">
        <v>2294.6261159999999</v>
      </c>
      <c r="I18" s="63"/>
      <c r="J18" s="66">
        <v>310135</v>
      </c>
      <c r="K18" s="66">
        <v>604098</v>
      </c>
      <c r="L18" s="66">
        <v>986262</v>
      </c>
      <c r="M18" s="66">
        <v>1103168</v>
      </c>
      <c r="N18" s="66">
        <v>354717</v>
      </c>
      <c r="O18" s="66">
        <v>151213</v>
      </c>
      <c r="Q18" s="5"/>
      <c r="R18" s="5"/>
      <c r="S18" s="63"/>
      <c r="T18" s="63"/>
      <c r="U18" s="63"/>
      <c r="V18" s="63"/>
    </row>
    <row r="19" spans="1:22">
      <c r="A19" s="109">
        <v>42705</v>
      </c>
      <c r="B19" s="66">
        <v>2196.1825159999999</v>
      </c>
      <c r="C19" s="66">
        <v>2033.540473</v>
      </c>
      <c r="D19" s="66">
        <v>2360.5259219999998</v>
      </c>
      <c r="E19" s="66">
        <v>2734.9108639999999</v>
      </c>
      <c r="F19" s="66">
        <v>2882.3464629999999</v>
      </c>
      <c r="G19" s="66">
        <v>2683.0654970000001</v>
      </c>
      <c r="H19" s="66">
        <v>2293.7616290000001</v>
      </c>
      <c r="I19" s="63"/>
      <c r="J19" s="66">
        <v>325317</v>
      </c>
      <c r="K19" s="66">
        <v>628174</v>
      </c>
      <c r="L19" s="66">
        <v>1017890</v>
      </c>
      <c r="M19" s="66">
        <v>1156858</v>
      </c>
      <c r="N19" s="66">
        <v>369111</v>
      </c>
      <c r="O19" s="66">
        <v>156467</v>
      </c>
      <c r="Q19" s="5"/>
      <c r="R19" s="5"/>
      <c r="S19" s="63"/>
      <c r="T19" s="63"/>
      <c r="U19" s="63"/>
      <c r="V19" s="63"/>
    </row>
    <row r="20" spans="1:22">
      <c r="A20" s="109">
        <v>43070</v>
      </c>
      <c r="B20" s="66">
        <v>2192.7055639999999</v>
      </c>
      <c r="C20" s="66">
        <v>2041.645258</v>
      </c>
      <c r="D20" s="66">
        <v>2348.1668159999999</v>
      </c>
      <c r="E20" s="66">
        <v>2734.8779300000001</v>
      </c>
      <c r="F20" s="66">
        <v>2888.207242</v>
      </c>
      <c r="G20" s="66">
        <v>2686.8552829999999</v>
      </c>
      <c r="H20" s="66">
        <v>2294.3465110000002</v>
      </c>
      <c r="I20" s="63"/>
      <c r="J20" s="66">
        <v>340729</v>
      </c>
      <c r="K20" s="66">
        <v>649733</v>
      </c>
      <c r="L20" s="66">
        <v>1048333</v>
      </c>
      <c r="M20" s="66">
        <v>1216904</v>
      </c>
      <c r="N20" s="66">
        <v>383979</v>
      </c>
      <c r="O20" s="66">
        <v>161832</v>
      </c>
      <c r="Q20" s="5"/>
      <c r="R20" s="5"/>
      <c r="S20" s="63"/>
      <c r="T20" s="63"/>
      <c r="U20" s="63"/>
      <c r="V20" s="63"/>
    </row>
    <row r="21" spans="1:22">
      <c r="A21" s="109">
        <v>43435</v>
      </c>
      <c r="B21" s="66">
        <v>2186.6512640000001</v>
      </c>
      <c r="C21" s="66">
        <v>2045.8495620000001</v>
      </c>
      <c r="D21" s="66">
        <v>2331.7500610000002</v>
      </c>
      <c r="E21" s="66">
        <v>2732.122676</v>
      </c>
      <c r="F21" s="66">
        <v>2892.4262440000002</v>
      </c>
      <c r="G21" s="66">
        <v>2687.3954960000001</v>
      </c>
      <c r="H21" s="66">
        <v>2292.7269590000001</v>
      </c>
      <c r="I21" s="63"/>
      <c r="J21" s="66">
        <v>355748</v>
      </c>
      <c r="K21" s="66">
        <v>664955</v>
      </c>
      <c r="L21" s="66">
        <v>1073012</v>
      </c>
      <c r="M21" s="66">
        <v>1258112</v>
      </c>
      <c r="N21" s="66">
        <v>394136</v>
      </c>
      <c r="O21" s="66">
        <v>165214</v>
      </c>
      <c r="Q21" s="5"/>
      <c r="R21" s="5"/>
      <c r="S21" s="63"/>
      <c r="T21" s="63"/>
      <c r="U21" s="63"/>
      <c r="V21" s="63"/>
    </row>
    <row r="22" spans="1:22">
      <c r="A22" s="109">
        <v>43800</v>
      </c>
      <c r="B22" s="66">
        <v>2177.9932060000001</v>
      </c>
      <c r="C22" s="66">
        <v>2044.943884</v>
      </c>
      <c r="D22" s="66">
        <v>2314.837227</v>
      </c>
      <c r="E22" s="66">
        <v>2726.4341599999998</v>
      </c>
      <c r="F22" s="66">
        <v>2892.6531890000001</v>
      </c>
      <c r="G22" s="66">
        <v>2684.554834</v>
      </c>
      <c r="H22" s="66">
        <v>2288.0462470000002</v>
      </c>
      <c r="I22" s="63"/>
      <c r="J22" s="66">
        <v>368873</v>
      </c>
      <c r="K22" s="66">
        <v>680466</v>
      </c>
      <c r="L22" s="66">
        <v>1098472</v>
      </c>
      <c r="M22" s="66">
        <v>1286883</v>
      </c>
      <c r="N22" s="66">
        <v>397539</v>
      </c>
      <c r="O22" s="66">
        <v>167368</v>
      </c>
      <c r="Q22" s="5"/>
      <c r="R22" s="5"/>
      <c r="S22" s="63"/>
      <c r="T22" s="63"/>
      <c r="U22" s="63"/>
      <c r="V22" s="63"/>
    </row>
    <row r="23" spans="1:22">
      <c r="A23" s="109">
        <v>44166</v>
      </c>
      <c r="B23" s="66">
        <v>2173.7890860000002</v>
      </c>
      <c r="C23" s="66">
        <v>2048.0685680000001</v>
      </c>
      <c r="D23" s="66">
        <v>2302.100367</v>
      </c>
      <c r="E23" s="66">
        <v>2720.6934219999998</v>
      </c>
      <c r="F23" s="66">
        <v>2888.4580120000001</v>
      </c>
      <c r="G23" s="66">
        <v>2681.2724739999999</v>
      </c>
      <c r="H23" s="66">
        <v>2286.257447</v>
      </c>
      <c r="I23" s="63"/>
      <c r="J23" s="66">
        <v>372946</v>
      </c>
      <c r="K23" s="66">
        <v>687411</v>
      </c>
      <c r="L23" s="66">
        <v>1107257</v>
      </c>
      <c r="M23" s="66">
        <v>1301819</v>
      </c>
      <c r="N23" s="66">
        <v>396488</v>
      </c>
      <c r="O23" s="66">
        <v>168918</v>
      </c>
      <c r="Q23" s="5"/>
      <c r="R23" s="5"/>
    </row>
    <row r="24" spans="1:22">
      <c r="A24" s="109">
        <v>44531</v>
      </c>
      <c r="B24" s="66">
        <v>2170.7786860000001</v>
      </c>
      <c r="C24" s="66">
        <v>2056.4169539999998</v>
      </c>
      <c r="D24" s="66">
        <v>2285.016783</v>
      </c>
      <c r="E24" s="66">
        <v>2708.4755319999999</v>
      </c>
      <c r="F24" s="66">
        <v>2878.5627199999999</v>
      </c>
      <c r="G24" s="66">
        <v>2671.4753989999999</v>
      </c>
      <c r="H24" s="66">
        <v>2284.6570059999999</v>
      </c>
      <c r="J24" s="66">
        <v>374203</v>
      </c>
      <c r="K24" s="66">
        <v>699757</v>
      </c>
      <c r="L24" s="66">
        <v>1130314</v>
      </c>
      <c r="M24" s="66">
        <v>1340988</v>
      </c>
      <c r="N24" s="66">
        <v>394776</v>
      </c>
      <c r="O24" s="66">
        <v>171431</v>
      </c>
      <c r="Q24" s="5"/>
      <c r="R24" s="5"/>
    </row>
    <row r="25" spans="1:22">
      <c r="A25" s="109">
        <v>44896</v>
      </c>
      <c r="B25" s="66">
        <v>2164.8777340000001</v>
      </c>
      <c r="C25" s="66">
        <v>2058.9979539999999</v>
      </c>
      <c r="D25" s="66">
        <v>2268.0900849999998</v>
      </c>
      <c r="E25" s="66">
        <v>2696.220554</v>
      </c>
      <c r="F25" s="66">
        <v>2870.9459820000002</v>
      </c>
      <c r="G25" s="66">
        <v>2660.6828909999999</v>
      </c>
      <c r="H25" s="66">
        <v>2280.0976810000002</v>
      </c>
      <c r="J25" s="66">
        <v>375607</v>
      </c>
      <c r="K25" s="66">
        <v>719927</v>
      </c>
      <c r="L25" s="66">
        <v>1147132</v>
      </c>
      <c r="M25" s="66">
        <v>1370870</v>
      </c>
      <c r="N25" s="66">
        <v>386660</v>
      </c>
      <c r="O25" s="66">
        <v>173339</v>
      </c>
      <c r="Q25" s="5"/>
      <c r="R25" s="5"/>
    </row>
    <row r="26" spans="1:22">
      <c r="A26" s="109">
        <v>45261</v>
      </c>
      <c r="B26" s="66">
        <v>2149.930194</v>
      </c>
      <c r="C26" s="66">
        <v>2045.360846</v>
      </c>
      <c r="D26" s="66">
        <v>2250.5830860000001</v>
      </c>
      <c r="E26" s="66">
        <v>2690.0625479999999</v>
      </c>
      <c r="F26" s="66">
        <v>2867.6302460000002</v>
      </c>
      <c r="G26" s="66">
        <v>2655.770798</v>
      </c>
      <c r="H26" s="66">
        <v>2267.2713060000001</v>
      </c>
      <c r="J26" s="66">
        <v>381799</v>
      </c>
      <c r="K26" s="66">
        <v>747051</v>
      </c>
      <c r="L26" s="66">
        <v>1162971</v>
      </c>
      <c r="M26" s="66">
        <v>1371341</v>
      </c>
      <c r="N26" s="66">
        <v>372877</v>
      </c>
      <c r="O26" s="66">
        <v>171448</v>
      </c>
      <c r="Q26" s="5"/>
      <c r="R26" s="5"/>
    </row>
  </sheetData>
  <mergeCells count="1">
    <mergeCell ref="A1:H1"/>
  </mergeCells>
  <phoneticPr fontId="5" type="noConversion"/>
  <pageMargins left="0.75" right="0.75" top="1" bottom="1" header="0.5" footer="0.5"/>
  <pageSetup paperSize="9" orientation="landscape" horizontalDpi="4294967292" verticalDpi="4294967292"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39997558519241921"/>
  </sheetPr>
  <dimension ref="A1:S52"/>
  <sheetViews>
    <sheetView zoomScaleNormal="100" workbookViewId="0"/>
  </sheetViews>
  <sheetFormatPr defaultColWidth="8.81640625" defaultRowHeight="12.5"/>
  <cols>
    <col min="2" max="11" width="8.81640625" style="1"/>
  </cols>
  <sheetData>
    <row r="1" spans="1:11" ht="24.75" customHeight="1">
      <c r="B1" s="17" t="s">
        <v>337</v>
      </c>
      <c r="C1" s="31"/>
      <c r="D1" s="31"/>
      <c r="E1" s="31"/>
      <c r="F1" s="31"/>
      <c r="G1" s="31"/>
      <c r="H1" s="203"/>
      <c r="I1" s="203"/>
      <c r="J1" s="213" t="s">
        <v>79</v>
      </c>
      <c r="K1" s="213"/>
    </row>
    <row r="2" spans="1:11">
      <c r="A2" s="42"/>
      <c r="B2" s="216" t="s">
        <v>338</v>
      </c>
      <c r="C2" s="216"/>
      <c r="D2" s="216"/>
      <c r="E2" s="216"/>
      <c r="F2" s="216"/>
      <c r="G2" s="216" t="s">
        <v>339</v>
      </c>
      <c r="H2" s="216"/>
      <c r="I2" s="216"/>
      <c r="J2" s="216"/>
      <c r="K2" s="216"/>
    </row>
    <row r="3" spans="1:11">
      <c r="A3" s="42" t="s">
        <v>243</v>
      </c>
      <c r="B3" s="59" t="s">
        <v>331</v>
      </c>
      <c r="C3" s="59" t="s">
        <v>332</v>
      </c>
      <c r="D3" s="59" t="s">
        <v>333</v>
      </c>
      <c r="E3" s="59" t="s">
        <v>334</v>
      </c>
      <c r="F3" s="59" t="s">
        <v>340</v>
      </c>
      <c r="G3" s="59" t="s">
        <v>331</v>
      </c>
      <c r="H3" s="59" t="s">
        <v>332</v>
      </c>
      <c r="I3" s="59" t="s">
        <v>333</v>
      </c>
      <c r="J3" s="59" t="s">
        <v>334</v>
      </c>
      <c r="K3" s="59" t="s">
        <v>340</v>
      </c>
    </row>
    <row r="4" spans="1:11">
      <c r="A4" s="42" t="s">
        <v>294</v>
      </c>
      <c r="B4" s="66">
        <v>1751.3894499999999</v>
      </c>
      <c r="C4" s="66">
        <v>2163.2093110000001</v>
      </c>
      <c r="D4" s="66">
        <v>1871.018894</v>
      </c>
      <c r="E4" s="66">
        <v>2092.022661</v>
      </c>
      <c r="F4" s="66">
        <v>3195.1072380000001</v>
      </c>
      <c r="G4" s="66">
        <v>4346.0934239999997</v>
      </c>
      <c r="H4" s="66">
        <v>1990.246699</v>
      </c>
      <c r="I4" s="66">
        <v>2464.439875</v>
      </c>
      <c r="J4" s="66">
        <v>2081.9055210000001</v>
      </c>
      <c r="K4" s="66">
        <v>3738.6802950000001</v>
      </c>
    </row>
    <row r="5" spans="1:11">
      <c r="A5" s="42" t="s">
        <v>295</v>
      </c>
      <c r="B5" s="66">
        <v>1931.0563440000001</v>
      </c>
      <c r="C5" s="66">
        <v>2687.141455</v>
      </c>
      <c r="D5" s="66">
        <v>1981.5247529999999</v>
      </c>
      <c r="E5" s="66">
        <v>1869.5030859999999</v>
      </c>
      <c r="F5" s="66">
        <v>3212.1178380000001</v>
      </c>
      <c r="G5" s="66">
        <v>3807.1984320000001</v>
      </c>
      <c r="H5" s="66">
        <v>2929.92803</v>
      </c>
      <c r="I5" s="66">
        <v>3376.2073850000002</v>
      </c>
      <c r="J5" s="66">
        <v>2112.5780949999998</v>
      </c>
      <c r="K5" s="66">
        <v>4723.8719170000004</v>
      </c>
    </row>
    <row r="6" spans="1:11">
      <c r="A6" s="42" t="s">
        <v>263</v>
      </c>
      <c r="B6" s="66">
        <v>1570.5286470000001</v>
      </c>
      <c r="C6" s="66">
        <v>931.01507340000001</v>
      </c>
      <c r="D6" s="66">
        <v>616.46115810000003</v>
      </c>
      <c r="E6" s="66">
        <v>827.38461470000004</v>
      </c>
      <c r="F6" s="66">
        <v>1527.3706340000001</v>
      </c>
      <c r="G6" s="66">
        <v>549.85716930000001</v>
      </c>
      <c r="H6" s="66">
        <v>635.41647969999997</v>
      </c>
      <c r="I6" s="66">
        <v>3055.8353929999998</v>
      </c>
      <c r="J6" s="66">
        <v>1185.5453669999999</v>
      </c>
      <c r="K6" s="66">
        <v>5443.4167010000001</v>
      </c>
    </row>
    <row r="7" spans="1:11">
      <c r="A7" s="42">
        <v>1980</v>
      </c>
      <c r="B7" s="66">
        <v>3780.262131</v>
      </c>
      <c r="C7" s="66">
        <v>2246.6146370000001</v>
      </c>
      <c r="D7" s="66">
        <v>2723.6842029999998</v>
      </c>
      <c r="E7" s="66">
        <v>1823.204772</v>
      </c>
      <c r="F7" s="66">
        <v>1819.87093</v>
      </c>
      <c r="G7" s="66">
        <v>4780.500634</v>
      </c>
      <c r="H7" s="66">
        <v>5942.4465490000002</v>
      </c>
      <c r="I7" s="66">
        <v>7141.1979549999996</v>
      </c>
      <c r="J7" s="66">
        <v>4652.7504159999999</v>
      </c>
      <c r="K7" s="66">
        <v>3030.0219520000001</v>
      </c>
    </row>
    <row r="8" spans="1:11">
      <c r="A8" s="42">
        <v>1981</v>
      </c>
      <c r="B8" s="66">
        <v>3725.1916879999999</v>
      </c>
      <c r="C8" s="66">
        <v>2656.4074519999999</v>
      </c>
      <c r="D8" s="66">
        <v>2750.5432730000002</v>
      </c>
      <c r="E8" s="66">
        <v>2094.02898</v>
      </c>
      <c r="F8" s="66">
        <v>1758.0573260000001</v>
      </c>
      <c r="G8" s="66">
        <v>9528.6873749999995</v>
      </c>
      <c r="H8" s="66">
        <v>5562.1746629999998</v>
      </c>
      <c r="I8" s="66">
        <v>5839.8519109999997</v>
      </c>
      <c r="J8" s="66">
        <v>4551.78388</v>
      </c>
      <c r="K8" s="66">
        <v>3235.5709780000002</v>
      </c>
    </row>
    <row r="9" spans="1:11">
      <c r="A9" s="42">
        <v>1982</v>
      </c>
      <c r="B9" s="66">
        <v>3691.4314340000001</v>
      </c>
      <c r="C9" s="66">
        <v>3215.115695</v>
      </c>
      <c r="D9" s="66">
        <v>2394.5583580000002</v>
      </c>
      <c r="E9" s="66">
        <v>2215.4120659999999</v>
      </c>
      <c r="F9" s="66">
        <v>1451.541479</v>
      </c>
      <c r="G9" s="66">
        <v>7342.3097120000002</v>
      </c>
      <c r="H9" s="66">
        <v>5182.1755439999997</v>
      </c>
      <c r="I9" s="66">
        <v>3483.6518329999999</v>
      </c>
      <c r="J9" s="66">
        <v>3626.5958310000001</v>
      </c>
      <c r="K9" s="66">
        <v>3658.0663249999998</v>
      </c>
    </row>
    <row r="10" spans="1:11">
      <c r="A10" s="42">
        <v>1983</v>
      </c>
      <c r="B10" s="66">
        <v>3472.047673</v>
      </c>
      <c r="C10" s="66">
        <v>2039.0973859999999</v>
      </c>
      <c r="D10" s="66">
        <v>2070.3744099999999</v>
      </c>
      <c r="E10" s="66">
        <v>2369.1935669999998</v>
      </c>
      <c r="F10" s="66">
        <v>1530.4144550000001</v>
      </c>
      <c r="G10" s="66">
        <v>4751.0780629999999</v>
      </c>
      <c r="H10" s="66">
        <v>3266.5801499999998</v>
      </c>
      <c r="I10" s="66">
        <v>2823.5013009999998</v>
      </c>
      <c r="J10" s="66">
        <v>3033.0382129999998</v>
      </c>
      <c r="K10" s="66">
        <v>3689.3677830000001</v>
      </c>
    </row>
    <row r="11" spans="1:11">
      <c r="A11" s="42">
        <v>1984</v>
      </c>
      <c r="B11" s="66">
        <v>3390.2355910000001</v>
      </c>
      <c r="C11" s="66">
        <v>2673.929705</v>
      </c>
      <c r="D11" s="66">
        <v>2176.2532249999999</v>
      </c>
      <c r="E11" s="66">
        <v>2149.6210369999999</v>
      </c>
      <c r="F11" s="66">
        <v>1812.145237</v>
      </c>
      <c r="G11" s="66">
        <v>3152.574118</v>
      </c>
      <c r="H11" s="66">
        <v>3159.6107539999998</v>
      </c>
      <c r="I11" s="66">
        <v>3276.1415630000001</v>
      </c>
      <c r="J11" s="66">
        <v>3389.9151860000002</v>
      </c>
      <c r="K11" s="66">
        <v>4180.2737159999997</v>
      </c>
    </row>
    <row r="12" spans="1:11">
      <c r="A12" s="42">
        <v>1985</v>
      </c>
      <c r="B12" s="66">
        <v>3547.2389109999999</v>
      </c>
      <c r="C12" s="66">
        <v>2699.4950130000002</v>
      </c>
      <c r="D12" s="66">
        <v>2590.379316</v>
      </c>
      <c r="E12" s="66">
        <v>2267.517374</v>
      </c>
      <c r="F12" s="66">
        <v>1649.5385309999999</v>
      </c>
      <c r="G12" s="66">
        <v>4524.221442</v>
      </c>
      <c r="H12" s="66">
        <v>3064.744103</v>
      </c>
      <c r="I12" s="66">
        <v>3713.1980659999999</v>
      </c>
      <c r="J12" s="66">
        <v>2846.7182170000001</v>
      </c>
      <c r="K12" s="66">
        <v>3648.5668260000002</v>
      </c>
    </row>
    <row r="13" spans="1:11">
      <c r="A13" s="42">
        <v>1986</v>
      </c>
      <c r="B13" s="66">
        <v>3941.8736800000001</v>
      </c>
      <c r="C13" s="66">
        <v>3063.859778</v>
      </c>
      <c r="D13" s="66">
        <v>2157.6910069999999</v>
      </c>
      <c r="E13" s="66">
        <v>2117.7055369999998</v>
      </c>
      <c r="F13" s="66">
        <v>2011.589798</v>
      </c>
      <c r="G13" s="66">
        <v>6539.7825400000002</v>
      </c>
      <c r="H13" s="66">
        <v>3200.308051</v>
      </c>
      <c r="I13" s="66">
        <v>3628.5923670000002</v>
      </c>
      <c r="J13" s="66">
        <v>3504.3061280000002</v>
      </c>
      <c r="K13" s="66">
        <v>3211.2299579999999</v>
      </c>
    </row>
    <row r="14" spans="1:11">
      <c r="A14" s="42">
        <v>1987</v>
      </c>
      <c r="B14" s="66">
        <v>3369.1984600000001</v>
      </c>
      <c r="C14" s="66">
        <v>3096.5732400000002</v>
      </c>
      <c r="D14" s="66">
        <v>2622.1786670000001</v>
      </c>
      <c r="E14" s="66">
        <v>2716.702961</v>
      </c>
      <c r="F14" s="66">
        <v>2410.1264890000002</v>
      </c>
      <c r="G14" s="66">
        <v>5105.6270549999999</v>
      </c>
      <c r="H14" s="66">
        <v>3398.0456600000002</v>
      </c>
      <c r="I14" s="66">
        <v>3206.6226160000001</v>
      </c>
      <c r="J14" s="66">
        <v>3463.054568</v>
      </c>
      <c r="K14" s="66">
        <v>3165.605798</v>
      </c>
    </row>
    <row r="15" spans="1:11">
      <c r="A15" s="42">
        <v>1988</v>
      </c>
      <c r="B15" s="66">
        <v>3703.8999509999999</v>
      </c>
      <c r="C15" s="66">
        <v>3319.408602</v>
      </c>
      <c r="D15" s="66">
        <v>2660.4446509999998</v>
      </c>
      <c r="E15" s="66">
        <v>2755.8094489999999</v>
      </c>
      <c r="F15" s="66">
        <v>2506.2596699999999</v>
      </c>
      <c r="G15" s="66">
        <v>4529.1062330000004</v>
      </c>
      <c r="H15" s="66">
        <v>3440.3432659999999</v>
      </c>
      <c r="I15" s="66">
        <v>3634.7351640000002</v>
      </c>
      <c r="J15" s="66">
        <v>3775.8158699999999</v>
      </c>
      <c r="K15" s="66">
        <v>3860.1543550000001</v>
      </c>
    </row>
    <row r="16" spans="1:11">
      <c r="A16" s="42">
        <v>1989</v>
      </c>
      <c r="B16" s="66">
        <v>4517.3365869999998</v>
      </c>
      <c r="C16" s="66">
        <v>3790.684025</v>
      </c>
      <c r="D16" s="66">
        <v>2884.999988</v>
      </c>
      <c r="E16" s="66">
        <v>3038.4488769999998</v>
      </c>
      <c r="F16" s="66">
        <v>2509.6664609999998</v>
      </c>
      <c r="G16" s="66">
        <v>9429.1479450000006</v>
      </c>
      <c r="H16" s="66">
        <v>2968.703391</v>
      </c>
      <c r="I16" s="66">
        <v>3751.7513490000001</v>
      </c>
      <c r="J16" s="66">
        <v>4084.2369319999998</v>
      </c>
      <c r="K16" s="66">
        <v>4240.8725320000003</v>
      </c>
    </row>
    <row r="17" spans="1:11">
      <c r="A17" s="42">
        <v>1990</v>
      </c>
      <c r="B17" s="66">
        <v>4271.6410759999999</v>
      </c>
      <c r="C17" s="66">
        <v>4205.3890600000004</v>
      </c>
      <c r="D17" s="66">
        <v>3309.7969750000002</v>
      </c>
      <c r="E17" s="66">
        <v>3186.0003630000001</v>
      </c>
      <c r="F17" s="66">
        <v>3164.6104839999998</v>
      </c>
      <c r="G17" s="66">
        <v>3335.552013</v>
      </c>
      <c r="H17" s="66">
        <v>3171.6480230000002</v>
      </c>
      <c r="I17" s="66">
        <v>4092.7071820000001</v>
      </c>
      <c r="J17" s="66">
        <v>4401.5842060000004</v>
      </c>
      <c r="K17" s="66">
        <v>3730.1858400000001</v>
      </c>
    </row>
    <row r="18" spans="1:11">
      <c r="A18" s="42">
        <v>1991</v>
      </c>
      <c r="B18" s="66">
        <v>4500.1540859999996</v>
      </c>
      <c r="C18" s="66">
        <v>4768.8611940000001</v>
      </c>
      <c r="D18" s="66">
        <v>3575.6700259999998</v>
      </c>
      <c r="E18" s="66">
        <v>3410.3402369999999</v>
      </c>
      <c r="F18" s="66">
        <v>3511.0608280000001</v>
      </c>
      <c r="G18" s="66">
        <v>3478.5471809999999</v>
      </c>
      <c r="H18" s="66">
        <v>3756.0410860000002</v>
      </c>
      <c r="I18" s="66">
        <v>4187.492037</v>
      </c>
      <c r="J18" s="66">
        <v>4506.5608279999997</v>
      </c>
      <c r="K18" s="66">
        <v>3878.4304830000001</v>
      </c>
    </row>
    <row r="19" spans="1:11">
      <c r="A19" s="42">
        <v>1992</v>
      </c>
      <c r="B19" s="66">
        <v>4351.0511049999996</v>
      </c>
      <c r="C19" s="66">
        <v>4855.3430369999996</v>
      </c>
      <c r="D19" s="66">
        <v>3950.5400719999998</v>
      </c>
      <c r="E19" s="66">
        <v>3794.7175010000001</v>
      </c>
      <c r="F19" s="66">
        <v>3762.653131</v>
      </c>
      <c r="G19" s="66">
        <v>4363.0397139999995</v>
      </c>
      <c r="H19" s="66">
        <v>4085.7261749999998</v>
      </c>
      <c r="I19" s="66">
        <v>4451.6051289999996</v>
      </c>
      <c r="J19" s="66">
        <v>4849.6950310000002</v>
      </c>
      <c r="K19" s="66">
        <v>3945.7762010000001</v>
      </c>
    </row>
    <row r="20" spans="1:11">
      <c r="A20" s="42">
        <v>1993</v>
      </c>
      <c r="B20" s="66">
        <v>4917.2511139999997</v>
      </c>
      <c r="C20" s="66">
        <v>5294.8186439999999</v>
      </c>
      <c r="D20" s="66">
        <v>4195.1467919999996</v>
      </c>
      <c r="E20" s="66">
        <v>4470.3728369999999</v>
      </c>
      <c r="F20" s="66">
        <v>3821.4816689999998</v>
      </c>
      <c r="G20" s="66">
        <v>3446.7734610000002</v>
      </c>
      <c r="H20" s="66">
        <v>4284.9518690000004</v>
      </c>
      <c r="I20" s="66">
        <v>4783.3517540000003</v>
      </c>
      <c r="J20" s="66">
        <v>4893.9856989999998</v>
      </c>
      <c r="K20" s="66">
        <v>3753.3294919999998</v>
      </c>
    </row>
    <row r="21" spans="1:11">
      <c r="A21" s="42">
        <v>1994</v>
      </c>
      <c r="B21" s="66">
        <v>4891.7556139999997</v>
      </c>
      <c r="C21" s="66">
        <v>5620.3043340000004</v>
      </c>
      <c r="D21" s="66">
        <v>4785.1278380000003</v>
      </c>
      <c r="E21" s="66">
        <v>4988.8740379999999</v>
      </c>
      <c r="F21" s="66">
        <v>3899.7394410000002</v>
      </c>
      <c r="G21" s="66">
        <v>6004.4373649999998</v>
      </c>
      <c r="H21" s="66">
        <v>4065.2611919999999</v>
      </c>
      <c r="I21" s="66">
        <v>4878.4017809999996</v>
      </c>
      <c r="J21" s="66">
        <v>5149.8032979999998</v>
      </c>
      <c r="K21" s="66">
        <v>4161.8712640000003</v>
      </c>
    </row>
    <row r="22" spans="1:11">
      <c r="A22" s="42">
        <v>1995</v>
      </c>
      <c r="B22" s="66">
        <v>5325.3909919999996</v>
      </c>
      <c r="C22" s="66">
        <v>5678.1037260000003</v>
      </c>
      <c r="D22" s="66">
        <v>5319.3125479999999</v>
      </c>
      <c r="E22" s="66">
        <v>5496.2521290000004</v>
      </c>
      <c r="F22" s="66">
        <v>4716.4758030000003</v>
      </c>
      <c r="G22" s="66">
        <v>5119.7957200000001</v>
      </c>
      <c r="H22" s="66">
        <v>4275.073762</v>
      </c>
      <c r="I22" s="66">
        <v>5931.8452219999999</v>
      </c>
      <c r="J22" s="66">
        <v>5550.4767410000004</v>
      </c>
      <c r="K22" s="66">
        <v>4379.4018260000003</v>
      </c>
    </row>
    <row r="23" spans="1:11">
      <c r="A23" s="42">
        <v>1996</v>
      </c>
      <c r="B23" s="66">
        <v>5588.0078860000003</v>
      </c>
      <c r="C23" s="66">
        <v>6098.9714459999996</v>
      </c>
      <c r="D23" s="66">
        <v>5544.842995</v>
      </c>
      <c r="E23" s="66">
        <v>6647.536118</v>
      </c>
      <c r="F23" s="66">
        <v>5226.680926</v>
      </c>
      <c r="G23" s="66">
        <v>2601.9886339999998</v>
      </c>
      <c r="H23" s="66">
        <v>5780.6453160000001</v>
      </c>
      <c r="I23" s="66">
        <v>6104.4367259999999</v>
      </c>
      <c r="J23" s="66">
        <v>5793.7484679999998</v>
      </c>
      <c r="K23" s="66">
        <v>4496.3063819999998</v>
      </c>
    </row>
    <row r="24" spans="1:11">
      <c r="A24" s="42">
        <v>1997</v>
      </c>
      <c r="B24" s="66">
        <v>6113.6208960000004</v>
      </c>
      <c r="C24" s="66">
        <v>6422.1079760000002</v>
      </c>
      <c r="D24" s="66">
        <v>5872.6767909999999</v>
      </c>
      <c r="E24" s="66">
        <v>6865.1964820000003</v>
      </c>
      <c r="F24" s="66">
        <v>5253.637624</v>
      </c>
      <c r="G24" s="66">
        <v>3055.339172</v>
      </c>
      <c r="H24" s="66">
        <v>6487.0383300000003</v>
      </c>
      <c r="I24" s="66">
        <v>5843.9501769999997</v>
      </c>
      <c r="J24" s="66">
        <v>6000.9248779999998</v>
      </c>
      <c r="K24" s="66">
        <v>5028.6947170000003</v>
      </c>
    </row>
    <row r="25" spans="1:11">
      <c r="A25" s="42">
        <v>1998</v>
      </c>
      <c r="B25" s="66">
        <v>5938.0469300000004</v>
      </c>
      <c r="C25" s="66">
        <v>6585.928406</v>
      </c>
      <c r="D25" s="66">
        <v>6218.2391699999998</v>
      </c>
      <c r="E25" s="66">
        <v>6691.5760330000003</v>
      </c>
      <c r="F25" s="66">
        <v>5664.9525819999999</v>
      </c>
      <c r="G25" s="66">
        <v>3339.3991860000001</v>
      </c>
      <c r="H25" s="66">
        <v>4713.2327999999998</v>
      </c>
      <c r="I25" s="66">
        <v>6341.1139400000002</v>
      </c>
      <c r="J25" s="66">
        <v>6112.0537160000003</v>
      </c>
      <c r="K25" s="66">
        <v>5412.9885039999999</v>
      </c>
    </row>
    <row r="26" spans="1:11">
      <c r="A26" s="42">
        <v>1999</v>
      </c>
      <c r="B26" s="66">
        <v>6323.7816000000003</v>
      </c>
      <c r="C26" s="66">
        <v>6873.3583410000001</v>
      </c>
      <c r="D26" s="66">
        <v>6615.5574809999998</v>
      </c>
      <c r="E26" s="66">
        <v>6590.6310430000003</v>
      </c>
      <c r="F26" s="66">
        <v>5808.524539</v>
      </c>
      <c r="G26" s="66">
        <v>4210.3319339999998</v>
      </c>
      <c r="H26" s="66">
        <v>4619.5182889999996</v>
      </c>
      <c r="I26" s="66">
        <v>7096.3010109999996</v>
      </c>
      <c r="J26" s="66">
        <v>6581.2084800000002</v>
      </c>
      <c r="K26" s="66">
        <v>6007.1589819999999</v>
      </c>
    </row>
    <row r="27" spans="1:11">
      <c r="A27" s="42">
        <v>2000</v>
      </c>
      <c r="B27" s="66">
        <v>6582.8919589999996</v>
      </c>
      <c r="C27" s="66">
        <v>7003.0513289999999</v>
      </c>
      <c r="D27" s="66">
        <v>6685.4097030000003</v>
      </c>
      <c r="E27" s="66">
        <v>7033.2827479999996</v>
      </c>
      <c r="F27" s="66">
        <v>5856.4089599999998</v>
      </c>
      <c r="G27" s="66">
        <v>4166.4592849999999</v>
      </c>
      <c r="H27" s="66">
        <v>4151.3570120000004</v>
      </c>
      <c r="I27" s="66">
        <v>6906.8000689999999</v>
      </c>
      <c r="J27" s="66">
        <v>6765.3427549999997</v>
      </c>
      <c r="K27" s="66">
        <v>6249.6831819999998</v>
      </c>
    </row>
    <row r="28" spans="1:11">
      <c r="A28" s="42">
        <v>2001</v>
      </c>
      <c r="B28" s="66">
        <v>6988.3113709999998</v>
      </c>
      <c r="C28" s="66">
        <v>7654.313862</v>
      </c>
      <c r="D28" s="66">
        <v>7150.5120729999999</v>
      </c>
      <c r="E28" s="66">
        <v>7082.0693529999999</v>
      </c>
      <c r="F28" s="66">
        <v>5958.9314519999998</v>
      </c>
      <c r="G28" s="66">
        <v>4661.3275370000001</v>
      </c>
      <c r="H28" s="66">
        <v>4902.6409450000001</v>
      </c>
      <c r="I28" s="66">
        <v>7509.8794280000002</v>
      </c>
      <c r="J28" s="66">
        <v>6843.0952649999999</v>
      </c>
      <c r="K28" s="66">
        <v>6216.7831040000001</v>
      </c>
    </row>
    <row r="29" spans="1:11">
      <c r="A29" s="42">
        <v>2002</v>
      </c>
      <c r="B29" s="66">
        <v>7121.1350990000001</v>
      </c>
      <c r="C29" s="66">
        <v>7586.4126409999999</v>
      </c>
      <c r="D29" s="66">
        <v>7432.1409450000001</v>
      </c>
      <c r="E29" s="66">
        <v>7431.5747069999998</v>
      </c>
      <c r="F29" s="66">
        <v>5861.8239890000004</v>
      </c>
      <c r="G29" s="66">
        <v>3930.9300090000002</v>
      </c>
      <c r="H29" s="66">
        <v>6001.7378179999996</v>
      </c>
      <c r="I29" s="66">
        <v>7543.4587279999996</v>
      </c>
      <c r="J29" s="66">
        <v>7319.4084519999997</v>
      </c>
      <c r="K29" s="66">
        <v>5913.3361400000003</v>
      </c>
    </row>
    <row r="30" spans="1:11">
      <c r="A30" s="42">
        <v>2003</v>
      </c>
      <c r="B30" s="66">
        <v>6911.1333780000004</v>
      </c>
      <c r="C30" s="66">
        <v>7497.4558500000003</v>
      </c>
      <c r="D30" s="66">
        <v>7504.9915460000002</v>
      </c>
      <c r="E30" s="66">
        <v>7912.7699110000003</v>
      </c>
      <c r="F30" s="66">
        <v>6285.9232860000002</v>
      </c>
      <c r="G30" s="66">
        <v>4433.890418</v>
      </c>
      <c r="H30" s="66">
        <v>7118.9176909999996</v>
      </c>
      <c r="I30" s="66">
        <v>8367.4341929999991</v>
      </c>
      <c r="J30" s="66">
        <v>7393.2161779999997</v>
      </c>
      <c r="K30" s="66">
        <v>6201.7787070000004</v>
      </c>
    </row>
    <row r="31" spans="1:11">
      <c r="A31" s="42">
        <v>2004</v>
      </c>
      <c r="B31" s="66">
        <v>7801.3557259999998</v>
      </c>
      <c r="C31" s="66">
        <v>8519.8525449999997</v>
      </c>
      <c r="D31" s="66">
        <v>8838.0609650000006</v>
      </c>
      <c r="E31" s="66">
        <v>9459.9444010000007</v>
      </c>
      <c r="F31" s="66">
        <v>7003.2450660000004</v>
      </c>
      <c r="G31" s="66">
        <v>4413.8353900000002</v>
      </c>
      <c r="H31" s="66">
        <v>7046.6359430000002</v>
      </c>
      <c r="I31" s="66">
        <v>9076.4223309999998</v>
      </c>
      <c r="J31" s="66">
        <v>8130.4321970000001</v>
      </c>
      <c r="K31" s="66">
        <v>6588.0172469999998</v>
      </c>
    </row>
    <row r="32" spans="1:11">
      <c r="A32" s="42">
        <v>2005</v>
      </c>
      <c r="B32" s="66">
        <v>8164.1774779999996</v>
      </c>
      <c r="C32" s="66">
        <v>8775.5521570000001</v>
      </c>
      <c r="D32" s="66">
        <v>9243.7955789999996</v>
      </c>
      <c r="E32" s="66">
        <v>9744.1598730000005</v>
      </c>
      <c r="F32" s="66">
        <v>7543.1213289999996</v>
      </c>
      <c r="G32" s="66">
        <v>4236.9980459999997</v>
      </c>
      <c r="H32" s="66">
        <v>7490.6094199999998</v>
      </c>
      <c r="I32" s="66">
        <v>10839.870360000001</v>
      </c>
      <c r="J32" s="66">
        <v>9248.4463859999996</v>
      </c>
      <c r="K32" s="66">
        <v>7211.7129100000002</v>
      </c>
    </row>
    <row r="33" spans="1:11">
      <c r="A33" s="42">
        <v>2006</v>
      </c>
      <c r="B33" s="66">
        <v>8374.5023999999994</v>
      </c>
      <c r="C33" s="66">
        <v>8951.3187089999992</v>
      </c>
      <c r="D33" s="66">
        <v>9406.5192270000007</v>
      </c>
      <c r="E33" s="66">
        <v>9957.7260470000001</v>
      </c>
      <c r="F33" s="66">
        <v>8019.1036439999998</v>
      </c>
      <c r="G33" s="66">
        <v>4437.6219330000004</v>
      </c>
      <c r="H33" s="66">
        <v>6788.8264310000004</v>
      </c>
      <c r="I33" s="66">
        <v>11513.750470000001</v>
      </c>
      <c r="J33" s="66">
        <v>9737.1197250000005</v>
      </c>
      <c r="K33" s="66">
        <v>7997.509145</v>
      </c>
    </row>
    <row r="34" spans="1:11">
      <c r="A34" s="42">
        <v>2007</v>
      </c>
      <c r="B34" s="66">
        <v>8541.5266780000002</v>
      </c>
      <c r="C34" s="66">
        <v>9110.5448649999998</v>
      </c>
      <c r="D34" s="66">
        <v>9751.3015039999991</v>
      </c>
      <c r="E34" s="66">
        <v>10152.08833</v>
      </c>
      <c r="F34" s="66">
        <v>8287.9798190000001</v>
      </c>
      <c r="G34" s="66">
        <v>4766.0698439999996</v>
      </c>
      <c r="H34" s="66">
        <v>7791.8322200000002</v>
      </c>
      <c r="I34" s="66">
        <v>11441.99584</v>
      </c>
      <c r="J34" s="66">
        <v>10679.063029999999</v>
      </c>
      <c r="K34" s="66">
        <v>9376.1808099999998</v>
      </c>
    </row>
    <row r="35" spans="1:11">
      <c r="A35" s="42">
        <v>2008</v>
      </c>
      <c r="B35" s="66">
        <v>8868.7358710000008</v>
      </c>
      <c r="C35" s="66">
        <v>9213.5825590000004</v>
      </c>
      <c r="D35" s="66">
        <v>9909.2085650000008</v>
      </c>
      <c r="E35" s="66">
        <v>10577.79312</v>
      </c>
      <c r="F35" s="66">
        <v>8709.8870040000002</v>
      </c>
      <c r="G35" s="66">
        <v>5025.9045079999996</v>
      </c>
      <c r="H35" s="66">
        <v>8446.2845789999992</v>
      </c>
      <c r="I35" s="66">
        <v>11038.80913</v>
      </c>
      <c r="J35" s="66">
        <v>11306.39366</v>
      </c>
      <c r="K35" s="66">
        <v>9313.6414029999996</v>
      </c>
    </row>
    <row r="36" spans="1:11">
      <c r="A36" s="42">
        <v>2009</v>
      </c>
      <c r="B36" s="66">
        <v>9187.0615880000005</v>
      </c>
      <c r="C36" s="66">
        <v>9347.0559969999995</v>
      </c>
      <c r="D36" s="66">
        <v>10298.16447</v>
      </c>
      <c r="E36" s="66">
        <v>10786.71666</v>
      </c>
      <c r="F36" s="66">
        <v>9068.5797689999999</v>
      </c>
      <c r="G36" s="66">
        <v>5163.0976259999998</v>
      </c>
      <c r="H36" s="66">
        <v>11000.406859999999</v>
      </c>
      <c r="I36" s="66">
        <v>11734.676240000001</v>
      </c>
      <c r="J36" s="66">
        <v>11715.977500000001</v>
      </c>
      <c r="K36" s="66">
        <v>9545.3994110000003</v>
      </c>
    </row>
    <row r="37" spans="1:11">
      <c r="A37" s="42">
        <v>2010</v>
      </c>
      <c r="B37" s="66">
        <v>9120.7182769999999</v>
      </c>
      <c r="C37" s="66">
        <v>9414.737357</v>
      </c>
      <c r="D37" s="66">
        <v>10409.44592</v>
      </c>
      <c r="E37" s="66">
        <v>10996.8488</v>
      </c>
      <c r="F37" s="66">
        <v>9287.3791720000008</v>
      </c>
      <c r="G37" s="66">
        <v>4475.3151529999996</v>
      </c>
      <c r="H37" s="66">
        <v>11450.394109999999</v>
      </c>
      <c r="I37" s="66">
        <v>12653.72899</v>
      </c>
      <c r="J37" s="66">
        <v>12036.308429999999</v>
      </c>
      <c r="K37" s="66">
        <v>9076.0628280000001</v>
      </c>
    </row>
    <row r="38" spans="1:11">
      <c r="A38" s="42">
        <v>2011</v>
      </c>
      <c r="B38" s="66">
        <v>9000.0597610000004</v>
      </c>
      <c r="C38" s="66">
        <v>9463.7998929999994</v>
      </c>
      <c r="D38" s="66">
        <v>10714.15184</v>
      </c>
      <c r="E38" s="66">
        <v>11133.602279999999</v>
      </c>
      <c r="F38" s="66">
        <v>9695.4778470000001</v>
      </c>
      <c r="G38" s="66">
        <v>8079.4182090000004</v>
      </c>
      <c r="H38" s="66">
        <v>11610.40481</v>
      </c>
      <c r="I38" s="66">
        <v>13022.325199999999</v>
      </c>
      <c r="J38" s="66">
        <v>12565.00567</v>
      </c>
      <c r="K38" s="66">
        <v>11103.689340000001</v>
      </c>
    </row>
    <row r="39" spans="1:11">
      <c r="A39" s="42">
        <v>2012</v>
      </c>
      <c r="B39" s="66">
        <v>8971.0705999999991</v>
      </c>
      <c r="C39" s="66">
        <v>9558.0708840000007</v>
      </c>
      <c r="D39" s="66">
        <v>10671.876770000001</v>
      </c>
      <c r="E39" s="66">
        <v>11531.791020000001</v>
      </c>
      <c r="F39" s="66">
        <v>10163.24266</v>
      </c>
      <c r="G39" s="66">
        <v>9078.4777529999992</v>
      </c>
      <c r="H39" s="66">
        <v>11608.93591</v>
      </c>
      <c r="I39" s="66">
        <v>13592.740659999999</v>
      </c>
      <c r="J39" s="66">
        <v>13420.224029999999</v>
      </c>
      <c r="K39" s="66">
        <v>13064.68289</v>
      </c>
    </row>
    <row r="40" spans="1:11">
      <c r="A40" s="42">
        <v>2013</v>
      </c>
      <c r="B40" s="66">
        <v>9002.2584719999995</v>
      </c>
      <c r="C40" s="66">
        <v>9906.5779779999993</v>
      </c>
      <c r="D40" s="66">
        <v>11167.395039999999</v>
      </c>
      <c r="E40" s="66">
        <v>11927.968570000001</v>
      </c>
      <c r="F40" s="66">
        <v>10247.12808</v>
      </c>
      <c r="G40" s="66">
        <v>8564.0275089999996</v>
      </c>
      <c r="H40" s="66">
        <v>12240.741980000001</v>
      </c>
      <c r="I40" s="66">
        <v>14272.75469</v>
      </c>
      <c r="J40" s="66">
        <v>13894.563249999999</v>
      </c>
      <c r="K40" s="66">
        <v>13898.086429999999</v>
      </c>
    </row>
    <row r="41" spans="1:11">
      <c r="A41" s="42">
        <v>2014</v>
      </c>
      <c r="B41" s="66">
        <v>8401.3692620000002</v>
      </c>
      <c r="C41" s="66">
        <v>9972.0836510000008</v>
      </c>
      <c r="D41" s="66">
        <v>11268.318230000001</v>
      </c>
      <c r="E41" s="66">
        <v>12180.45254</v>
      </c>
      <c r="F41" s="66">
        <v>11004.991480000001</v>
      </c>
      <c r="G41" s="66">
        <v>10130.539709999999</v>
      </c>
      <c r="H41" s="66">
        <v>12527.326290000001</v>
      </c>
      <c r="I41" s="66">
        <v>14430.00952</v>
      </c>
      <c r="J41" s="66">
        <v>14587.290779999999</v>
      </c>
      <c r="K41" s="66">
        <v>14688.786539999999</v>
      </c>
    </row>
    <row r="42" spans="1:11">
      <c r="A42" s="42">
        <v>2015</v>
      </c>
      <c r="B42" s="66">
        <v>8350.3724340000008</v>
      </c>
      <c r="C42" s="66">
        <v>10385.38133</v>
      </c>
      <c r="D42" s="66">
        <v>11592.833640000001</v>
      </c>
      <c r="E42" s="66">
        <v>12694.921319999999</v>
      </c>
      <c r="F42" s="66">
        <v>11329.62039</v>
      </c>
      <c r="G42" s="66">
        <v>10290.00944</v>
      </c>
      <c r="H42" s="66">
        <v>12160.24481</v>
      </c>
      <c r="I42" s="66">
        <v>14802.39042</v>
      </c>
      <c r="J42" s="66">
        <v>15178.591689999999</v>
      </c>
      <c r="K42" s="66">
        <v>15261.50224</v>
      </c>
    </row>
    <row r="43" spans="1:11">
      <c r="A43" s="42">
        <v>2016</v>
      </c>
      <c r="B43" s="66">
        <v>8662.5840029999999</v>
      </c>
      <c r="C43" s="66">
        <v>10316.711370000001</v>
      </c>
      <c r="D43" s="66">
        <v>11143.550069999999</v>
      </c>
      <c r="E43" s="66">
        <v>13187.537130000001</v>
      </c>
      <c r="F43" s="66">
        <v>10634.75073</v>
      </c>
      <c r="G43" s="66">
        <v>7551.5966490000001</v>
      </c>
      <c r="H43" s="66">
        <v>12626.64445</v>
      </c>
      <c r="I43" s="66">
        <v>14931.87</v>
      </c>
      <c r="J43" s="66">
        <v>15897.703659999999</v>
      </c>
      <c r="K43" s="66">
        <v>16085.434960000001</v>
      </c>
    </row>
    <row r="44" spans="1:11">
      <c r="A44" s="42">
        <v>2017</v>
      </c>
      <c r="B44" s="66">
        <v>8969.6385460000001</v>
      </c>
      <c r="C44" s="66">
        <v>10322.24469</v>
      </c>
      <c r="D44" s="66">
        <v>11294.71996</v>
      </c>
      <c r="E44" s="66">
        <v>13727.13967</v>
      </c>
      <c r="F44" s="66">
        <v>11940.22616</v>
      </c>
      <c r="G44" s="66">
        <v>8452.9355469999991</v>
      </c>
      <c r="H44" s="66">
        <v>14926.47948</v>
      </c>
      <c r="I44" s="66">
        <v>15149.11695</v>
      </c>
      <c r="J44" s="66">
        <v>16786.360700000001</v>
      </c>
      <c r="K44" s="66">
        <v>16868.860209999999</v>
      </c>
    </row>
    <row r="45" spans="1:11">
      <c r="A45" s="42">
        <v>2018</v>
      </c>
      <c r="B45" s="66">
        <v>8517.0645729999997</v>
      </c>
      <c r="C45" s="66">
        <v>9903.9740330000004</v>
      </c>
      <c r="D45" s="66">
        <v>11880.065710000001</v>
      </c>
      <c r="E45" s="66">
        <v>13949.554400000001</v>
      </c>
      <c r="F45" s="66">
        <v>12758.96859</v>
      </c>
      <c r="G45" s="66">
        <v>9858.2636089999996</v>
      </c>
      <c r="H45" s="66">
        <v>15392.287619999999</v>
      </c>
      <c r="I45" s="66">
        <v>15704.73323</v>
      </c>
      <c r="J45" s="66">
        <v>17523.142510000001</v>
      </c>
      <c r="K45" s="66">
        <v>18299.4781</v>
      </c>
    </row>
    <row r="46" spans="1:11">
      <c r="A46" s="42">
        <v>2019</v>
      </c>
      <c r="B46" s="66">
        <v>9695.0732819999994</v>
      </c>
      <c r="C46" s="66">
        <v>10602.452069999999</v>
      </c>
      <c r="D46" s="66">
        <v>12713.07638</v>
      </c>
      <c r="E46" s="66">
        <v>15076.381649999999</v>
      </c>
      <c r="F46" s="66">
        <v>13145.726640000001</v>
      </c>
      <c r="G46" s="66">
        <v>11764.22647</v>
      </c>
      <c r="H46" s="66">
        <v>16297.78737</v>
      </c>
      <c r="I46" s="66">
        <v>16759.657889999999</v>
      </c>
      <c r="J46" s="66">
        <v>18451.513989999999</v>
      </c>
      <c r="K46" s="66">
        <v>19484.65899</v>
      </c>
    </row>
    <row r="47" spans="1:11">
      <c r="A47" s="42">
        <v>2020</v>
      </c>
      <c r="B47" s="66">
        <v>9416.2214139999996</v>
      </c>
      <c r="C47" s="66">
        <v>10657.550499999999</v>
      </c>
      <c r="D47" s="66">
        <v>12480.691559999999</v>
      </c>
      <c r="E47" s="66">
        <v>15209.09189</v>
      </c>
      <c r="F47" s="66">
        <v>13066.0761</v>
      </c>
      <c r="G47" s="66">
        <v>7394.2640819999997</v>
      </c>
      <c r="H47" s="66">
        <v>16415.227709999999</v>
      </c>
      <c r="I47" s="66">
        <v>18305.012170000002</v>
      </c>
      <c r="J47" s="66">
        <v>19278.4876</v>
      </c>
      <c r="K47" s="66">
        <v>21381.166700000002</v>
      </c>
    </row>
    <row r="48" spans="1:11">
      <c r="A48" s="42">
        <v>2021</v>
      </c>
      <c r="B48" s="66">
        <v>10147.80127</v>
      </c>
      <c r="C48" s="66">
        <v>11161.024090000001</v>
      </c>
      <c r="D48" s="66">
        <v>13126.501099999999</v>
      </c>
      <c r="E48" s="66">
        <v>15854.23762</v>
      </c>
      <c r="F48" s="66">
        <v>13145.8081</v>
      </c>
      <c r="G48" s="66">
        <v>6975.435176</v>
      </c>
      <c r="H48" s="66">
        <v>14010.489020000001</v>
      </c>
      <c r="I48" s="66">
        <v>19095.08253</v>
      </c>
      <c r="J48" s="66">
        <v>21054.044470000001</v>
      </c>
      <c r="K48" s="66">
        <v>20661.78757</v>
      </c>
    </row>
    <row r="49" spans="1:19">
      <c r="A49" s="42">
        <v>2022</v>
      </c>
      <c r="B49" s="66">
        <v>11288.30658</v>
      </c>
      <c r="C49" s="66">
        <v>12598.209129999999</v>
      </c>
      <c r="D49" s="66">
        <v>14385.968070000001</v>
      </c>
      <c r="E49" s="66">
        <v>16701.52362</v>
      </c>
      <c r="F49" s="66">
        <v>15276.936009999999</v>
      </c>
      <c r="G49" s="66">
        <v>4878.5174189999998</v>
      </c>
      <c r="H49" s="66">
        <v>11942.33195</v>
      </c>
      <c r="I49" s="66">
        <v>17983.803059999998</v>
      </c>
      <c r="J49" s="66">
        <v>21452.504779999999</v>
      </c>
      <c r="K49" s="66">
        <v>17532.609990000001</v>
      </c>
    </row>
    <row r="50" spans="1:19">
      <c r="A50" s="42">
        <v>2023</v>
      </c>
      <c r="B50" s="66">
        <v>7673.1304309999996</v>
      </c>
      <c r="C50" s="66">
        <v>8106.1454430000003</v>
      </c>
      <c r="D50" s="66">
        <v>8564.8444820000004</v>
      </c>
      <c r="E50" s="66">
        <v>10983.53815</v>
      </c>
      <c r="F50" s="66">
        <v>12048.97622</v>
      </c>
      <c r="G50" s="66">
        <v>5551.2225289999997</v>
      </c>
      <c r="H50" s="66">
        <v>10088.859109999999</v>
      </c>
      <c r="I50" s="66">
        <v>14240.92057</v>
      </c>
      <c r="J50" s="66">
        <v>16086.240460000001</v>
      </c>
      <c r="K50" s="66">
        <v>13510.11513</v>
      </c>
    </row>
    <row r="52" spans="1:19">
      <c r="A52" s="40" t="s">
        <v>341</v>
      </c>
      <c r="B52" s="116"/>
      <c r="C52" s="116"/>
      <c r="D52" s="116"/>
      <c r="E52" s="116"/>
      <c r="F52" s="116"/>
      <c r="G52" s="116"/>
      <c r="H52" s="116"/>
      <c r="I52" s="116"/>
      <c r="J52" s="116"/>
      <c r="K52" s="116"/>
      <c r="L52" s="40"/>
      <c r="M52" s="40"/>
      <c r="N52" s="40"/>
      <c r="O52" s="40"/>
      <c r="P52" s="40"/>
      <c r="Q52" s="40"/>
      <c r="R52" s="40"/>
      <c r="S52" s="40"/>
    </row>
  </sheetData>
  <mergeCells count="3">
    <mergeCell ref="B2:F2"/>
    <mergeCell ref="G2:K2"/>
    <mergeCell ref="J1:K1"/>
  </mergeCells>
  <phoneticPr fontId="0" type="noConversion"/>
  <hyperlinks>
    <hyperlink ref="J1:K1" location="Contents!A1" display="Back to Contents" xr:uid="{00000000-0004-0000-1000-000000000000}"/>
  </hyperlinks>
  <pageMargins left="0.75" right="0.75" top="1" bottom="1" header="0.5" footer="0.5"/>
  <pageSetup paperSize="9" orientation="portrait" horizontalDpi="4294967292" verticalDpi="4294967292"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U26"/>
  <sheetViews>
    <sheetView workbookViewId="0"/>
  </sheetViews>
  <sheetFormatPr defaultColWidth="8.81640625" defaultRowHeight="12.5"/>
  <cols>
    <col min="1" max="1" width="8.81640625" style="104"/>
  </cols>
  <sheetData>
    <row r="1" spans="1:21" ht="22.5" customHeight="1">
      <c r="B1" s="17" t="s">
        <v>342</v>
      </c>
      <c r="C1" s="13"/>
      <c r="D1" s="13"/>
      <c r="E1" s="13"/>
      <c r="F1" s="13"/>
      <c r="G1" s="162"/>
      <c r="H1" s="162"/>
      <c r="I1" s="162"/>
      <c r="J1" s="162"/>
      <c r="K1" s="212" t="s">
        <v>79</v>
      </c>
      <c r="L1" s="212"/>
      <c r="M1" s="162"/>
      <c r="N1" s="162"/>
      <c r="P1" s="17" t="s">
        <v>343</v>
      </c>
      <c r="Q1" s="162"/>
      <c r="R1" s="162"/>
      <c r="S1" s="162"/>
    </row>
    <row r="2" spans="1:21" ht="30">
      <c r="A2" s="120" t="s">
        <v>299</v>
      </c>
      <c r="B2" s="58" t="s">
        <v>344</v>
      </c>
      <c r="C2" s="58" t="s">
        <v>345</v>
      </c>
      <c r="D2" s="58" t="s">
        <v>346</v>
      </c>
      <c r="E2" s="58" t="s">
        <v>347</v>
      </c>
      <c r="F2" s="58" t="s">
        <v>348</v>
      </c>
      <c r="G2" s="58" t="s">
        <v>349</v>
      </c>
      <c r="H2" s="58" t="s">
        <v>350</v>
      </c>
      <c r="I2" s="58" t="s">
        <v>351</v>
      </c>
      <c r="J2" s="58" t="s">
        <v>352</v>
      </c>
      <c r="K2" s="58" t="s">
        <v>353</v>
      </c>
      <c r="L2" s="58" t="s">
        <v>354</v>
      </c>
      <c r="M2" s="58" t="s">
        <v>355</v>
      </c>
      <c r="N2" s="58" t="s">
        <v>356</v>
      </c>
      <c r="P2" s="79" t="s">
        <v>357</v>
      </c>
      <c r="Q2" s="79" t="s">
        <v>358</v>
      </c>
      <c r="R2" s="79" t="s">
        <v>359</v>
      </c>
      <c r="S2" s="79" t="s">
        <v>360</v>
      </c>
    </row>
    <row r="3" spans="1:21">
      <c r="A3" s="77">
        <v>2000</v>
      </c>
      <c r="B3" s="42">
        <v>8090</v>
      </c>
      <c r="C3" s="42">
        <v>3911</v>
      </c>
      <c r="D3" s="42">
        <v>4568</v>
      </c>
      <c r="E3" s="42">
        <v>771</v>
      </c>
      <c r="F3" s="42">
        <v>8728</v>
      </c>
      <c r="G3" s="42">
        <v>4377</v>
      </c>
      <c r="H3" s="42">
        <v>10313</v>
      </c>
      <c r="I3" s="42">
        <v>5053</v>
      </c>
      <c r="J3" s="42">
        <v>13989</v>
      </c>
      <c r="K3" s="42">
        <v>9234</v>
      </c>
      <c r="L3" s="42">
        <v>7356</v>
      </c>
      <c r="M3" s="42">
        <v>2135</v>
      </c>
      <c r="N3" s="63">
        <v>535</v>
      </c>
      <c r="P3" s="49">
        <f>SUM(B3:C3)</f>
        <v>12001</v>
      </c>
      <c r="Q3" s="49">
        <f>SUM(D3:E3)</f>
        <v>5339</v>
      </c>
      <c r="R3" s="49">
        <f>SUM(F3:I3)</f>
        <v>28471</v>
      </c>
      <c r="S3" s="49">
        <f>SUM(J3:M3)</f>
        <v>32714</v>
      </c>
      <c r="U3" s="37"/>
    </row>
    <row r="4" spans="1:21">
      <c r="A4" s="77">
        <v>2001</v>
      </c>
      <c r="B4" s="42">
        <v>7898</v>
      </c>
      <c r="C4" s="42">
        <v>4048</v>
      </c>
      <c r="D4" s="42">
        <v>4271</v>
      </c>
      <c r="E4" s="42">
        <v>715</v>
      </c>
      <c r="F4" s="42">
        <v>8884</v>
      </c>
      <c r="G4" s="42">
        <v>4369</v>
      </c>
      <c r="H4" s="42">
        <v>10178</v>
      </c>
      <c r="I4" s="42">
        <v>4960</v>
      </c>
      <c r="J4" s="42">
        <v>14402</v>
      </c>
      <c r="K4" s="42">
        <v>9281</v>
      </c>
      <c r="L4" s="42">
        <v>7897</v>
      </c>
      <c r="M4" s="42">
        <v>2202</v>
      </c>
      <c r="N4" s="63">
        <v>544</v>
      </c>
      <c r="P4" s="49">
        <f t="shared" ref="P4:P11" si="0">SUM(B4:C4)</f>
        <v>11946</v>
      </c>
      <c r="Q4" s="49">
        <f t="shared" ref="Q4:Q10" si="1">SUM(D4:E4)</f>
        <v>4986</v>
      </c>
      <c r="R4" s="49">
        <f t="shared" ref="R4:R11" si="2">SUM(F4:I4)</f>
        <v>28391</v>
      </c>
      <c r="S4" s="49">
        <f t="shared" ref="S4:S11" si="3">SUM(J4:M4)</f>
        <v>33782</v>
      </c>
    </row>
    <row r="5" spans="1:21">
      <c r="A5" s="77">
        <v>2002</v>
      </c>
      <c r="B5" s="42">
        <v>7956</v>
      </c>
      <c r="C5" s="42">
        <v>4309</v>
      </c>
      <c r="D5" s="42">
        <v>4116</v>
      </c>
      <c r="E5" s="42">
        <v>670</v>
      </c>
      <c r="F5" s="42">
        <v>8910</v>
      </c>
      <c r="G5" s="42">
        <v>4411</v>
      </c>
      <c r="H5" s="42">
        <v>10092</v>
      </c>
      <c r="I5" s="42">
        <v>4966</v>
      </c>
      <c r="J5" s="42">
        <v>14931</v>
      </c>
      <c r="K5" s="42">
        <v>9425</v>
      </c>
      <c r="L5" s="42">
        <v>8528</v>
      </c>
      <c r="M5" s="42">
        <v>2318</v>
      </c>
      <c r="N5" s="63">
        <v>553</v>
      </c>
      <c r="P5" s="49">
        <f t="shared" si="0"/>
        <v>12265</v>
      </c>
      <c r="Q5" s="49">
        <f t="shared" si="1"/>
        <v>4786</v>
      </c>
      <c r="R5" s="49">
        <f t="shared" si="2"/>
        <v>28379</v>
      </c>
      <c r="S5" s="49">
        <f t="shared" si="3"/>
        <v>35202</v>
      </c>
    </row>
    <row r="6" spans="1:21">
      <c r="A6" s="77">
        <v>2003</v>
      </c>
      <c r="B6" s="42">
        <v>8392</v>
      </c>
      <c r="C6" s="42">
        <v>4618</v>
      </c>
      <c r="D6" s="42">
        <v>4128</v>
      </c>
      <c r="E6" s="42">
        <v>614</v>
      </c>
      <c r="F6" s="42">
        <v>8958</v>
      </c>
      <c r="G6" s="42">
        <v>4448</v>
      </c>
      <c r="H6" s="42">
        <v>10049</v>
      </c>
      <c r="I6" s="42">
        <v>4963</v>
      </c>
      <c r="J6" s="42">
        <v>15720</v>
      </c>
      <c r="K6" s="42">
        <v>9674</v>
      </c>
      <c r="L6" s="42">
        <v>9359</v>
      </c>
      <c r="M6" s="42">
        <v>2569</v>
      </c>
      <c r="N6" s="63">
        <v>562</v>
      </c>
      <c r="P6" s="49">
        <f t="shared" si="0"/>
        <v>13010</v>
      </c>
      <c r="Q6" s="49">
        <f t="shared" si="1"/>
        <v>4742</v>
      </c>
      <c r="R6" s="49">
        <f t="shared" si="2"/>
        <v>28418</v>
      </c>
      <c r="S6" s="49">
        <f t="shared" si="3"/>
        <v>37322</v>
      </c>
    </row>
    <row r="7" spans="1:21">
      <c r="A7" s="77">
        <v>2004</v>
      </c>
      <c r="B7" s="42">
        <v>9493</v>
      </c>
      <c r="C7" s="42">
        <v>4759</v>
      </c>
      <c r="D7" s="42">
        <v>4126</v>
      </c>
      <c r="E7" s="42">
        <v>586</v>
      </c>
      <c r="F7" s="42">
        <v>9696</v>
      </c>
      <c r="G7" s="42">
        <v>4513</v>
      </c>
      <c r="H7" s="42">
        <v>10025</v>
      </c>
      <c r="I7" s="42">
        <v>4978</v>
      </c>
      <c r="J7" s="42">
        <v>16781</v>
      </c>
      <c r="K7" s="42">
        <v>10132</v>
      </c>
      <c r="L7" s="42">
        <v>10268</v>
      </c>
      <c r="M7" s="42">
        <v>2923</v>
      </c>
      <c r="N7" s="63">
        <v>569</v>
      </c>
      <c r="P7" s="49">
        <f t="shared" si="0"/>
        <v>14252</v>
      </c>
      <c r="Q7" s="49">
        <f t="shared" si="1"/>
        <v>4712</v>
      </c>
      <c r="R7" s="49">
        <f t="shared" si="2"/>
        <v>29212</v>
      </c>
      <c r="S7" s="49">
        <f t="shared" si="3"/>
        <v>40104</v>
      </c>
    </row>
    <row r="8" spans="1:21">
      <c r="A8" s="77">
        <v>2005</v>
      </c>
      <c r="B8" s="42">
        <v>12873</v>
      </c>
      <c r="C8" s="42">
        <v>5021</v>
      </c>
      <c r="D8" s="42">
        <v>4300</v>
      </c>
      <c r="E8" s="42">
        <v>571</v>
      </c>
      <c r="F8" s="42">
        <v>10663</v>
      </c>
      <c r="G8" s="42">
        <v>4686</v>
      </c>
      <c r="H8" s="42">
        <v>10178</v>
      </c>
      <c r="I8" s="42">
        <v>4999</v>
      </c>
      <c r="J8" s="42">
        <v>18123</v>
      </c>
      <c r="K8" s="42">
        <v>10710</v>
      </c>
      <c r="L8" s="42">
        <v>11469</v>
      </c>
      <c r="M8" s="42">
        <v>3539</v>
      </c>
      <c r="N8" s="63">
        <v>565</v>
      </c>
      <c r="P8" s="49">
        <f t="shared" si="0"/>
        <v>17894</v>
      </c>
      <c r="Q8" s="49">
        <f t="shared" si="1"/>
        <v>4871</v>
      </c>
      <c r="R8" s="49">
        <f t="shared" si="2"/>
        <v>30526</v>
      </c>
      <c r="S8" s="49">
        <f t="shared" si="3"/>
        <v>43841</v>
      </c>
    </row>
    <row r="9" spans="1:21">
      <c r="A9" s="77">
        <v>2006</v>
      </c>
      <c r="B9" s="42">
        <v>15753</v>
      </c>
      <c r="C9" s="42">
        <v>5401</v>
      </c>
      <c r="D9" s="42">
        <v>4558</v>
      </c>
      <c r="E9" s="42">
        <v>577</v>
      </c>
      <c r="F9" s="42">
        <v>12234</v>
      </c>
      <c r="G9" s="42">
        <v>4992</v>
      </c>
      <c r="H9" s="42">
        <v>10394</v>
      </c>
      <c r="I9" s="42">
        <v>5123</v>
      </c>
      <c r="J9" s="42">
        <v>19999</v>
      </c>
      <c r="K9" s="42">
        <v>11364</v>
      </c>
      <c r="L9" s="42">
        <v>13009</v>
      </c>
      <c r="M9" s="42">
        <v>4321</v>
      </c>
      <c r="N9" s="63">
        <v>566</v>
      </c>
      <c r="P9" s="49">
        <f t="shared" si="0"/>
        <v>21154</v>
      </c>
      <c r="Q9" s="49">
        <f t="shared" si="1"/>
        <v>5135</v>
      </c>
      <c r="R9" s="49">
        <f t="shared" si="2"/>
        <v>32743</v>
      </c>
      <c r="S9" s="49">
        <f t="shared" si="3"/>
        <v>48693</v>
      </c>
    </row>
    <row r="10" spans="1:21">
      <c r="A10" s="77">
        <v>2007</v>
      </c>
      <c r="B10" s="42">
        <v>18379</v>
      </c>
      <c r="C10" s="42">
        <v>5650</v>
      </c>
      <c r="D10" s="42">
        <v>4900</v>
      </c>
      <c r="E10" s="42">
        <v>590</v>
      </c>
      <c r="F10" s="42">
        <v>13900</v>
      </c>
      <c r="G10" s="42">
        <v>5471</v>
      </c>
      <c r="H10" s="42">
        <v>10684</v>
      </c>
      <c r="I10" s="42">
        <v>5182</v>
      </c>
      <c r="J10" s="42">
        <v>22211</v>
      </c>
      <c r="K10" s="42">
        <v>12122</v>
      </c>
      <c r="L10" s="42">
        <v>14976</v>
      </c>
      <c r="M10" s="42">
        <v>5301</v>
      </c>
      <c r="N10" s="63">
        <v>574</v>
      </c>
      <c r="P10" s="49">
        <f t="shared" si="0"/>
        <v>24029</v>
      </c>
      <c r="Q10" s="49">
        <f t="shared" si="1"/>
        <v>5490</v>
      </c>
      <c r="R10" s="49">
        <f t="shared" si="2"/>
        <v>35237</v>
      </c>
      <c r="S10" s="49">
        <f t="shared" si="3"/>
        <v>54610</v>
      </c>
    </row>
    <row r="11" spans="1:21">
      <c r="A11" s="77">
        <v>2008</v>
      </c>
      <c r="B11" s="42">
        <v>22037</v>
      </c>
      <c r="C11" s="42">
        <v>6230</v>
      </c>
      <c r="D11" s="42">
        <v>5769</v>
      </c>
      <c r="E11" s="42">
        <v>579</v>
      </c>
      <c r="F11" s="42">
        <v>16080</v>
      </c>
      <c r="G11" s="42">
        <v>5948</v>
      </c>
      <c r="H11" s="42">
        <v>10981</v>
      </c>
      <c r="I11" s="42">
        <v>5258</v>
      </c>
      <c r="J11" s="42">
        <v>24136</v>
      </c>
      <c r="K11" s="42">
        <v>12963</v>
      </c>
      <c r="L11" s="42">
        <v>16770</v>
      </c>
      <c r="M11" s="42">
        <v>6401</v>
      </c>
      <c r="N11" s="63">
        <v>571</v>
      </c>
      <c r="P11" s="49">
        <f t="shared" si="0"/>
        <v>28267</v>
      </c>
      <c r="Q11" s="49">
        <f>SUM(D11:E11)</f>
        <v>6348</v>
      </c>
      <c r="R11" s="49">
        <f t="shared" si="2"/>
        <v>38267</v>
      </c>
      <c r="S11" s="49">
        <f t="shared" si="3"/>
        <v>60270</v>
      </c>
    </row>
    <row r="12" spans="1:21">
      <c r="A12" s="77">
        <v>2009</v>
      </c>
      <c r="B12" s="42">
        <v>22412</v>
      </c>
      <c r="C12" s="42">
        <v>6429</v>
      </c>
      <c r="D12" s="42">
        <v>5927</v>
      </c>
      <c r="E12" s="42">
        <v>577</v>
      </c>
      <c r="F12" s="42">
        <v>16627</v>
      </c>
      <c r="G12" s="42">
        <v>6013</v>
      </c>
      <c r="H12" s="42">
        <v>10999</v>
      </c>
      <c r="I12" s="42">
        <v>5317</v>
      </c>
      <c r="J12" s="42">
        <v>25360</v>
      </c>
      <c r="K12" s="42">
        <v>13311</v>
      </c>
      <c r="L12" s="42">
        <v>18220</v>
      </c>
      <c r="M12" s="42">
        <v>6822</v>
      </c>
      <c r="N12" s="63">
        <v>581</v>
      </c>
      <c r="P12" s="49">
        <f t="shared" ref="P12:P17" si="4">SUM(B12:C12)</f>
        <v>28841</v>
      </c>
      <c r="Q12" s="49">
        <f t="shared" ref="Q12:Q17" si="5">SUM(D12:E12)</f>
        <v>6504</v>
      </c>
      <c r="R12" s="49">
        <f t="shared" ref="R12:R17" si="6">SUM(F12:I12)</f>
        <v>38956</v>
      </c>
      <c r="S12" s="49">
        <f t="shared" ref="S12:S17" si="7">SUM(J12:M12)</f>
        <v>63713</v>
      </c>
    </row>
    <row r="13" spans="1:21">
      <c r="A13" s="77">
        <v>2010</v>
      </c>
      <c r="B13" s="42">
        <v>22038</v>
      </c>
      <c r="C13" s="42">
        <v>6475</v>
      </c>
      <c r="D13" s="42">
        <v>5925</v>
      </c>
      <c r="E13" s="42">
        <v>569</v>
      </c>
      <c r="F13" s="42">
        <v>16724</v>
      </c>
      <c r="G13" s="42">
        <v>5861</v>
      </c>
      <c r="H13" s="42">
        <v>10929</v>
      </c>
      <c r="I13" s="42">
        <v>5234</v>
      </c>
      <c r="J13" s="42">
        <v>26107</v>
      </c>
      <c r="K13" s="42">
        <v>13456</v>
      </c>
      <c r="L13" s="42">
        <v>19311</v>
      </c>
      <c r="M13" s="42">
        <v>7233</v>
      </c>
      <c r="N13" s="63">
        <v>594</v>
      </c>
      <c r="P13" s="49">
        <f t="shared" si="4"/>
        <v>28513</v>
      </c>
      <c r="Q13" s="49">
        <f t="shared" si="5"/>
        <v>6494</v>
      </c>
      <c r="R13" s="49">
        <f t="shared" si="6"/>
        <v>38748</v>
      </c>
      <c r="S13" s="49">
        <f t="shared" si="7"/>
        <v>66107</v>
      </c>
    </row>
    <row r="14" spans="1:21">
      <c r="A14" s="77">
        <v>2011</v>
      </c>
      <c r="B14" s="42">
        <v>21353</v>
      </c>
      <c r="C14" s="42">
        <v>6422</v>
      </c>
      <c r="D14" s="42">
        <v>6116</v>
      </c>
      <c r="E14" s="42">
        <v>580</v>
      </c>
      <c r="F14" s="42">
        <v>16746</v>
      </c>
      <c r="G14" s="42">
        <v>5636</v>
      </c>
      <c r="H14" s="42">
        <v>10814</v>
      </c>
      <c r="I14" s="42">
        <v>5148</v>
      </c>
      <c r="J14" s="42">
        <v>26517</v>
      </c>
      <c r="K14" s="42">
        <v>13440</v>
      </c>
      <c r="L14" s="42">
        <v>20131</v>
      </c>
      <c r="M14" s="42">
        <v>7609</v>
      </c>
      <c r="N14" s="63">
        <v>604</v>
      </c>
      <c r="P14" s="49">
        <f t="shared" si="4"/>
        <v>27775</v>
      </c>
      <c r="Q14" s="49">
        <f t="shared" si="5"/>
        <v>6696</v>
      </c>
      <c r="R14" s="49">
        <f t="shared" si="6"/>
        <v>38344</v>
      </c>
      <c r="S14" s="49">
        <f t="shared" si="7"/>
        <v>67697</v>
      </c>
    </row>
    <row r="15" spans="1:21">
      <c r="A15" s="77">
        <v>2012</v>
      </c>
      <c r="B15" s="42">
        <v>21277</v>
      </c>
      <c r="C15" s="42">
        <v>6319</v>
      </c>
      <c r="D15" s="42">
        <v>6393</v>
      </c>
      <c r="E15" s="42">
        <v>622</v>
      </c>
      <c r="F15" s="42">
        <v>16939</v>
      </c>
      <c r="G15" s="42">
        <v>5540</v>
      </c>
      <c r="H15" s="42">
        <v>10923</v>
      </c>
      <c r="I15" s="42">
        <v>5133</v>
      </c>
      <c r="J15" s="42">
        <v>27431</v>
      </c>
      <c r="K15" s="42">
        <v>13564</v>
      </c>
      <c r="L15" s="42">
        <v>21021</v>
      </c>
      <c r="M15" s="42">
        <v>8126</v>
      </c>
      <c r="N15" s="63">
        <v>613</v>
      </c>
      <c r="P15" s="49">
        <f t="shared" si="4"/>
        <v>27596</v>
      </c>
      <c r="Q15" s="49">
        <f t="shared" si="5"/>
        <v>7015</v>
      </c>
      <c r="R15" s="49">
        <f t="shared" si="6"/>
        <v>38535</v>
      </c>
      <c r="S15" s="49">
        <f t="shared" si="7"/>
        <v>70142</v>
      </c>
    </row>
    <row r="16" spans="1:21">
      <c r="A16" s="77">
        <v>2013</v>
      </c>
      <c r="B16" s="42">
        <v>21558</v>
      </c>
      <c r="C16" s="42">
        <v>6421</v>
      </c>
      <c r="D16" s="42">
        <v>6698</v>
      </c>
      <c r="E16" s="42">
        <v>637</v>
      </c>
      <c r="F16" s="42">
        <v>17078</v>
      </c>
      <c r="G16" s="42">
        <v>5379</v>
      </c>
      <c r="H16" s="42">
        <v>11347</v>
      </c>
      <c r="I16" s="42">
        <v>5215</v>
      </c>
      <c r="J16" s="42">
        <v>28480</v>
      </c>
      <c r="K16" s="42">
        <v>13820</v>
      </c>
      <c r="L16" s="42">
        <v>22019</v>
      </c>
      <c r="M16" s="42">
        <v>8730</v>
      </c>
      <c r="N16" s="63">
        <v>620</v>
      </c>
      <c r="P16" s="49">
        <f t="shared" si="4"/>
        <v>27979</v>
      </c>
      <c r="Q16" s="49">
        <f t="shared" si="5"/>
        <v>7335</v>
      </c>
      <c r="R16" s="49">
        <f t="shared" si="6"/>
        <v>39019</v>
      </c>
      <c r="S16" s="49">
        <f t="shared" si="7"/>
        <v>73049</v>
      </c>
    </row>
    <row r="17" spans="1:19">
      <c r="A17" s="77">
        <v>2014</v>
      </c>
      <c r="B17" s="42">
        <v>21890</v>
      </c>
      <c r="C17" s="42">
        <v>6631</v>
      </c>
      <c r="D17" s="42">
        <v>6902</v>
      </c>
      <c r="E17" s="42">
        <v>652</v>
      </c>
      <c r="F17" s="42">
        <v>17171</v>
      </c>
      <c r="G17" s="42">
        <v>5302</v>
      </c>
      <c r="H17" s="42">
        <v>12030</v>
      </c>
      <c r="I17" s="42">
        <v>5326</v>
      </c>
      <c r="J17" s="42">
        <v>29926</v>
      </c>
      <c r="K17" s="42">
        <v>14220</v>
      </c>
      <c r="L17" s="42">
        <v>23168</v>
      </c>
      <c r="M17" s="42">
        <v>9481</v>
      </c>
      <c r="N17" s="63">
        <v>628</v>
      </c>
      <c r="P17" s="49">
        <f t="shared" si="4"/>
        <v>28521</v>
      </c>
      <c r="Q17" s="49">
        <f t="shared" si="5"/>
        <v>7554</v>
      </c>
      <c r="R17" s="49">
        <f t="shared" si="6"/>
        <v>39829</v>
      </c>
      <c r="S17" s="49">
        <f t="shared" si="7"/>
        <v>76795</v>
      </c>
    </row>
    <row r="18" spans="1:19">
      <c r="A18" s="77">
        <v>2015</v>
      </c>
      <c r="B18" s="42">
        <v>21817</v>
      </c>
      <c r="C18" s="42">
        <v>6624</v>
      </c>
      <c r="D18" s="42">
        <v>7368</v>
      </c>
      <c r="E18" s="42">
        <v>650</v>
      </c>
      <c r="F18" s="42">
        <v>17265</v>
      </c>
      <c r="G18" s="42">
        <v>5185</v>
      </c>
      <c r="H18" s="42">
        <v>12969</v>
      </c>
      <c r="I18" s="42">
        <v>5502</v>
      </c>
      <c r="J18" s="42">
        <v>31560</v>
      </c>
      <c r="K18" s="42">
        <v>14683</v>
      </c>
      <c r="L18" s="42">
        <v>24366</v>
      </c>
      <c r="M18" s="42">
        <v>10482</v>
      </c>
      <c r="N18" s="63">
        <v>639</v>
      </c>
      <c r="P18" s="49">
        <f t="shared" ref="P18" si="8">SUM(B18:C18)</f>
        <v>28441</v>
      </c>
      <c r="Q18" s="49">
        <f t="shared" ref="Q18" si="9">SUM(D18:E18)</f>
        <v>8018</v>
      </c>
      <c r="R18" s="49">
        <f t="shared" ref="R18" si="10">SUM(F18:I18)</f>
        <v>40921</v>
      </c>
      <c r="S18" s="49">
        <f t="shared" ref="S18" si="11">SUM(J18:M18)</f>
        <v>81091</v>
      </c>
    </row>
    <row r="19" spans="1:19">
      <c r="A19" s="77">
        <v>2016</v>
      </c>
      <c r="B19" s="42">
        <v>21778</v>
      </c>
      <c r="C19" s="42">
        <v>6668</v>
      </c>
      <c r="D19" s="42">
        <v>7513</v>
      </c>
      <c r="E19" s="42">
        <v>660</v>
      </c>
      <c r="F19" s="42">
        <v>17320</v>
      </c>
      <c r="G19" s="42">
        <v>5096</v>
      </c>
      <c r="H19" s="42">
        <v>14095</v>
      </c>
      <c r="I19" s="42">
        <v>5658</v>
      </c>
      <c r="J19" s="42">
        <v>33095</v>
      </c>
      <c r="K19" s="42">
        <v>15093</v>
      </c>
      <c r="L19" s="42">
        <v>25609</v>
      </c>
      <c r="M19" s="42">
        <v>11330</v>
      </c>
      <c r="N19" s="63">
        <v>648</v>
      </c>
      <c r="P19" s="49">
        <f t="shared" ref="P19" si="12">SUM(B19:C19)</f>
        <v>28446</v>
      </c>
      <c r="Q19" s="49">
        <f t="shared" ref="Q19" si="13">SUM(D19:E19)</f>
        <v>8173</v>
      </c>
      <c r="R19" s="49">
        <f t="shared" ref="R19" si="14">SUM(F19:I19)</f>
        <v>42169</v>
      </c>
      <c r="S19" s="49">
        <f t="shared" ref="S19" si="15">SUM(J19:M19)</f>
        <v>85127</v>
      </c>
    </row>
    <row r="20" spans="1:19">
      <c r="A20" s="77">
        <v>2017</v>
      </c>
      <c r="B20" s="42">
        <v>21684</v>
      </c>
      <c r="C20" s="42">
        <v>6779</v>
      </c>
      <c r="D20" s="42">
        <v>7635</v>
      </c>
      <c r="E20" s="42">
        <v>656</v>
      </c>
      <c r="F20" s="42">
        <v>17420</v>
      </c>
      <c r="G20" s="42">
        <v>5046</v>
      </c>
      <c r="H20" s="42">
        <v>15376</v>
      </c>
      <c r="I20" s="42">
        <v>5784</v>
      </c>
      <c r="J20" s="42">
        <v>34528</v>
      </c>
      <c r="K20" s="42">
        <v>15563</v>
      </c>
      <c r="L20" s="42">
        <v>26915</v>
      </c>
      <c r="M20" s="42">
        <v>12461</v>
      </c>
      <c r="N20" s="63">
        <v>658</v>
      </c>
      <c r="P20" s="49">
        <f t="shared" ref="P20" si="16">SUM(B20:C20)</f>
        <v>28463</v>
      </c>
      <c r="Q20" s="49">
        <f t="shared" ref="Q20" si="17">SUM(D20:E20)</f>
        <v>8291</v>
      </c>
      <c r="R20" s="49">
        <f t="shared" ref="R20" si="18">SUM(F20:I20)</f>
        <v>43626</v>
      </c>
      <c r="S20" s="49">
        <f t="shared" ref="S20" si="19">SUM(J20:M20)</f>
        <v>89467</v>
      </c>
    </row>
    <row r="21" spans="1:19">
      <c r="A21" s="77">
        <v>2018</v>
      </c>
      <c r="B21" s="42">
        <v>21547</v>
      </c>
      <c r="C21" s="42">
        <v>6934</v>
      </c>
      <c r="D21" s="42">
        <v>7571</v>
      </c>
      <c r="E21" s="42">
        <v>646</v>
      </c>
      <c r="F21" s="42">
        <v>17589</v>
      </c>
      <c r="G21" s="42">
        <v>5067</v>
      </c>
      <c r="H21" s="42">
        <v>16668</v>
      </c>
      <c r="I21" s="42">
        <v>5913</v>
      </c>
      <c r="J21" s="42">
        <v>35786</v>
      </c>
      <c r="K21" s="42">
        <v>16008</v>
      </c>
      <c r="L21" s="42">
        <v>28186</v>
      </c>
      <c r="M21" s="42">
        <v>13539</v>
      </c>
      <c r="N21" s="63">
        <v>667</v>
      </c>
      <c r="P21" s="49">
        <f t="shared" ref="P21" si="20">SUM(B21:C21)</f>
        <v>28481</v>
      </c>
      <c r="Q21" s="49">
        <f t="shared" ref="Q21" si="21">SUM(D21:E21)</f>
        <v>8217</v>
      </c>
      <c r="R21" s="49">
        <f t="shared" ref="R21" si="22">SUM(F21:I21)</f>
        <v>45237</v>
      </c>
      <c r="S21" s="49">
        <f t="shared" ref="S21" si="23">SUM(J21:M21)</f>
        <v>93519</v>
      </c>
    </row>
    <row r="22" spans="1:19">
      <c r="A22" s="77">
        <v>2019</v>
      </c>
      <c r="B22" s="42">
        <v>21235</v>
      </c>
      <c r="C22" s="42">
        <v>6994</v>
      </c>
      <c r="D22" s="42">
        <v>7547</v>
      </c>
      <c r="E22" s="42">
        <v>639</v>
      </c>
      <c r="F22" s="42">
        <v>17791</v>
      </c>
      <c r="G22" s="42">
        <v>4929</v>
      </c>
      <c r="H22" s="42">
        <v>17956</v>
      </c>
      <c r="I22" s="42">
        <v>6036</v>
      </c>
      <c r="J22" s="42">
        <v>37325</v>
      </c>
      <c r="K22" s="42">
        <v>16486</v>
      </c>
      <c r="L22" s="42">
        <v>29289</v>
      </c>
      <c r="M22" s="42">
        <v>14610</v>
      </c>
      <c r="N22" s="63">
        <v>676</v>
      </c>
      <c r="P22" s="49">
        <f t="shared" ref="P22" si="24">SUM(B22:C22)</f>
        <v>28229</v>
      </c>
      <c r="Q22" s="49">
        <f t="shared" ref="Q22" si="25">SUM(D22:E22)</f>
        <v>8186</v>
      </c>
      <c r="R22" s="49">
        <f t="shared" ref="R22" si="26">SUM(F22:I22)</f>
        <v>46712</v>
      </c>
      <c r="S22" s="49">
        <f t="shared" ref="S22" si="27">SUM(J22:M22)</f>
        <v>97710</v>
      </c>
    </row>
    <row r="23" spans="1:19">
      <c r="A23" s="77">
        <v>2020</v>
      </c>
      <c r="B23" s="42">
        <v>20740</v>
      </c>
      <c r="C23" s="42">
        <v>7050</v>
      </c>
      <c r="D23" s="42">
        <v>7553</v>
      </c>
      <c r="E23" s="42">
        <v>639</v>
      </c>
      <c r="F23" s="42">
        <v>18056</v>
      </c>
      <c r="G23" s="42">
        <v>4828</v>
      </c>
      <c r="H23" s="42">
        <v>19394</v>
      </c>
      <c r="I23" s="42">
        <v>6097</v>
      </c>
      <c r="J23" s="42">
        <v>38961</v>
      </c>
      <c r="K23" s="42">
        <v>17001</v>
      </c>
      <c r="L23" s="42">
        <v>30589</v>
      </c>
      <c r="M23" s="42">
        <v>15456</v>
      </c>
      <c r="N23" s="63">
        <v>685</v>
      </c>
      <c r="P23" s="49">
        <f t="shared" ref="P23:P25" si="28">SUM(B23:C23)</f>
        <v>27790</v>
      </c>
      <c r="Q23" s="49">
        <f t="shared" ref="Q23:Q25" si="29">SUM(D23:E23)</f>
        <v>8192</v>
      </c>
      <c r="R23" s="49">
        <f t="shared" ref="R23:R25" si="30">SUM(F23:I23)</f>
        <v>48375</v>
      </c>
      <c r="S23" s="49">
        <f t="shared" ref="S23:S25" si="31">SUM(J23:M23)</f>
        <v>102007</v>
      </c>
    </row>
    <row r="24" spans="1:19">
      <c r="A24" s="77">
        <v>2021</v>
      </c>
      <c r="B24" s="42">
        <v>20048</v>
      </c>
      <c r="C24" s="42">
        <v>7091</v>
      </c>
      <c r="D24" s="42">
        <v>7665</v>
      </c>
      <c r="E24" s="42">
        <v>641</v>
      </c>
      <c r="F24" s="42">
        <v>18324</v>
      </c>
      <c r="G24" s="42">
        <v>4769</v>
      </c>
      <c r="H24" s="42">
        <v>21316</v>
      </c>
      <c r="I24" s="42">
        <v>6108</v>
      </c>
      <c r="J24" s="42">
        <v>40986</v>
      </c>
      <c r="K24" s="42">
        <v>17142</v>
      </c>
      <c r="L24" s="42">
        <v>32007</v>
      </c>
      <c r="M24" s="42">
        <v>16211</v>
      </c>
      <c r="N24" s="63">
        <v>693</v>
      </c>
      <c r="P24" s="49">
        <f t="shared" si="28"/>
        <v>27139</v>
      </c>
      <c r="Q24" s="49">
        <f t="shared" si="29"/>
        <v>8306</v>
      </c>
      <c r="R24" s="49">
        <f t="shared" si="30"/>
        <v>50517</v>
      </c>
      <c r="S24" s="49">
        <f t="shared" si="31"/>
        <v>106346</v>
      </c>
    </row>
    <row r="25" spans="1:19">
      <c r="A25" s="77">
        <v>2022</v>
      </c>
      <c r="B25" s="42">
        <v>19518</v>
      </c>
      <c r="C25" s="42">
        <v>7108</v>
      </c>
      <c r="D25" s="42">
        <v>7683</v>
      </c>
      <c r="E25" s="42">
        <v>639</v>
      </c>
      <c r="F25" s="42">
        <v>17870</v>
      </c>
      <c r="G25" s="42">
        <v>4645</v>
      </c>
      <c r="H25" s="42">
        <v>23051</v>
      </c>
      <c r="I25" s="42">
        <v>6082</v>
      </c>
      <c r="J25" s="42">
        <v>42920</v>
      </c>
      <c r="K25" s="42">
        <v>17288</v>
      </c>
      <c r="L25" s="42">
        <v>33163</v>
      </c>
      <c r="M25" s="42">
        <v>16633</v>
      </c>
      <c r="N25" s="63">
        <v>700</v>
      </c>
      <c r="P25" s="49">
        <f t="shared" si="28"/>
        <v>26626</v>
      </c>
      <c r="Q25" s="49">
        <f t="shared" si="29"/>
        <v>8322</v>
      </c>
      <c r="R25" s="49">
        <f t="shared" si="30"/>
        <v>51648</v>
      </c>
      <c r="S25" s="49">
        <f t="shared" si="31"/>
        <v>110004</v>
      </c>
    </row>
    <row r="26" spans="1:19">
      <c r="A26" s="77">
        <v>2023</v>
      </c>
      <c r="B26" s="42">
        <v>19099</v>
      </c>
      <c r="C26" s="42">
        <v>7330</v>
      </c>
      <c r="D26" s="42">
        <v>7861</v>
      </c>
      <c r="E26" s="42">
        <v>639</v>
      </c>
      <c r="F26" s="42">
        <v>17696</v>
      </c>
      <c r="G26" s="42">
        <v>4587</v>
      </c>
      <c r="H26" s="42">
        <v>24102</v>
      </c>
      <c r="I26" s="42">
        <v>6102</v>
      </c>
      <c r="J26" s="42">
        <v>44564</v>
      </c>
      <c r="K26" s="42">
        <v>17441</v>
      </c>
      <c r="L26" s="42">
        <v>34110</v>
      </c>
      <c r="M26" s="42">
        <v>16874</v>
      </c>
      <c r="N26" s="63">
        <v>704</v>
      </c>
      <c r="P26" s="49">
        <f t="shared" ref="P26" si="32">SUM(B26:C26)</f>
        <v>26429</v>
      </c>
      <c r="Q26" s="49">
        <f t="shared" ref="Q26" si="33">SUM(D26:E26)</f>
        <v>8500</v>
      </c>
      <c r="R26" s="49">
        <f t="shared" ref="R26" si="34">SUM(F26:I26)</f>
        <v>52487</v>
      </c>
      <c r="S26" s="49">
        <f t="shared" ref="S26" si="35">SUM(J26:M26)</f>
        <v>112989</v>
      </c>
    </row>
  </sheetData>
  <mergeCells count="1">
    <mergeCell ref="K1:L1"/>
  </mergeCells>
  <phoneticPr fontId="5" type="noConversion"/>
  <hyperlinks>
    <hyperlink ref="K1:L1" location="Contents!A1" display="Back to Contents" xr:uid="{00000000-0004-0000-1100-000000000000}"/>
  </hyperlinks>
  <pageMargins left="0.75" right="0.75" top="1" bottom="1" header="0.5" footer="0.5"/>
  <pageSetup paperSize="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39997558519241921"/>
    <pageSetUpPr fitToPage="1"/>
  </sheetPr>
  <dimension ref="A1:P505"/>
  <sheetViews>
    <sheetView topLeftCell="B1" zoomScale="90" zoomScaleNormal="90" workbookViewId="0">
      <pane ySplit="2" topLeftCell="A4" activePane="bottomLeft" state="frozen"/>
      <selection pane="bottomLeft" activeCell="B1" sqref="B1"/>
    </sheetView>
  </sheetViews>
  <sheetFormatPr defaultColWidth="8.81640625" defaultRowHeight="12.5"/>
  <cols>
    <col min="1" max="1" width="8.81640625" hidden="1" customWidth="1"/>
    <col min="2" max="2" width="8.81640625" style="104"/>
    <col min="3" max="3" width="9" bestFit="1" customWidth="1"/>
    <col min="4" max="8" width="9" style="1" bestFit="1" customWidth="1"/>
    <col min="9" max="9" width="9.26953125" style="1" bestFit="1" customWidth="1"/>
    <col min="10" max="11" width="9" style="1" bestFit="1" customWidth="1"/>
    <col min="12" max="14" width="8.81640625" style="1"/>
    <col min="22" max="22" width="8.453125" customWidth="1"/>
  </cols>
  <sheetData>
    <row r="1" spans="1:16" ht="23.5" customHeight="1">
      <c r="C1" s="104"/>
      <c r="D1" s="103" t="s">
        <v>361</v>
      </c>
      <c r="E1" s="31"/>
      <c r="F1" s="31"/>
      <c r="G1" s="203"/>
      <c r="H1" s="203"/>
      <c r="I1" s="203"/>
      <c r="J1" s="203"/>
      <c r="K1" s="203"/>
      <c r="L1" s="217" t="s">
        <v>79</v>
      </c>
      <c r="M1" s="217"/>
      <c r="N1" s="203"/>
    </row>
    <row r="2" spans="1:16" ht="20">
      <c r="B2" s="58" t="s">
        <v>362</v>
      </c>
      <c r="C2" s="58" t="s">
        <v>299</v>
      </c>
      <c r="D2" s="58" t="s">
        <v>363</v>
      </c>
      <c r="E2" s="58" t="s">
        <v>364</v>
      </c>
      <c r="F2" s="58" t="s">
        <v>365</v>
      </c>
      <c r="G2" s="58" t="s">
        <v>366</v>
      </c>
      <c r="H2" s="58" t="s">
        <v>367</v>
      </c>
      <c r="I2" s="58" t="s">
        <v>368</v>
      </c>
      <c r="J2" s="58" t="s">
        <v>369</v>
      </c>
      <c r="K2" s="58" t="s">
        <v>370</v>
      </c>
      <c r="L2" s="58" t="s">
        <v>371</v>
      </c>
      <c r="M2" s="58" t="s">
        <v>372</v>
      </c>
      <c r="N2" s="58" t="s">
        <v>373</v>
      </c>
      <c r="O2" s="36"/>
    </row>
    <row r="3" spans="1:16">
      <c r="A3">
        <f>IF(B3=B2, A2, A2+1)</f>
        <v>1</v>
      </c>
      <c r="B3" s="42" t="s">
        <v>374</v>
      </c>
      <c r="C3" s="42">
        <v>2001</v>
      </c>
      <c r="D3" s="42">
        <v>0</v>
      </c>
      <c r="E3" s="42">
        <v>4</v>
      </c>
      <c r="F3" s="42">
        <v>164</v>
      </c>
      <c r="G3" s="42">
        <v>179</v>
      </c>
      <c r="H3" s="42">
        <v>-21</v>
      </c>
      <c r="I3" s="42">
        <v>0</v>
      </c>
      <c r="J3" s="42">
        <v>-37</v>
      </c>
      <c r="K3" s="42">
        <v>-12</v>
      </c>
      <c r="L3" s="49">
        <f>SUM(D3:G3)</f>
        <v>347</v>
      </c>
      <c r="M3" s="49">
        <f>-SUM(H3:K3)</f>
        <v>70</v>
      </c>
      <c r="N3" s="49">
        <f t="shared" ref="N3:N35" si="0">SUM(D3:K3)</f>
        <v>277</v>
      </c>
      <c r="O3" s="42"/>
    </row>
    <row r="4" spans="1:16">
      <c r="A4">
        <f t="shared" ref="A4:A73" si="1">IF(B4=B3, A3, A3+1)</f>
        <v>1</v>
      </c>
      <c r="B4" s="42" t="s">
        <v>374</v>
      </c>
      <c r="C4" s="42">
        <v>2002</v>
      </c>
      <c r="D4" s="42">
        <v>3</v>
      </c>
      <c r="E4" s="42">
        <v>0</v>
      </c>
      <c r="F4" s="42">
        <v>153</v>
      </c>
      <c r="G4" s="42">
        <v>324</v>
      </c>
      <c r="H4" s="42">
        <v>-21</v>
      </c>
      <c r="I4" s="42">
        <v>0</v>
      </c>
      <c r="J4" s="42">
        <v>-54</v>
      </c>
      <c r="K4" s="42">
        <v>-18</v>
      </c>
      <c r="L4" s="49">
        <f t="shared" ref="L4:L69" si="2">SUM(D4:G4)</f>
        <v>480</v>
      </c>
      <c r="M4" s="49">
        <f t="shared" ref="M4:M69" si="3">-SUM(H4:K4)</f>
        <v>93</v>
      </c>
      <c r="N4" s="49">
        <f t="shared" si="0"/>
        <v>387</v>
      </c>
      <c r="O4" s="42"/>
    </row>
    <row r="5" spans="1:16">
      <c r="A5">
        <f t="shared" si="1"/>
        <v>1</v>
      </c>
      <c r="B5" s="42" t="s">
        <v>374</v>
      </c>
      <c r="C5" s="42">
        <v>2003</v>
      </c>
      <c r="D5" s="42">
        <v>0</v>
      </c>
      <c r="E5" s="42">
        <v>2</v>
      </c>
      <c r="F5" s="42">
        <v>214</v>
      </c>
      <c r="G5" s="42">
        <v>254</v>
      </c>
      <c r="H5" s="42">
        <v>-23</v>
      </c>
      <c r="I5" s="42">
        <v>-1</v>
      </c>
      <c r="J5" s="42">
        <v>-62</v>
      </c>
      <c r="K5" s="42">
        <v>-19</v>
      </c>
      <c r="L5" s="49">
        <f t="shared" si="2"/>
        <v>470</v>
      </c>
      <c r="M5" s="49">
        <f t="shared" si="3"/>
        <v>105</v>
      </c>
      <c r="N5" s="49">
        <f t="shared" si="0"/>
        <v>365</v>
      </c>
      <c r="O5" s="42"/>
    </row>
    <row r="6" spans="1:16">
      <c r="A6">
        <f t="shared" si="1"/>
        <v>1</v>
      </c>
      <c r="B6" s="42" t="s">
        <v>374</v>
      </c>
      <c r="C6" s="42">
        <v>2004</v>
      </c>
      <c r="D6" s="42">
        <v>0</v>
      </c>
      <c r="E6" s="42">
        <v>2</v>
      </c>
      <c r="F6" s="42">
        <v>275</v>
      </c>
      <c r="G6" s="42">
        <v>252</v>
      </c>
      <c r="H6" s="42">
        <v>-15</v>
      </c>
      <c r="I6" s="42">
        <v>0</v>
      </c>
      <c r="J6" s="42">
        <v>-52</v>
      </c>
      <c r="K6" s="42">
        <v>-38</v>
      </c>
      <c r="L6" s="49">
        <f t="shared" si="2"/>
        <v>529</v>
      </c>
      <c r="M6" s="49">
        <f t="shared" si="3"/>
        <v>105</v>
      </c>
      <c r="N6" s="49">
        <f t="shared" si="0"/>
        <v>424</v>
      </c>
      <c r="O6" s="42"/>
    </row>
    <row r="7" spans="1:16">
      <c r="A7">
        <f t="shared" si="1"/>
        <v>1</v>
      </c>
      <c r="B7" s="42" t="s">
        <v>374</v>
      </c>
      <c r="C7" s="42">
        <v>2005</v>
      </c>
      <c r="D7" s="42">
        <v>0</v>
      </c>
      <c r="E7" s="42">
        <v>5</v>
      </c>
      <c r="F7" s="42">
        <v>206</v>
      </c>
      <c r="G7" s="42">
        <v>228</v>
      </c>
      <c r="H7" s="42">
        <v>-15</v>
      </c>
      <c r="I7" s="42">
        <v>0</v>
      </c>
      <c r="J7" s="42">
        <v>-55</v>
      </c>
      <c r="K7" s="42">
        <v>-39</v>
      </c>
      <c r="L7" s="49">
        <f t="shared" si="2"/>
        <v>439</v>
      </c>
      <c r="M7" s="49">
        <f t="shared" si="3"/>
        <v>109</v>
      </c>
      <c r="N7" s="49">
        <f t="shared" si="0"/>
        <v>330</v>
      </c>
      <c r="O7" s="42"/>
      <c r="P7" s="37"/>
    </row>
    <row r="8" spans="1:16">
      <c r="A8">
        <f t="shared" si="1"/>
        <v>1</v>
      </c>
      <c r="B8" s="42" t="s">
        <v>374</v>
      </c>
      <c r="C8" s="42">
        <v>2006</v>
      </c>
      <c r="D8" s="42">
        <v>2</v>
      </c>
      <c r="E8" s="42">
        <v>7</v>
      </c>
      <c r="F8" s="42">
        <v>135</v>
      </c>
      <c r="G8" s="42">
        <v>213</v>
      </c>
      <c r="H8" s="42">
        <v>-23</v>
      </c>
      <c r="I8" s="42">
        <v>0</v>
      </c>
      <c r="J8" s="42">
        <v>-54</v>
      </c>
      <c r="K8" s="42">
        <v>-37</v>
      </c>
      <c r="L8" s="49">
        <f t="shared" si="2"/>
        <v>357</v>
      </c>
      <c r="M8" s="49">
        <f t="shared" si="3"/>
        <v>114</v>
      </c>
      <c r="N8" s="49">
        <f t="shared" si="0"/>
        <v>243</v>
      </c>
      <c r="O8" s="42"/>
    </row>
    <row r="9" spans="1:16">
      <c r="A9">
        <f t="shared" si="1"/>
        <v>1</v>
      </c>
      <c r="B9" s="42" t="s">
        <v>374</v>
      </c>
      <c r="C9" s="42">
        <v>2007</v>
      </c>
      <c r="D9" s="42">
        <v>2</v>
      </c>
      <c r="E9" s="42">
        <v>6</v>
      </c>
      <c r="F9" s="42">
        <v>187</v>
      </c>
      <c r="G9" s="42">
        <v>383</v>
      </c>
      <c r="H9" s="42">
        <v>-21</v>
      </c>
      <c r="I9" s="42">
        <v>-1</v>
      </c>
      <c r="J9" s="42">
        <v>-61</v>
      </c>
      <c r="K9" s="42">
        <v>-58</v>
      </c>
      <c r="L9" s="49">
        <f t="shared" si="2"/>
        <v>578</v>
      </c>
      <c r="M9" s="49">
        <f t="shared" si="3"/>
        <v>141</v>
      </c>
      <c r="N9" s="49">
        <f t="shared" si="0"/>
        <v>437</v>
      </c>
      <c r="O9" s="42"/>
    </row>
    <row r="10" spans="1:16">
      <c r="A10">
        <f t="shared" si="1"/>
        <v>1</v>
      </c>
      <c r="B10" s="42" t="s">
        <v>374</v>
      </c>
      <c r="C10" s="42">
        <v>2008</v>
      </c>
      <c r="D10" s="42">
        <v>0</v>
      </c>
      <c r="E10" s="42">
        <v>5</v>
      </c>
      <c r="F10" s="42">
        <v>268</v>
      </c>
      <c r="G10" s="42">
        <v>398</v>
      </c>
      <c r="H10" s="42">
        <v>-15</v>
      </c>
      <c r="I10" s="42">
        <v>0</v>
      </c>
      <c r="J10" s="42">
        <v>-68</v>
      </c>
      <c r="K10" s="42">
        <v>-40</v>
      </c>
      <c r="L10" s="49">
        <f t="shared" si="2"/>
        <v>671</v>
      </c>
      <c r="M10" s="49">
        <f t="shared" si="3"/>
        <v>123</v>
      </c>
      <c r="N10" s="49">
        <f t="shared" si="0"/>
        <v>548</v>
      </c>
      <c r="O10" s="42"/>
    </row>
    <row r="11" spans="1:16">
      <c r="A11">
        <f t="shared" si="1"/>
        <v>1</v>
      </c>
      <c r="B11" s="42" t="s">
        <v>374</v>
      </c>
      <c r="C11" s="42">
        <v>2009</v>
      </c>
      <c r="D11" s="42">
        <v>0</v>
      </c>
      <c r="E11" s="42">
        <v>0</v>
      </c>
      <c r="F11" s="42">
        <v>391</v>
      </c>
      <c r="G11" s="42">
        <v>46</v>
      </c>
      <c r="H11" s="42">
        <v>-9</v>
      </c>
      <c r="I11" s="42">
        <v>-3</v>
      </c>
      <c r="J11" s="42">
        <v>-81</v>
      </c>
      <c r="K11" s="42">
        <v>-43</v>
      </c>
      <c r="L11" s="49">
        <f t="shared" si="2"/>
        <v>437</v>
      </c>
      <c r="M11" s="49">
        <f t="shared" si="3"/>
        <v>136</v>
      </c>
      <c r="N11" s="49">
        <f t="shared" si="0"/>
        <v>301</v>
      </c>
      <c r="O11" s="42"/>
    </row>
    <row r="12" spans="1:16">
      <c r="A12">
        <f t="shared" si="1"/>
        <v>1</v>
      </c>
      <c r="B12" s="42" t="s">
        <v>374</v>
      </c>
      <c r="C12" s="42">
        <v>2010</v>
      </c>
      <c r="D12" s="42">
        <v>0</v>
      </c>
      <c r="E12" s="42">
        <v>1</v>
      </c>
      <c r="F12" s="42">
        <v>239</v>
      </c>
      <c r="G12" s="42">
        <v>43</v>
      </c>
      <c r="H12" s="42">
        <v>-21</v>
      </c>
      <c r="I12" s="42">
        <v>0</v>
      </c>
      <c r="J12" s="42">
        <v>-85</v>
      </c>
      <c r="K12" s="42">
        <v>-62</v>
      </c>
      <c r="L12" s="49">
        <f t="shared" si="2"/>
        <v>283</v>
      </c>
      <c r="M12" s="49">
        <f t="shared" si="3"/>
        <v>168</v>
      </c>
      <c r="N12" s="49">
        <f t="shared" si="0"/>
        <v>115</v>
      </c>
      <c r="O12" s="42"/>
    </row>
    <row r="13" spans="1:16">
      <c r="A13">
        <f t="shared" si="1"/>
        <v>1</v>
      </c>
      <c r="B13" s="42" t="s">
        <v>374</v>
      </c>
      <c r="C13" s="42">
        <v>2011</v>
      </c>
      <c r="D13" s="42">
        <v>0</v>
      </c>
      <c r="E13" s="42">
        <v>2</v>
      </c>
      <c r="F13" s="42">
        <v>308</v>
      </c>
      <c r="G13" s="42">
        <v>23</v>
      </c>
      <c r="H13" s="42">
        <v>-24</v>
      </c>
      <c r="I13" s="42">
        <v>-1</v>
      </c>
      <c r="J13" s="42">
        <v>-130</v>
      </c>
      <c r="K13" s="42">
        <v>-76</v>
      </c>
      <c r="L13" s="49">
        <f t="shared" si="2"/>
        <v>333</v>
      </c>
      <c r="M13" s="49">
        <f t="shared" si="3"/>
        <v>231</v>
      </c>
      <c r="N13" s="49">
        <f t="shared" si="0"/>
        <v>102</v>
      </c>
      <c r="O13" s="42"/>
    </row>
    <row r="14" spans="1:16">
      <c r="A14">
        <f t="shared" si="1"/>
        <v>1</v>
      </c>
      <c r="B14" s="42" t="s">
        <v>374</v>
      </c>
      <c r="C14" s="42">
        <v>2012</v>
      </c>
      <c r="D14" s="42">
        <v>0</v>
      </c>
      <c r="E14" s="42">
        <v>0</v>
      </c>
      <c r="F14" s="42">
        <v>300</v>
      </c>
      <c r="G14" s="42">
        <v>59</v>
      </c>
      <c r="H14" s="42">
        <v>-12</v>
      </c>
      <c r="I14" s="42">
        <v>-3</v>
      </c>
      <c r="J14" s="42">
        <v>-164</v>
      </c>
      <c r="K14" s="42">
        <v>-60</v>
      </c>
      <c r="L14" s="49">
        <f t="shared" si="2"/>
        <v>359</v>
      </c>
      <c r="M14" s="49">
        <f t="shared" si="3"/>
        <v>239</v>
      </c>
      <c r="N14" s="49">
        <f t="shared" si="0"/>
        <v>120</v>
      </c>
      <c r="O14" s="42"/>
    </row>
    <row r="15" spans="1:16">
      <c r="A15">
        <f t="shared" si="1"/>
        <v>1</v>
      </c>
      <c r="B15" s="42" t="s">
        <v>374</v>
      </c>
      <c r="C15" s="42">
        <v>2013</v>
      </c>
      <c r="D15" s="42">
        <v>0</v>
      </c>
      <c r="E15" s="42">
        <v>2</v>
      </c>
      <c r="F15" s="42">
        <v>323</v>
      </c>
      <c r="G15" s="42">
        <v>113</v>
      </c>
      <c r="H15" s="42">
        <v>-11</v>
      </c>
      <c r="I15" s="42">
        <v>-1</v>
      </c>
      <c r="J15" s="42">
        <v>-96</v>
      </c>
      <c r="K15" s="42">
        <v>-84</v>
      </c>
      <c r="L15" s="49">
        <f t="shared" si="2"/>
        <v>438</v>
      </c>
      <c r="M15" s="49">
        <f t="shared" si="3"/>
        <v>192</v>
      </c>
      <c r="N15" s="49">
        <f t="shared" si="0"/>
        <v>246</v>
      </c>
      <c r="O15" s="42"/>
    </row>
    <row r="16" spans="1:16">
      <c r="A16">
        <f t="shared" si="1"/>
        <v>1</v>
      </c>
      <c r="B16" s="193" t="s">
        <v>374</v>
      </c>
      <c r="C16" s="193">
        <v>2014</v>
      </c>
      <c r="D16" s="42">
        <v>0</v>
      </c>
      <c r="E16" s="42">
        <v>4</v>
      </c>
      <c r="F16" s="42">
        <v>318</v>
      </c>
      <c r="G16" s="42">
        <v>77</v>
      </c>
      <c r="H16" s="42">
        <v>-8</v>
      </c>
      <c r="I16" s="42">
        <v>-1</v>
      </c>
      <c r="J16" s="42">
        <v>-103</v>
      </c>
      <c r="K16" s="42">
        <v>-77</v>
      </c>
      <c r="L16" s="49">
        <f t="shared" si="2"/>
        <v>399</v>
      </c>
      <c r="M16" s="49">
        <f t="shared" si="3"/>
        <v>189</v>
      </c>
      <c r="N16" s="49">
        <f t="shared" si="0"/>
        <v>210</v>
      </c>
      <c r="O16" s="42"/>
    </row>
    <row r="17" spans="1:15">
      <c r="A17">
        <f t="shared" si="1"/>
        <v>1</v>
      </c>
      <c r="B17" s="193" t="s">
        <v>374</v>
      </c>
      <c r="C17" s="193">
        <v>2015</v>
      </c>
      <c r="D17" s="42">
        <v>0</v>
      </c>
      <c r="E17" s="42">
        <v>2</v>
      </c>
      <c r="F17" s="42">
        <v>330</v>
      </c>
      <c r="G17" s="42">
        <v>70</v>
      </c>
      <c r="H17" s="42">
        <v>-5</v>
      </c>
      <c r="I17" s="42">
        <v>0</v>
      </c>
      <c r="J17" s="42">
        <v>-89</v>
      </c>
      <c r="K17" s="42">
        <v>-81</v>
      </c>
      <c r="L17" s="49">
        <f t="shared" si="2"/>
        <v>402</v>
      </c>
      <c r="M17" s="49">
        <f t="shared" si="3"/>
        <v>175</v>
      </c>
      <c r="N17" s="49">
        <f t="shared" si="0"/>
        <v>227</v>
      </c>
      <c r="O17" s="42"/>
    </row>
    <row r="18" spans="1:15">
      <c r="A18">
        <f t="shared" si="1"/>
        <v>1</v>
      </c>
      <c r="B18" s="193" t="s">
        <v>374</v>
      </c>
      <c r="C18" s="193">
        <v>2016</v>
      </c>
      <c r="D18" s="42">
        <v>0</v>
      </c>
      <c r="E18" s="42">
        <v>0</v>
      </c>
      <c r="F18" s="42">
        <v>669</v>
      </c>
      <c r="G18" s="42">
        <v>80</v>
      </c>
      <c r="H18" s="42">
        <v>-6</v>
      </c>
      <c r="I18" s="42">
        <v>0</v>
      </c>
      <c r="J18" s="42">
        <v>-60</v>
      </c>
      <c r="K18" s="42">
        <v>-72</v>
      </c>
      <c r="L18" s="49">
        <f t="shared" si="2"/>
        <v>749</v>
      </c>
      <c r="M18" s="49">
        <f t="shared" si="3"/>
        <v>138</v>
      </c>
      <c r="N18" s="49">
        <f t="shared" si="0"/>
        <v>611</v>
      </c>
    </row>
    <row r="19" spans="1:15">
      <c r="A19">
        <f t="shared" si="1"/>
        <v>1</v>
      </c>
      <c r="B19" s="193" t="s">
        <v>374</v>
      </c>
      <c r="C19" s="193">
        <v>2017</v>
      </c>
      <c r="D19" s="42">
        <v>0</v>
      </c>
      <c r="E19" s="42">
        <v>3</v>
      </c>
      <c r="F19" s="42">
        <v>592</v>
      </c>
      <c r="G19" s="42">
        <v>82</v>
      </c>
      <c r="H19" s="42">
        <v>-10</v>
      </c>
      <c r="I19" s="42">
        <v>0</v>
      </c>
      <c r="J19" s="42">
        <v>-66</v>
      </c>
      <c r="K19" s="42">
        <v>-84</v>
      </c>
      <c r="L19" s="49">
        <f t="shared" si="2"/>
        <v>677</v>
      </c>
      <c r="M19" s="49">
        <f t="shared" si="3"/>
        <v>160</v>
      </c>
      <c r="N19" s="49">
        <f t="shared" si="0"/>
        <v>517</v>
      </c>
      <c r="O19" s="42"/>
    </row>
    <row r="20" spans="1:15">
      <c r="A20">
        <f t="shared" si="1"/>
        <v>1</v>
      </c>
      <c r="B20" s="193" t="s">
        <v>374</v>
      </c>
      <c r="C20" s="193">
        <v>2018</v>
      </c>
      <c r="D20" s="42">
        <v>1</v>
      </c>
      <c r="E20" s="42">
        <v>3</v>
      </c>
      <c r="F20" s="42">
        <v>838</v>
      </c>
      <c r="G20" s="42">
        <v>77</v>
      </c>
      <c r="H20" s="42">
        <v>-9</v>
      </c>
      <c r="I20" s="42">
        <v>-2</v>
      </c>
      <c r="J20" s="42">
        <v>-72</v>
      </c>
      <c r="K20" s="42">
        <v>-80</v>
      </c>
      <c r="L20" s="49">
        <f t="shared" si="2"/>
        <v>919</v>
      </c>
      <c r="M20" s="49">
        <f t="shared" si="3"/>
        <v>163</v>
      </c>
      <c r="N20" s="49">
        <f t="shared" si="0"/>
        <v>756</v>
      </c>
      <c r="O20" s="42"/>
    </row>
    <row r="21" spans="1:15">
      <c r="A21">
        <f t="shared" si="1"/>
        <v>1</v>
      </c>
      <c r="B21" s="193" t="s">
        <v>374</v>
      </c>
      <c r="C21" s="193">
        <v>2019</v>
      </c>
      <c r="D21" s="42">
        <v>0</v>
      </c>
      <c r="E21" s="42">
        <v>1</v>
      </c>
      <c r="F21" s="42">
        <v>367</v>
      </c>
      <c r="G21" s="42">
        <v>64</v>
      </c>
      <c r="H21" s="42">
        <v>-3</v>
      </c>
      <c r="I21" s="42">
        <v>-1</v>
      </c>
      <c r="J21" s="42">
        <v>-76</v>
      </c>
      <c r="K21" s="42">
        <v>-88</v>
      </c>
      <c r="L21" s="49">
        <f t="shared" si="2"/>
        <v>432</v>
      </c>
      <c r="M21" s="49">
        <f t="shared" si="3"/>
        <v>168</v>
      </c>
      <c r="N21" s="49">
        <f t="shared" si="0"/>
        <v>264</v>
      </c>
      <c r="O21" s="42"/>
    </row>
    <row r="22" spans="1:15">
      <c r="A22">
        <f t="shared" si="1"/>
        <v>1</v>
      </c>
      <c r="B22" s="193" t="s">
        <v>374</v>
      </c>
      <c r="C22" s="193">
        <v>2020</v>
      </c>
      <c r="D22" s="42">
        <v>0</v>
      </c>
      <c r="E22" s="42">
        <v>0</v>
      </c>
      <c r="F22" s="42">
        <v>204</v>
      </c>
      <c r="G22" s="42">
        <v>46</v>
      </c>
      <c r="H22" s="42">
        <v>-4</v>
      </c>
      <c r="I22" s="42">
        <v>-1</v>
      </c>
      <c r="J22" s="42">
        <v>-95</v>
      </c>
      <c r="K22" s="42">
        <v>-103</v>
      </c>
      <c r="L22" s="49">
        <f t="shared" si="2"/>
        <v>250</v>
      </c>
      <c r="M22" s="49">
        <f t="shared" si="3"/>
        <v>203</v>
      </c>
      <c r="N22" s="49">
        <f t="shared" si="0"/>
        <v>47</v>
      </c>
      <c r="O22" s="42"/>
    </row>
    <row r="23" spans="1:15">
      <c r="A23">
        <f t="shared" si="1"/>
        <v>1</v>
      </c>
      <c r="B23" s="193" t="s">
        <v>374</v>
      </c>
      <c r="C23" s="193">
        <v>2021</v>
      </c>
      <c r="D23" s="42">
        <v>1</v>
      </c>
      <c r="E23" s="42">
        <v>0</v>
      </c>
      <c r="F23" s="42">
        <v>284</v>
      </c>
      <c r="G23" s="42">
        <v>28</v>
      </c>
      <c r="H23" s="42">
        <v>-6</v>
      </c>
      <c r="I23" s="42">
        <v>0</v>
      </c>
      <c r="J23" s="42">
        <v>-95</v>
      </c>
      <c r="K23" s="42">
        <v>-113</v>
      </c>
      <c r="L23" s="49">
        <f t="shared" si="2"/>
        <v>313</v>
      </c>
      <c r="M23" s="49">
        <f t="shared" si="3"/>
        <v>214</v>
      </c>
      <c r="N23" s="49">
        <f t="shared" si="0"/>
        <v>99</v>
      </c>
      <c r="O23" s="42"/>
    </row>
    <row r="24" spans="1:15">
      <c r="B24" s="193" t="s">
        <v>374</v>
      </c>
      <c r="C24" s="193">
        <v>2022</v>
      </c>
      <c r="D24" s="193">
        <v>0</v>
      </c>
      <c r="E24" s="193">
        <v>4</v>
      </c>
      <c r="F24" s="193">
        <v>326</v>
      </c>
      <c r="G24" s="193">
        <v>39</v>
      </c>
      <c r="H24" s="193">
        <v>-2</v>
      </c>
      <c r="I24" s="193">
        <v>-1</v>
      </c>
      <c r="J24" s="193">
        <v>-122</v>
      </c>
      <c r="K24" s="193">
        <v>-128</v>
      </c>
      <c r="L24" s="194">
        <f t="shared" si="2"/>
        <v>369</v>
      </c>
      <c r="M24" s="194">
        <f t="shared" si="3"/>
        <v>253</v>
      </c>
      <c r="N24" s="194">
        <f t="shared" si="0"/>
        <v>116</v>
      </c>
      <c r="O24" s="42"/>
    </row>
    <row r="25" spans="1:15">
      <c r="B25" s="193" t="s">
        <v>374</v>
      </c>
      <c r="C25" s="193">
        <v>2023</v>
      </c>
      <c r="D25" s="193">
        <v>0</v>
      </c>
      <c r="E25" s="193">
        <v>5</v>
      </c>
      <c r="F25" s="193">
        <v>218</v>
      </c>
      <c r="G25" s="193">
        <v>44</v>
      </c>
      <c r="H25" s="193">
        <v>-2</v>
      </c>
      <c r="I25" s="193">
        <v>-2</v>
      </c>
      <c r="J25" s="193">
        <v>-104</v>
      </c>
      <c r="K25" s="193">
        <v>-86</v>
      </c>
      <c r="L25" s="194">
        <f t="shared" ref="L25" si="4">SUM(D25:G25)</f>
        <v>267</v>
      </c>
      <c r="M25" s="194">
        <f t="shared" ref="M25" si="5">-SUM(H25:K25)</f>
        <v>194</v>
      </c>
      <c r="N25" s="194">
        <f t="shared" ref="N25" si="6">SUM(D25:K25)</f>
        <v>73</v>
      </c>
      <c r="O25" s="42"/>
    </row>
    <row r="26" spans="1:15">
      <c r="A26">
        <f>IF(B26=B23, A23, A23+1)</f>
        <v>2</v>
      </c>
      <c r="B26" s="42" t="s">
        <v>113</v>
      </c>
      <c r="C26" s="42">
        <v>2001</v>
      </c>
      <c r="D26" s="42">
        <v>56</v>
      </c>
      <c r="E26" s="42">
        <v>43</v>
      </c>
      <c r="F26" s="42">
        <v>2785</v>
      </c>
      <c r="G26" s="42">
        <v>2913</v>
      </c>
      <c r="H26" s="42">
        <v>-502</v>
      </c>
      <c r="I26" s="42">
        <v>-47</v>
      </c>
      <c r="J26" s="42">
        <v>-2271</v>
      </c>
      <c r="K26" s="42">
        <v>-713</v>
      </c>
      <c r="L26" s="49">
        <f t="shared" si="2"/>
        <v>5797</v>
      </c>
      <c r="M26" s="49">
        <f t="shared" si="3"/>
        <v>3533</v>
      </c>
      <c r="N26" s="49">
        <f t="shared" si="0"/>
        <v>2264</v>
      </c>
      <c r="O26" s="42"/>
    </row>
    <row r="27" spans="1:15">
      <c r="A27">
        <f t="shared" si="1"/>
        <v>2</v>
      </c>
      <c r="B27" s="42" t="s">
        <v>113</v>
      </c>
      <c r="C27" s="42">
        <v>2002</v>
      </c>
      <c r="D27" s="42">
        <v>63</v>
      </c>
      <c r="E27" s="42">
        <v>47</v>
      </c>
      <c r="F27" s="42">
        <v>3355</v>
      </c>
      <c r="G27" s="42">
        <v>4018</v>
      </c>
      <c r="H27" s="42">
        <v>-472</v>
      </c>
      <c r="I27" s="42">
        <v>-44</v>
      </c>
      <c r="J27" s="42">
        <v>-2260</v>
      </c>
      <c r="K27" s="42">
        <v>-781</v>
      </c>
      <c r="L27" s="49">
        <f t="shared" si="2"/>
        <v>7483</v>
      </c>
      <c r="M27" s="49">
        <f t="shared" si="3"/>
        <v>3557</v>
      </c>
      <c r="N27" s="49">
        <f t="shared" si="0"/>
        <v>3926</v>
      </c>
      <c r="O27" s="42"/>
    </row>
    <row r="28" spans="1:15">
      <c r="A28">
        <f t="shared" si="1"/>
        <v>2</v>
      </c>
      <c r="B28" s="42" t="s">
        <v>113</v>
      </c>
      <c r="C28" s="42">
        <v>2003</v>
      </c>
      <c r="D28" s="42">
        <v>43</v>
      </c>
      <c r="E28" s="42">
        <v>33</v>
      </c>
      <c r="F28" s="42">
        <v>3888</v>
      </c>
      <c r="G28" s="42">
        <v>5028</v>
      </c>
      <c r="H28" s="42">
        <v>-403</v>
      </c>
      <c r="I28" s="42">
        <v>-54</v>
      </c>
      <c r="J28" s="42">
        <v>-2450</v>
      </c>
      <c r="K28" s="42">
        <v>-908</v>
      </c>
      <c r="L28" s="49">
        <f t="shared" si="2"/>
        <v>8992</v>
      </c>
      <c r="M28" s="49">
        <f t="shared" si="3"/>
        <v>3815</v>
      </c>
      <c r="N28" s="49">
        <f t="shared" si="0"/>
        <v>5177</v>
      </c>
      <c r="O28" s="42"/>
    </row>
    <row r="29" spans="1:15">
      <c r="A29">
        <f t="shared" si="1"/>
        <v>2</v>
      </c>
      <c r="B29" s="42" t="s">
        <v>113</v>
      </c>
      <c r="C29" s="42">
        <v>2004</v>
      </c>
      <c r="D29" s="42">
        <v>41</v>
      </c>
      <c r="E29" s="42">
        <v>57</v>
      </c>
      <c r="F29" s="42">
        <v>4462</v>
      </c>
      <c r="G29" s="42">
        <v>6235</v>
      </c>
      <c r="H29" s="42">
        <v>-363</v>
      </c>
      <c r="I29" s="42">
        <v>-42</v>
      </c>
      <c r="J29" s="42">
        <v>-2460</v>
      </c>
      <c r="K29" s="42">
        <v>-1030</v>
      </c>
      <c r="L29" s="49">
        <f t="shared" si="2"/>
        <v>10795</v>
      </c>
      <c r="M29" s="49">
        <f t="shared" si="3"/>
        <v>3895</v>
      </c>
      <c r="N29" s="49">
        <f t="shared" si="0"/>
        <v>6900</v>
      </c>
      <c r="O29" s="42"/>
    </row>
    <row r="30" spans="1:15">
      <c r="A30">
        <f t="shared" si="1"/>
        <v>2</v>
      </c>
      <c r="B30" s="42" t="s">
        <v>113</v>
      </c>
      <c r="C30" s="42">
        <v>2005</v>
      </c>
      <c r="D30" s="42">
        <v>32</v>
      </c>
      <c r="E30" s="42">
        <v>69</v>
      </c>
      <c r="F30" s="42">
        <v>4726</v>
      </c>
      <c r="G30" s="42">
        <v>5421</v>
      </c>
      <c r="H30" s="42">
        <v>-394</v>
      </c>
      <c r="I30" s="42">
        <v>-40</v>
      </c>
      <c r="J30" s="42">
        <v>-2557</v>
      </c>
      <c r="K30" s="42">
        <v>-1178</v>
      </c>
      <c r="L30" s="49">
        <f t="shared" si="2"/>
        <v>10248</v>
      </c>
      <c r="M30" s="49">
        <f t="shared" si="3"/>
        <v>4169</v>
      </c>
      <c r="N30" s="49">
        <f t="shared" si="0"/>
        <v>6079</v>
      </c>
      <c r="O30" s="42"/>
    </row>
    <row r="31" spans="1:15">
      <c r="A31">
        <f t="shared" si="1"/>
        <v>2</v>
      </c>
      <c r="B31" s="42" t="s">
        <v>113</v>
      </c>
      <c r="C31" s="42">
        <v>2006</v>
      </c>
      <c r="D31" s="42">
        <v>22</v>
      </c>
      <c r="E31" s="42">
        <v>43</v>
      </c>
      <c r="F31" s="42">
        <v>3889</v>
      </c>
      <c r="G31" s="42">
        <v>4914</v>
      </c>
      <c r="H31" s="42">
        <v>-309</v>
      </c>
      <c r="I31" s="42">
        <v>-44</v>
      </c>
      <c r="J31" s="42">
        <v>-2618</v>
      </c>
      <c r="K31" s="42">
        <v>-1303</v>
      </c>
      <c r="L31" s="49">
        <f t="shared" si="2"/>
        <v>8868</v>
      </c>
      <c r="M31" s="49">
        <f t="shared" si="3"/>
        <v>4274</v>
      </c>
      <c r="N31" s="49">
        <f t="shared" si="0"/>
        <v>4594</v>
      </c>
      <c r="O31" s="42"/>
    </row>
    <row r="32" spans="1:15">
      <c r="A32">
        <f t="shared" si="1"/>
        <v>2</v>
      </c>
      <c r="B32" s="42" t="s">
        <v>113</v>
      </c>
      <c r="C32" s="42">
        <v>2007</v>
      </c>
      <c r="D32" s="42">
        <v>20</v>
      </c>
      <c r="E32" s="42">
        <v>58</v>
      </c>
      <c r="F32" s="42">
        <v>4115</v>
      </c>
      <c r="G32" s="42">
        <v>4759</v>
      </c>
      <c r="H32" s="42">
        <v>-303</v>
      </c>
      <c r="I32" s="42">
        <v>-34</v>
      </c>
      <c r="J32" s="42">
        <v>-2655</v>
      </c>
      <c r="K32" s="42">
        <v>-1461</v>
      </c>
      <c r="L32" s="49">
        <f t="shared" si="2"/>
        <v>8952</v>
      </c>
      <c r="M32" s="49">
        <f t="shared" si="3"/>
        <v>4453</v>
      </c>
      <c r="N32" s="49">
        <f t="shared" si="0"/>
        <v>4499</v>
      </c>
      <c r="O32" s="42"/>
    </row>
    <row r="33" spans="1:15">
      <c r="A33">
        <f t="shared" si="1"/>
        <v>2</v>
      </c>
      <c r="B33" s="42" t="s">
        <v>113</v>
      </c>
      <c r="C33" s="42">
        <v>2008</v>
      </c>
      <c r="D33" s="42">
        <v>13</v>
      </c>
      <c r="E33" s="42">
        <v>64</v>
      </c>
      <c r="F33" s="42">
        <v>4311</v>
      </c>
      <c r="G33" s="42">
        <v>3574</v>
      </c>
      <c r="H33" s="42">
        <v>-273</v>
      </c>
      <c r="I33" s="42">
        <v>-35</v>
      </c>
      <c r="J33" s="42">
        <v>-2687</v>
      </c>
      <c r="K33" s="42">
        <v>-1597</v>
      </c>
      <c r="L33" s="49">
        <f t="shared" si="2"/>
        <v>7962</v>
      </c>
      <c r="M33" s="49">
        <f t="shared" si="3"/>
        <v>4592</v>
      </c>
      <c r="N33" s="49">
        <f t="shared" si="0"/>
        <v>3370</v>
      </c>
      <c r="O33" s="42"/>
    </row>
    <row r="34" spans="1:15">
      <c r="A34">
        <f t="shared" si="1"/>
        <v>2</v>
      </c>
      <c r="B34" s="42" t="s">
        <v>113</v>
      </c>
      <c r="C34" s="42">
        <v>2009</v>
      </c>
      <c r="D34" s="42">
        <v>15</v>
      </c>
      <c r="E34" s="42">
        <v>35</v>
      </c>
      <c r="F34" s="42">
        <v>2402</v>
      </c>
      <c r="G34" s="42">
        <v>850</v>
      </c>
      <c r="H34" s="42">
        <v>-241</v>
      </c>
      <c r="I34" s="42">
        <v>-32</v>
      </c>
      <c r="J34" s="42">
        <v>-2633</v>
      </c>
      <c r="K34" s="42">
        <v>-1554</v>
      </c>
      <c r="L34" s="49">
        <f t="shared" si="2"/>
        <v>3302</v>
      </c>
      <c r="M34" s="49">
        <f t="shared" si="3"/>
        <v>4460</v>
      </c>
      <c r="N34" s="49">
        <f t="shared" si="0"/>
        <v>-1158</v>
      </c>
      <c r="O34" s="42"/>
    </row>
    <row r="35" spans="1:15">
      <c r="A35">
        <f t="shared" si="1"/>
        <v>2</v>
      </c>
      <c r="B35" s="42" t="s">
        <v>113</v>
      </c>
      <c r="C35" s="42">
        <v>2010</v>
      </c>
      <c r="D35" s="42">
        <v>16</v>
      </c>
      <c r="E35" s="42">
        <v>39</v>
      </c>
      <c r="F35" s="42">
        <v>2408</v>
      </c>
      <c r="G35" s="42">
        <v>673</v>
      </c>
      <c r="H35" s="42">
        <v>-241</v>
      </c>
      <c r="I35" s="42">
        <v>-38</v>
      </c>
      <c r="J35" s="42">
        <v>-2799</v>
      </c>
      <c r="K35" s="42">
        <v>-1661</v>
      </c>
      <c r="L35" s="49">
        <f t="shared" si="2"/>
        <v>3136</v>
      </c>
      <c r="M35" s="49">
        <f t="shared" si="3"/>
        <v>4739</v>
      </c>
      <c r="N35" s="49">
        <f t="shared" si="0"/>
        <v>-1603</v>
      </c>
      <c r="O35" s="42"/>
    </row>
    <row r="36" spans="1:15">
      <c r="A36">
        <f t="shared" si="1"/>
        <v>2</v>
      </c>
      <c r="B36" s="42" t="s">
        <v>113</v>
      </c>
      <c r="C36" s="42">
        <v>2011</v>
      </c>
      <c r="D36" s="42">
        <v>8</v>
      </c>
      <c r="E36" s="42">
        <v>34</v>
      </c>
      <c r="F36" s="42">
        <v>2860</v>
      </c>
      <c r="G36" s="42">
        <v>675</v>
      </c>
      <c r="H36" s="42">
        <v>-189</v>
      </c>
      <c r="I36" s="42">
        <v>-38</v>
      </c>
      <c r="J36" s="42">
        <v>-2800</v>
      </c>
      <c r="K36" s="42">
        <v>-1989</v>
      </c>
      <c r="L36" s="49">
        <f t="shared" si="2"/>
        <v>3577</v>
      </c>
      <c r="M36" s="49">
        <f t="shared" si="3"/>
        <v>5016</v>
      </c>
      <c r="N36" s="49">
        <f t="shared" ref="N36:N69" si="7">SUM(D36:K36)</f>
        <v>-1439</v>
      </c>
      <c r="O36" s="42"/>
    </row>
    <row r="37" spans="1:15">
      <c r="A37">
        <f t="shared" si="1"/>
        <v>2</v>
      </c>
      <c r="B37" s="42" t="s">
        <v>113</v>
      </c>
      <c r="C37" s="42">
        <v>2012</v>
      </c>
      <c r="D37" s="42">
        <v>12</v>
      </c>
      <c r="E37" s="42">
        <v>28</v>
      </c>
      <c r="F37" s="42">
        <v>3142</v>
      </c>
      <c r="G37" s="42">
        <v>713</v>
      </c>
      <c r="H37" s="42">
        <v>-166</v>
      </c>
      <c r="I37" s="42">
        <v>-29</v>
      </c>
      <c r="J37" s="42">
        <v>-2243</v>
      </c>
      <c r="K37" s="42">
        <v>-1591</v>
      </c>
      <c r="L37" s="49">
        <f t="shared" si="2"/>
        <v>3895</v>
      </c>
      <c r="M37" s="49">
        <f t="shared" si="3"/>
        <v>4029</v>
      </c>
      <c r="N37" s="49">
        <f t="shared" si="7"/>
        <v>-134</v>
      </c>
      <c r="O37" s="42"/>
    </row>
    <row r="38" spans="1:15">
      <c r="A38">
        <f t="shared" si="1"/>
        <v>2</v>
      </c>
      <c r="B38" s="42" t="s">
        <v>113</v>
      </c>
      <c r="C38" s="42">
        <v>2013</v>
      </c>
      <c r="D38" s="42">
        <v>21</v>
      </c>
      <c r="E38" s="42">
        <v>23</v>
      </c>
      <c r="F38" s="42">
        <v>4007</v>
      </c>
      <c r="G38" s="42">
        <v>1193</v>
      </c>
      <c r="H38" s="42">
        <v>-79</v>
      </c>
      <c r="I38" s="42">
        <v>-22</v>
      </c>
      <c r="J38" s="42">
        <v>-1910</v>
      </c>
      <c r="K38" s="42">
        <v>-1326</v>
      </c>
      <c r="L38" s="49">
        <f t="shared" si="2"/>
        <v>5244</v>
      </c>
      <c r="M38" s="49">
        <f t="shared" si="3"/>
        <v>3337</v>
      </c>
      <c r="N38" s="49">
        <f t="shared" si="7"/>
        <v>1907</v>
      </c>
      <c r="O38" s="42"/>
    </row>
    <row r="39" spans="1:15">
      <c r="A39">
        <f t="shared" si="1"/>
        <v>2</v>
      </c>
      <c r="B39" s="42" t="s">
        <v>113</v>
      </c>
      <c r="C39" s="42">
        <v>2014</v>
      </c>
      <c r="D39" s="42">
        <v>8</v>
      </c>
      <c r="E39" s="42">
        <v>26</v>
      </c>
      <c r="F39" s="42">
        <v>4936</v>
      </c>
      <c r="G39" s="42">
        <v>1405</v>
      </c>
      <c r="H39" s="42">
        <v>-87</v>
      </c>
      <c r="I39" s="42">
        <v>-18</v>
      </c>
      <c r="J39" s="42">
        <v>-1635</v>
      </c>
      <c r="K39" s="42">
        <v>-1136</v>
      </c>
      <c r="L39" s="49">
        <f t="shared" si="2"/>
        <v>6375</v>
      </c>
      <c r="M39" s="49">
        <f t="shared" si="3"/>
        <v>2876</v>
      </c>
      <c r="N39" s="49">
        <f t="shared" si="7"/>
        <v>3499</v>
      </c>
      <c r="O39" s="42"/>
    </row>
    <row r="40" spans="1:15">
      <c r="A40">
        <f t="shared" si="1"/>
        <v>2</v>
      </c>
      <c r="B40" s="42" t="s">
        <v>113</v>
      </c>
      <c r="C40" s="42">
        <v>2015</v>
      </c>
      <c r="D40" s="42">
        <v>16</v>
      </c>
      <c r="E40" s="42">
        <v>32</v>
      </c>
      <c r="F40" s="42">
        <v>4869</v>
      </c>
      <c r="G40" s="42">
        <v>1748</v>
      </c>
      <c r="H40" s="42">
        <v>-85</v>
      </c>
      <c r="I40" s="42">
        <v>-22</v>
      </c>
      <c r="J40" s="42">
        <v>-1756</v>
      </c>
      <c r="K40" s="42">
        <v>-1325</v>
      </c>
      <c r="L40" s="49">
        <f t="shared" si="2"/>
        <v>6665</v>
      </c>
      <c r="M40" s="49">
        <f t="shared" si="3"/>
        <v>3188</v>
      </c>
      <c r="N40" s="49">
        <f t="shared" si="7"/>
        <v>3477</v>
      </c>
      <c r="O40" s="42"/>
    </row>
    <row r="41" spans="1:15">
      <c r="A41">
        <f t="shared" si="1"/>
        <v>2</v>
      </c>
      <c r="B41" s="42" t="s">
        <v>113</v>
      </c>
      <c r="C41" s="42">
        <v>2016</v>
      </c>
      <c r="D41" s="42">
        <v>11</v>
      </c>
      <c r="E41" s="42">
        <v>46</v>
      </c>
      <c r="F41" s="42">
        <v>4549</v>
      </c>
      <c r="G41" s="42">
        <v>1778</v>
      </c>
      <c r="H41" s="42">
        <v>-110</v>
      </c>
      <c r="I41" s="42">
        <v>-22</v>
      </c>
      <c r="J41" s="42">
        <v>-1573</v>
      </c>
      <c r="K41" s="42">
        <v>-1385</v>
      </c>
      <c r="L41" s="49">
        <f t="shared" si="2"/>
        <v>6384</v>
      </c>
      <c r="M41" s="49">
        <f t="shared" si="3"/>
        <v>3090</v>
      </c>
      <c r="N41" s="49">
        <f t="shared" si="7"/>
        <v>3294</v>
      </c>
      <c r="O41" s="42"/>
    </row>
    <row r="42" spans="1:15">
      <c r="A42">
        <f t="shared" si="1"/>
        <v>2</v>
      </c>
      <c r="B42" s="42" t="s">
        <v>113</v>
      </c>
      <c r="C42" s="42">
        <v>2017</v>
      </c>
      <c r="D42" s="42">
        <v>17</v>
      </c>
      <c r="E42" s="42">
        <v>28</v>
      </c>
      <c r="F42" s="42">
        <v>5738</v>
      </c>
      <c r="G42" s="42">
        <v>2254</v>
      </c>
      <c r="H42" s="42">
        <v>-93</v>
      </c>
      <c r="I42" s="42">
        <v>-23</v>
      </c>
      <c r="J42" s="42">
        <v>-1778</v>
      </c>
      <c r="K42" s="42">
        <v>-1459</v>
      </c>
      <c r="L42" s="49">
        <f t="shared" si="2"/>
        <v>8037</v>
      </c>
      <c r="M42" s="49">
        <f t="shared" si="3"/>
        <v>3353</v>
      </c>
      <c r="N42" s="49">
        <f t="shared" si="7"/>
        <v>4684</v>
      </c>
      <c r="O42" s="42"/>
    </row>
    <row r="43" spans="1:15">
      <c r="A43">
        <f t="shared" si="1"/>
        <v>2</v>
      </c>
      <c r="B43" s="42" t="s">
        <v>113</v>
      </c>
      <c r="C43" s="42">
        <v>2018</v>
      </c>
      <c r="D43" s="42">
        <v>12</v>
      </c>
      <c r="E43" s="42">
        <v>31</v>
      </c>
      <c r="F43" s="42">
        <v>5911</v>
      </c>
      <c r="G43" s="42">
        <v>2291</v>
      </c>
      <c r="H43" s="42">
        <v>-87</v>
      </c>
      <c r="I43" s="42">
        <v>-22</v>
      </c>
      <c r="J43" s="42">
        <v>-1926</v>
      </c>
      <c r="K43" s="42">
        <v>-1650</v>
      </c>
      <c r="L43" s="49">
        <f t="shared" si="2"/>
        <v>8245</v>
      </c>
      <c r="M43" s="49">
        <f t="shared" si="3"/>
        <v>3685</v>
      </c>
      <c r="N43" s="49">
        <f t="shared" si="7"/>
        <v>4560</v>
      </c>
      <c r="O43" s="42"/>
    </row>
    <row r="44" spans="1:15">
      <c r="A44">
        <f t="shared" si="1"/>
        <v>2</v>
      </c>
      <c r="B44" s="42" t="s">
        <v>113</v>
      </c>
      <c r="C44" s="42">
        <v>2019</v>
      </c>
      <c r="D44" s="42">
        <v>7</v>
      </c>
      <c r="E44" s="42">
        <v>33</v>
      </c>
      <c r="F44" s="42">
        <v>5910</v>
      </c>
      <c r="G44" s="42">
        <v>2245</v>
      </c>
      <c r="H44" s="42">
        <v>-69</v>
      </c>
      <c r="I44" s="42">
        <v>-31</v>
      </c>
      <c r="J44" s="42">
        <v>-2121</v>
      </c>
      <c r="K44" s="42">
        <v>-1868</v>
      </c>
      <c r="L44" s="49">
        <f t="shared" si="2"/>
        <v>8195</v>
      </c>
      <c r="M44" s="49">
        <f t="shared" si="3"/>
        <v>4089</v>
      </c>
      <c r="N44" s="49">
        <f t="shared" si="7"/>
        <v>4106</v>
      </c>
      <c r="O44" s="42"/>
    </row>
    <row r="45" spans="1:15">
      <c r="A45">
        <f t="shared" si="1"/>
        <v>2</v>
      </c>
      <c r="B45" s="42" t="s">
        <v>113</v>
      </c>
      <c r="C45" s="42">
        <v>2020</v>
      </c>
      <c r="D45" s="42">
        <v>8</v>
      </c>
      <c r="E45" s="42">
        <v>22</v>
      </c>
      <c r="F45" s="42">
        <v>4803</v>
      </c>
      <c r="G45" s="42">
        <v>2006</v>
      </c>
      <c r="H45" s="42">
        <v>-56</v>
      </c>
      <c r="I45" s="42">
        <v>-27</v>
      </c>
      <c r="J45" s="42">
        <v>-2005</v>
      </c>
      <c r="K45" s="42">
        <v>-1745</v>
      </c>
      <c r="L45" s="49">
        <f t="shared" si="2"/>
        <v>6839</v>
      </c>
      <c r="M45" s="49">
        <f t="shared" si="3"/>
        <v>3833</v>
      </c>
      <c r="N45" s="49">
        <f t="shared" si="7"/>
        <v>3006</v>
      </c>
      <c r="O45" s="42"/>
    </row>
    <row r="46" spans="1:15">
      <c r="A46">
        <f t="shared" si="1"/>
        <v>2</v>
      </c>
      <c r="B46" s="42" t="s">
        <v>113</v>
      </c>
      <c r="C46" s="42">
        <v>2021</v>
      </c>
      <c r="D46" s="42">
        <v>6</v>
      </c>
      <c r="E46" s="42">
        <v>30</v>
      </c>
      <c r="F46" s="42">
        <v>6084</v>
      </c>
      <c r="G46" s="42">
        <v>2697</v>
      </c>
      <c r="H46" s="42">
        <v>-58</v>
      </c>
      <c r="I46" s="42">
        <v>-18</v>
      </c>
      <c r="J46" s="42">
        <v>-2216</v>
      </c>
      <c r="K46" s="42">
        <v>-1930</v>
      </c>
      <c r="L46" s="49">
        <f t="shared" si="2"/>
        <v>8817</v>
      </c>
      <c r="M46" s="49">
        <f t="shared" si="3"/>
        <v>4222</v>
      </c>
      <c r="N46" s="49">
        <f t="shared" si="7"/>
        <v>4595</v>
      </c>
      <c r="O46" s="42"/>
    </row>
    <row r="47" spans="1:15">
      <c r="B47" s="42" t="s">
        <v>113</v>
      </c>
      <c r="C47" s="42">
        <v>2022</v>
      </c>
      <c r="D47" s="42">
        <v>24</v>
      </c>
      <c r="E47" s="42">
        <v>55</v>
      </c>
      <c r="F47" s="42">
        <v>7073</v>
      </c>
      <c r="G47" s="42">
        <v>2564</v>
      </c>
      <c r="H47" s="42">
        <v>-41</v>
      </c>
      <c r="I47" s="42">
        <v>-20</v>
      </c>
      <c r="J47" s="42">
        <v>-2288</v>
      </c>
      <c r="K47" s="42">
        <v>-2029</v>
      </c>
      <c r="L47" s="49">
        <f t="shared" si="2"/>
        <v>9716</v>
      </c>
      <c r="M47" s="49">
        <f t="shared" si="3"/>
        <v>4378</v>
      </c>
      <c r="N47" s="49">
        <f t="shared" si="7"/>
        <v>5338</v>
      </c>
      <c r="O47" s="42"/>
    </row>
    <row r="48" spans="1:15">
      <c r="B48" s="42" t="s">
        <v>113</v>
      </c>
      <c r="C48" s="42">
        <v>2023</v>
      </c>
      <c r="D48" s="42">
        <v>45</v>
      </c>
      <c r="E48" s="42">
        <v>33</v>
      </c>
      <c r="F48" s="42">
        <v>7839</v>
      </c>
      <c r="G48" s="42">
        <v>1883</v>
      </c>
      <c r="H48" s="42">
        <v>-24</v>
      </c>
      <c r="I48" s="42">
        <v>-25</v>
      </c>
      <c r="J48" s="42">
        <v>-2935</v>
      </c>
      <c r="K48" s="42">
        <v>-2296</v>
      </c>
      <c r="L48" s="49">
        <f t="shared" ref="L48" si="8">SUM(D48:G48)</f>
        <v>9800</v>
      </c>
      <c r="M48" s="49">
        <f t="shared" ref="M48" si="9">-SUM(H48:K48)</f>
        <v>5280</v>
      </c>
      <c r="N48" s="49">
        <f t="shared" ref="N48" si="10">SUM(D48:K48)</f>
        <v>4520</v>
      </c>
      <c r="O48" s="42"/>
    </row>
    <row r="49" spans="1:15">
      <c r="A49">
        <f>IF(B49=B46, A46, A46+1)</f>
        <v>3</v>
      </c>
      <c r="B49" s="42" t="s">
        <v>375</v>
      </c>
      <c r="C49" s="42">
        <v>2001</v>
      </c>
      <c r="D49" s="42">
        <v>3976</v>
      </c>
      <c r="E49" s="42">
        <v>1802</v>
      </c>
      <c r="F49" s="42">
        <v>11067</v>
      </c>
      <c r="G49" s="42">
        <v>2992</v>
      </c>
      <c r="H49" s="42">
        <v>-10083</v>
      </c>
      <c r="I49" s="42">
        <v>-2412</v>
      </c>
      <c r="J49" s="42">
        <v>-1778</v>
      </c>
      <c r="K49" s="42">
        <v>-2869</v>
      </c>
      <c r="L49" s="49">
        <f t="shared" si="2"/>
        <v>19837</v>
      </c>
      <c r="M49" s="49">
        <f t="shared" si="3"/>
        <v>17142</v>
      </c>
      <c r="N49" s="49">
        <f t="shared" si="7"/>
        <v>2695</v>
      </c>
      <c r="O49" s="42"/>
    </row>
    <row r="50" spans="1:15">
      <c r="A50">
        <f t="shared" si="1"/>
        <v>3</v>
      </c>
      <c r="B50" s="42" t="s">
        <v>375</v>
      </c>
      <c r="C50" s="42">
        <v>2002</v>
      </c>
      <c r="D50" s="42">
        <v>4895</v>
      </c>
      <c r="E50" s="42">
        <v>2321</v>
      </c>
      <c r="F50" s="42">
        <v>12058</v>
      </c>
      <c r="G50" s="42">
        <v>4366</v>
      </c>
      <c r="H50" s="42">
        <v>-9873</v>
      </c>
      <c r="I50" s="42">
        <v>-2493</v>
      </c>
      <c r="J50" s="42">
        <v>-2068</v>
      </c>
      <c r="K50" s="42">
        <v>-3185</v>
      </c>
      <c r="L50" s="49">
        <f t="shared" si="2"/>
        <v>23640</v>
      </c>
      <c r="M50" s="49">
        <f t="shared" si="3"/>
        <v>17619</v>
      </c>
      <c r="N50" s="49">
        <f t="shared" si="7"/>
        <v>6021</v>
      </c>
      <c r="O50" s="42"/>
    </row>
    <row r="51" spans="1:15">
      <c r="A51">
        <f t="shared" si="1"/>
        <v>3</v>
      </c>
      <c r="B51" s="42" t="s">
        <v>375</v>
      </c>
      <c r="C51" s="42">
        <v>2003</v>
      </c>
      <c r="D51" s="42">
        <v>5403</v>
      </c>
      <c r="E51" s="42">
        <v>1933</v>
      </c>
      <c r="F51" s="42">
        <v>12966</v>
      </c>
      <c r="G51" s="42">
        <v>6127</v>
      </c>
      <c r="H51" s="42">
        <v>-9360</v>
      </c>
      <c r="I51" s="42">
        <v>-2496</v>
      </c>
      <c r="J51" s="42">
        <v>-2236</v>
      </c>
      <c r="K51" s="42">
        <v>-3561</v>
      </c>
      <c r="L51" s="49">
        <f t="shared" si="2"/>
        <v>26429</v>
      </c>
      <c r="M51" s="49">
        <f t="shared" si="3"/>
        <v>17653</v>
      </c>
      <c r="N51" s="49">
        <f t="shared" si="7"/>
        <v>8776</v>
      </c>
      <c r="O51" s="42"/>
    </row>
    <row r="52" spans="1:15">
      <c r="A52">
        <f t="shared" si="1"/>
        <v>3</v>
      </c>
      <c r="B52" s="42" t="s">
        <v>375</v>
      </c>
      <c r="C52" s="42">
        <v>2004</v>
      </c>
      <c r="D52" s="42">
        <v>5875</v>
      </c>
      <c r="E52" s="42">
        <v>1897</v>
      </c>
      <c r="F52" s="42">
        <v>14525</v>
      </c>
      <c r="G52" s="42">
        <v>7455</v>
      </c>
      <c r="H52" s="42">
        <v>-9188</v>
      </c>
      <c r="I52" s="42">
        <v>-2576</v>
      </c>
      <c r="J52" s="42">
        <v>-2352</v>
      </c>
      <c r="K52" s="42">
        <v>-3900</v>
      </c>
      <c r="L52" s="49">
        <f t="shared" si="2"/>
        <v>29752</v>
      </c>
      <c r="M52" s="49">
        <f t="shared" si="3"/>
        <v>18016</v>
      </c>
      <c r="N52" s="49">
        <f t="shared" si="7"/>
        <v>11736</v>
      </c>
      <c r="O52" s="42"/>
    </row>
    <row r="53" spans="1:15">
      <c r="A53">
        <f t="shared" si="1"/>
        <v>3</v>
      </c>
      <c r="B53" s="42" t="s">
        <v>375</v>
      </c>
      <c r="C53" s="42">
        <v>2005</v>
      </c>
      <c r="D53" s="42">
        <v>5391</v>
      </c>
      <c r="E53" s="42">
        <v>2306</v>
      </c>
      <c r="F53" s="42">
        <v>16456</v>
      </c>
      <c r="G53" s="42">
        <v>6575</v>
      </c>
      <c r="H53" s="42">
        <v>-8841</v>
      </c>
      <c r="I53" s="42">
        <v>-2509</v>
      </c>
      <c r="J53" s="42">
        <v>-2519</v>
      </c>
      <c r="K53" s="42">
        <v>-4428</v>
      </c>
      <c r="L53" s="49">
        <f t="shared" si="2"/>
        <v>30728</v>
      </c>
      <c r="M53" s="49">
        <f t="shared" si="3"/>
        <v>18297</v>
      </c>
      <c r="N53" s="49">
        <f t="shared" si="7"/>
        <v>12431</v>
      </c>
      <c r="O53" s="42"/>
    </row>
    <row r="54" spans="1:15">
      <c r="A54">
        <f t="shared" si="1"/>
        <v>3</v>
      </c>
      <c r="B54" s="42" t="s">
        <v>375</v>
      </c>
      <c r="C54" s="42">
        <v>2006</v>
      </c>
      <c r="D54" s="42">
        <v>4439</v>
      </c>
      <c r="E54" s="42">
        <v>1988</v>
      </c>
      <c r="F54" s="42">
        <v>15996</v>
      </c>
      <c r="G54" s="42">
        <v>5661</v>
      </c>
      <c r="H54" s="42">
        <v>-8582</v>
      </c>
      <c r="I54" s="42">
        <v>-2430</v>
      </c>
      <c r="J54" s="42">
        <v>-2790</v>
      </c>
      <c r="K54" s="42">
        <v>-4824</v>
      </c>
      <c r="L54" s="49">
        <f t="shared" si="2"/>
        <v>28084</v>
      </c>
      <c r="M54" s="49">
        <f t="shared" si="3"/>
        <v>18626</v>
      </c>
      <c r="N54" s="49">
        <f t="shared" si="7"/>
        <v>9458</v>
      </c>
      <c r="O54" s="42"/>
    </row>
    <row r="55" spans="1:15">
      <c r="A55">
        <f t="shared" si="1"/>
        <v>3</v>
      </c>
      <c r="B55" s="42" t="s">
        <v>375</v>
      </c>
      <c r="C55" s="42">
        <v>2007</v>
      </c>
      <c r="D55" s="42">
        <v>3829</v>
      </c>
      <c r="E55" s="42">
        <v>2637</v>
      </c>
      <c r="F55" s="42">
        <v>17935</v>
      </c>
      <c r="G55" s="42">
        <v>5273</v>
      </c>
      <c r="H55" s="42">
        <v>-8227</v>
      </c>
      <c r="I55" s="42">
        <v>-2366</v>
      </c>
      <c r="J55" s="42">
        <v>-3093</v>
      </c>
      <c r="K55" s="42">
        <v>-4779</v>
      </c>
      <c r="L55" s="49">
        <f t="shared" si="2"/>
        <v>29674</v>
      </c>
      <c r="M55" s="49">
        <f t="shared" si="3"/>
        <v>18465</v>
      </c>
      <c r="N55" s="49">
        <f t="shared" si="7"/>
        <v>11209</v>
      </c>
      <c r="O55" s="42"/>
    </row>
    <row r="56" spans="1:15">
      <c r="A56">
        <f t="shared" si="1"/>
        <v>3</v>
      </c>
      <c r="B56" s="42" t="s">
        <v>375</v>
      </c>
      <c r="C56" s="42">
        <v>2008</v>
      </c>
      <c r="D56" s="42">
        <v>3075</v>
      </c>
      <c r="E56" s="42">
        <v>2765</v>
      </c>
      <c r="F56" s="42">
        <v>17063</v>
      </c>
      <c r="G56" s="42">
        <v>2497</v>
      </c>
      <c r="H56" s="42">
        <v>-7889</v>
      </c>
      <c r="I56" s="42">
        <v>-2333</v>
      </c>
      <c r="J56" s="42">
        <v>-3711</v>
      </c>
      <c r="K56" s="42">
        <v>-5186</v>
      </c>
      <c r="L56" s="49">
        <f t="shared" si="2"/>
        <v>25400</v>
      </c>
      <c r="M56" s="49">
        <f t="shared" si="3"/>
        <v>19119</v>
      </c>
      <c r="N56" s="49">
        <f t="shared" si="7"/>
        <v>6281</v>
      </c>
      <c r="O56" s="42"/>
    </row>
    <row r="57" spans="1:15">
      <c r="A57">
        <f t="shared" si="1"/>
        <v>3</v>
      </c>
      <c r="B57" s="42" t="s">
        <v>375</v>
      </c>
      <c r="C57" s="42">
        <v>2009</v>
      </c>
      <c r="D57" s="42">
        <v>1852</v>
      </c>
      <c r="E57" s="42">
        <v>1646</v>
      </c>
      <c r="F57" s="42">
        <v>11733</v>
      </c>
      <c r="G57" s="42">
        <v>1024</v>
      </c>
      <c r="H57" s="42">
        <v>-6731</v>
      </c>
      <c r="I57" s="42">
        <v>-2004</v>
      </c>
      <c r="J57" s="42">
        <v>-3840</v>
      </c>
      <c r="K57" s="42">
        <v>-4605</v>
      </c>
      <c r="L57" s="49">
        <f t="shared" si="2"/>
        <v>16255</v>
      </c>
      <c r="M57" s="49">
        <f t="shared" si="3"/>
        <v>17180</v>
      </c>
      <c r="N57" s="49">
        <f t="shared" si="7"/>
        <v>-925</v>
      </c>
      <c r="O57" s="42"/>
    </row>
    <row r="58" spans="1:15">
      <c r="A58">
        <f t="shared" si="1"/>
        <v>3</v>
      </c>
      <c r="B58" s="42" t="s">
        <v>375</v>
      </c>
      <c r="C58" s="42">
        <v>2010</v>
      </c>
      <c r="D58" s="42">
        <v>2190</v>
      </c>
      <c r="E58" s="42">
        <v>1943</v>
      </c>
      <c r="F58" s="42">
        <v>14466</v>
      </c>
      <c r="G58" s="42">
        <v>672</v>
      </c>
      <c r="H58" s="42">
        <v>-6588</v>
      </c>
      <c r="I58" s="42">
        <v>-1873</v>
      </c>
      <c r="J58" s="42">
        <v>-4520</v>
      </c>
      <c r="K58" s="42">
        <v>-4665</v>
      </c>
      <c r="L58" s="49">
        <f t="shared" si="2"/>
        <v>19271</v>
      </c>
      <c r="M58" s="49">
        <f t="shared" si="3"/>
        <v>17646</v>
      </c>
      <c r="N58" s="49">
        <f t="shared" si="7"/>
        <v>1625</v>
      </c>
      <c r="O58" s="42"/>
    </row>
    <row r="59" spans="1:15">
      <c r="A59">
        <f t="shared" si="1"/>
        <v>3</v>
      </c>
      <c r="B59" s="42" t="s">
        <v>375</v>
      </c>
      <c r="C59" s="42">
        <v>2011</v>
      </c>
      <c r="D59" s="42">
        <v>2140</v>
      </c>
      <c r="E59" s="42">
        <v>2580</v>
      </c>
      <c r="F59" s="42">
        <v>16327</v>
      </c>
      <c r="G59" s="42">
        <v>433</v>
      </c>
      <c r="H59" s="42">
        <v>-6945</v>
      </c>
      <c r="I59" s="42">
        <v>-2056</v>
      </c>
      <c r="J59" s="42">
        <v>-5695</v>
      </c>
      <c r="K59" s="42">
        <v>-5220</v>
      </c>
      <c r="L59" s="49">
        <f t="shared" si="2"/>
        <v>21480</v>
      </c>
      <c r="M59" s="49">
        <f t="shared" si="3"/>
        <v>19916</v>
      </c>
      <c r="N59" s="49">
        <f t="shared" si="7"/>
        <v>1564</v>
      </c>
      <c r="O59" s="42"/>
    </row>
    <row r="60" spans="1:15">
      <c r="A60">
        <f t="shared" si="1"/>
        <v>3</v>
      </c>
      <c r="B60" s="42" t="s">
        <v>375</v>
      </c>
      <c r="C60" s="42">
        <v>2012</v>
      </c>
      <c r="D60" s="42">
        <v>2421</v>
      </c>
      <c r="E60" s="42">
        <v>2378</v>
      </c>
      <c r="F60" s="42">
        <v>19081</v>
      </c>
      <c r="G60" s="42">
        <v>755</v>
      </c>
      <c r="H60" s="42">
        <v>-4932</v>
      </c>
      <c r="I60" s="42">
        <v>-1599</v>
      </c>
      <c r="J60" s="42">
        <v>-4846</v>
      </c>
      <c r="K60" s="42">
        <v>-4018</v>
      </c>
      <c r="L60" s="49">
        <f t="shared" si="2"/>
        <v>24635</v>
      </c>
      <c r="M60" s="49">
        <f t="shared" si="3"/>
        <v>15395</v>
      </c>
      <c r="N60" s="49">
        <f t="shared" si="7"/>
        <v>9240</v>
      </c>
      <c r="O60" s="42"/>
    </row>
    <row r="61" spans="1:15">
      <c r="A61">
        <f t="shared" si="1"/>
        <v>3</v>
      </c>
      <c r="B61" s="42" t="s">
        <v>375</v>
      </c>
      <c r="C61" s="42">
        <v>2013</v>
      </c>
      <c r="D61" s="42">
        <v>2466</v>
      </c>
      <c r="E61" s="42">
        <v>3081</v>
      </c>
      <c r="F61" s="42">
        <v>24994</v>
      </c>
      <c r="G61" s="42">
        <v>2124</v>
      </c>
      <c r="H61" s="42">
        <v>-4347</v>
      </c>
      <c r="I61" s="42">
        <v>-1412</v>
      </c>
      <c r="J61" s="42">
        <v>-4692</v>
      </c>
      <c r="K61" s="42">
        <v>-3501</v>
      </c>
      <c r="L61" s="49">
        <f t="shared" si="2"/>
        <v>32665</v>
      </c>
      <c r="M61" s="49">
        <f t="shared" si="3"/>
        <v>13952</v>
      </c>
      <c r="N61" s="49">
        <f t="shared" si="7"/>
        <v>18713</v>
      </c>
      <c r="O61" s="42"/>
    </row>
    <row r="62" spans="1:15">
      <c r="A62">
        <f t="shared" si="1"/>
        <v>3</v>
      </c>
      <c r="B62" s="42" t="s">
        <v>375</v>
      </c>
      <c r="C62" s="42">
        <v>2014</v>
      </c>
      <c r="D62" s="42">
        <v>2713</v>
      </c>
      <c r="E62" s="42">
        <v>4159</v>
      </c>
      <c r="F62" s="42">
        <v>29698</v>
      </c>
      <c r="G62" s="42">
        <v>2717</v>
      </c>
      <c r="H62" s="42">
        <v>-4086</v>
      </c>
      <c r="I62" s="42">
        <v>-1450</v>
      </c>
      <c r="J62" s="42">
        <v>-4644</v>
      </c>
      <c r="K62" s="42">
        <v>-3318</v>
      </c>
      <c r="L62" s="49">
        <f t="shared" si="2"/>
        <v>39287</v>
      </c>
      <c r="M62" s="49">
        <f t="shared" si="3"/>
        <v>13498</v>
      </c>
      <c r="N62" s="49">
        <f t="shared" si="7"/>
        <v>25789</v>
      </c>
      <c r="O62" s="42"/>
    </row>
    <row r="63" spans="1:15">
      <c r="A63">
        <f t="shared" si="1"/>
        <v>3</v>
      </c>
      <c r="B63" s="42" t="s">
        <v>375</v>
      </c>
      <c r="C63" s="42">
        <v>2015</v>
      </c>
      <c r="D63" s="42">
        <v>1878</v>
      </c>
      <c r="E63" s="42">
        <v>4788</v>
      </c>
      <c r="F63" s="42">
        <v>33026</v>
      </c>
      <c r="G63" s="42">
        <v>2682</v>
      </c>
      <c r="H63" s="42">
        <v>-4204</v>
      </c>
      <c r="I63" s="42">
        <v>-1485</v>
      </c>
      <c r="J63" s="42">
        <v>-5315</v>
      </c>
      <c r="K63" s="42">
        <v>-3231</v>
      </c>
      <c r="L63" s="49">
        <f t="shared" si="2"/>
        <v>42374</v>
      </c>
      <c r="M63" s="49">
        <f t="shared" si="3"/>
        <v>14235</v>
      </c>
      <c r="N63" s="49">
        <f t="shared" si="7"/>
        <v>28139</v>
      </c>
      <c r="O63" s="42"/>
    </row>
    <row r="64" spans="1:15">
      <c r="A64">
        <f t="shared" si="1"/>
        <v>3</v>
      </c>
      <c r="B64" s="42" t="s">
        <v>375</v>
      </c>
      <c r="C64" s="42">
        <v>2016</v>
      </c>
      <c r="D64" s="42">
        <v>2060</v>
      </c>
      <c r="E64" s="42">
        <v>6179</v>
      </c>
      <c r="F64" s="42">
        <v>37800</v>
      </c>
      <c r="G64" s="42">
        <v>3490</v>
      </c>
      <c r="H64" s="42">
        <v>-3922</v>
      </c>
      <c r="I64" s="42">
        <v>-1392</v>
      </c>
      <c r="J64" s="42">
        <v>-5179</v>
      </c>
      <c r="K64" s="42">
        <v>-3074</v>
      </c>
      <c r="L64" s="49">
        <f t="shared" si="2"/>
        <v>49529</v>
      </c>
      <c r="M64" s="49">
        <f t="shared" si="3"/>
        <v>13567</v>
      </c>
      <c r="N64" s="49">
        <f t="shared" si="7"/>
        <v>35962</v>
      </c>
      <c r="O64" s="42"/>
    </row>
    <row r="65" spans="1:15">
      <c r="A65">
        <f t="shared" si="1"/>
        <v>3</v>
      </c>
      <c r="B65" s="42" t="s">
        <v>375</v>
      </c>
      <c r="C65" s="42">
        <v>2017</v>
      </c>
      <c r="D65" s="42">
        <v>1498</v>
      </c>
      <c r="E65" s="42">
        <v>6699</v>
      </c>
      <c r="F65" s="42">
        <v>44629</v>
      </c>
      <c r="G65" s="42">
        <v>4478</v>
      </c>
      <c r="H65" s="42">
        <v>-4047</v>
      </c>
      <c r="I65" s="42">
        <v>-1787</v>
      </c>
      <c r="J65" s="42">
        <v>-6504</v>
      </c>
      <c r="K65" s="42">
        <v>-3174</v>
      </c>
      <c r="L65" s="49">
        <f t="shared" si="2"/>
        <v>57304</v>
      </c>
      <c r="M65" s="49">
        <f t="shared" si="3"/>
        <v>15512</v>
      </c>
      <c r="N65" s="49">
        <f t="shared" si="7"/>
        <v>41792</v>
      </c>
      <c r="O65" s="42"/>
    </row>
    <row r="66" spans="1:15">
      <c r="A66">
        <f t="shared" si="1"/>
        <v>3</v>
      </c>
      <c r="B66" s="42" t="s">
        <v>375</v>
      </c>
      <c r="C66" s="42">
        <v>2018</v>
      </c>
      <c r="D66" s="42">
        <v>1012</v>
      </c>
      <c r="E66" s="42">
        <v>5848</v>
      </c>
      <c r="F66" s="42">
        <v>46957</v>
      </c>
      <c r="G66" s="42">
        <v>4373</v>
      </c>
      <c r="H66" s="42">
        <v>-4417</v>
      </c>
      <c r="I66" s="42">
        <v>-1893</v>
      </c>
      <c r="J66" s="42">
        <v>-7834</v>
      </c>
      <c r="K66" s="42">
        <v>-3531</v>
      </c>
      <c r="L66" s="49">
        <f t="shared" si="2"/>
        <v>58190</v>
      </c>
      <c r="M66" s="49">
        <f t="shared" si="3"/>
        <v>17675</v>
      </c>
      <c r="N66" s="49">
        <f t="shared" si="7"/>
        <v>40515</v>
      </c>
      <c r="O66" s="42"/>
    </row>
    <row r="67" spans="1:15">
      <c r="A67">
        <f t="shared" si="1"/>
        <v>3</v>
      </c>
      <c r="B67" s="42" t="s">
        <v>375</v>
      </c>
      <c r="C67" s="42">
        <v>2019</v>
      </c>
      <c r="D67" s="42">
        <v>1229</v>
      </c>
      <c r="E67" s="42">
        <v>5477</v>
      </c>
      <c r="F67" s="42">
        <v>44154</v>
      </c>
      <c r="G67" s="42">
        <v>3915</v>
      </c>
      <c r="H67" s="42">
        <v>-4397</v>
      </c>
      <c r="I67" s="42">
        <v>-2041</v>
      </c>
      <c r="J67" s="42">
        <v>-8697</v>
      </c>
      <c r="K67" s="42">
        <v>-3682</v>
      </c>
      <c r="L67" s="49">
        <f t="shared" si="2"/>
        <v>54775</v>
      </c>
      <c r="M67" s="49">
        <f t="shared" si="3"/>
        <v>18817</v>
      </c>
      <c r="N67" s="49">
        <f t="shared" si="7"/>
        <v>35958</v>
      </c>
      <c r="O67" s="42"/>
    </row>
    <row r="68" spans="1:15">
      <c r="A68">
        <f t="shared" si="1"/>
        <v>3</v>
      </c>
      <c r="B68" s="42" t="s">
        <v>375</v>
      </c>
      <c r="C68" s="42">
        <v>2020</v>
      </c>
      <c r="D68" s="42">
        <v>1344</v>
      </c>
      <c r="E68" s="42">
        <v>4280</v>
      </c>
      <c r="F68" s="42">
        <v>33789</v>
      </c>
      <c r="G68" s="42">
        <v>3119</v>
      </c>
      <c r="H68" s="42">
        <v>-4098</v>
      </c>
      <c r="I68" s="42">
        <v>-2170</v>
      </c>
      <c r="J68" s="42">
        <v>-9013</v>
      </c>
      <c r="K68" s="42">
        <v>-3373</v>
      </c>
      <c r="L68" s="49">
        <f t="shared" si="2"/>
        <v>42532</v>
      </c>
      <c r="M68" s="49">
        <f t="shared" si="3"/>
        <v>18654</v>
      </c>
      <c r="N68" s="49">
        <f t="shared" si="7"/>
        <v>23878</v>
      </c>
      <c r="O68" s="42"/>
    </row>
    <row r="69" spans="1:15">
      <c r="A69">
        <f t="shared" si="1"/>
        <v>3</v>
      </c>
      <c r="B69" s="42" t="s">
        <v>375</v>
      </c>
      <c r="C69" s="42">
        <v>2021</v>
      </c>
      <c r="D69" s="42">
        <v>1779</v>
      </c>
      <c r="E69" s="42">
        <v>3047</v>
      </c>
      <c r="F69" s="42">
        <v>46474</v>
      </c>
      <c r="G69" s="42">
        <v>1708</v>
      </c>
      <c r="H69" s="42">
        <v>-3987</v>
      </c>
      <c r="I69" s="42">
        <v>-2079</v>
      </c>
      <c r="J69" s="42">
        <v>-9678</v>
      </c>
      <c r="K69" s="42">
        <v>-3107</v>
      </c>
      <c r="L69" s="49">
        <f t="shared" si="2"/>
        <v>53008</v>
      </c>
      <c r="M69" s="49">
        <f t="shared" si="3"/>
        <v>18851</v>
      </c>
      <c r="N69" s="49">
        <f t="shared" si="7"/>
        <v>34157</v>
      </c>
      <c r="O69" s="42"/>
    </row>
    <row r="70" spans="1:15">
      <c r="B70" s="193" t="s">
        <v>375</v>
      </c>
      <c r="C70" s="193">
        <v>2022</v>
      </c>
      <c r="D70" s="193">
        <v>2214</v>
      </c>
      <c r="E70" s="193">
        <v>3457</v>
      </c>
      <c r="F70" s="193">
        <v>40068</v>
      </c>
      <c r="G70" s="193">
        <v>2131</v>
      </c>
      <c r="H70" s="193">
        <v>-3717</v>
      </c>
      <c r="I70" s="193">
        <v>-1972</v>
      </c>
      <c r="J70" s="193">
        <v>-10061</v>
      </c>
      <c r="K70" s="193">
        <v>-2832</v>
      </c>
      <c r="L70" s="194">
        <f t="shared" ref="L70" si="11">SUM(D70:G70)</f>
        <v>47870</v>
      </c>
      <c r="M70" s="194">
        <f t="shared" ref="M70:M116" si="12">-SUM(H70:K70)</f>
        <v>18582</v>
      </c>
      <c r="N70" s="194">
        <f t="shared" ref="N70:N116" si="13">SUM(D70:K70)</f>
        <v>29288</v>
      </c>
      <c r="O70" s="42"/>
    </row>
    <row r="71" spans="1:15">
      <c r="B71" s="193" t="s">
        <v>375</v>
      </c>
      <c r="C71" s="193">
        <v>2023</v>
      </c>
      <c r="D71" s="193">
        <v>2020</v>
      </c>
      <c r="E71" s="193">
        <v>2605</v>
      </c>
      <c r="F71" s="193">
        <v>29805</v>
      </c>
      <c r="G71" s="193">
        <v>2043</v>
      </c>
      <c r="H71" s="193">
        <v>-3694</v>
      </c>
      <c r="I71" s="193">
        <v>-2623</v>
      </c>
      <c r="J71" s="193">
        <v>-17850</v>
      </c>
      <c r="K71" s="193">
        <v>-2981</v>
      </c>
      <c r="L71" s="194">
        <f t="shared" ref="L71" si="14">SUM(D71:G71)</f>
        <v>36473</v>
      </c>
      <c r="M71" s="194">
        <f t="shared" ref="M71" si="15">-SUM(H71:K71)</f>
        <v>27148</v>
      </c>
      <c r="N71" s="194">
        <f t="shared" ref="N71" si="16">SUM(D71:K71)</f>
        <v>9325</v>
      </c>
      <c r="O71" s="42"/>
    </row>
    <row r="72" spans="1:15">
      <c r="A72">
        <f>IF(B72=B69, A69, A69+1)</f>
        <v>4</v>
      </c>
      <c r="B72" s="42" t="s">
        <v>376</v>
      </c>
      <c r="C72" s="42">
        <v>2001</v>
      </c>
      <c r="D72" s="42">
        <v>58398</v>
      </c>
      <c r="E72" s="42">
        <v>117164</v>
      </c>
      <c r="F72" s="42">
        <v>2601</v>
      </c>
      <c r="G72" s="42">
        <v>13413</v>
      </c>
      <c r="H72" s="42">
        <v>-79512</v>
      </c>
      <c r="I72" s="42">
        <v>-38932</v>
      </c>
      <c r="J72" s="42">
        <v>-584</v>
      </c>
      <c r="K72" s="42">
        <v>-4422</v>
      </c>
      <c r="L72" s="49">
        <f t="shared" ref="L72:L116" si="17">SUM(D72:G72)</f>
        <v>191576</v>
      </c>
      <c r="M72" s="49">
        <f t="shared" si="12"/>
        <v>123450</v>
      </c>
      <c r="N72" s="49">
        <f t="shared" si="13"/>
        <v>68126</v>
      </c>
      <c r="O72" s="42"/>
    </row>
    <row r="73" spans="1:15">
      <c r="A73">
        <f t="shared" si="1"/>
        <v>4</v>
      </c>
      <c r="B73" s="42" t="s">
        <v>376</v>
      </c>
      <c r="C73" s="42">
        <v>2002</v>
      </c>
      <c r="D73" s="42">
        <v>64450</v>
      </c>
      <c r="E73" s="42">
        <v>120831</v>
      </c>
      <c r="F73" s="42">
        <v>2538</v>
      </c>
      <c r="G73" s="42">
        <v>17674</v>
      </c>
      <c r="H73" s="42">
        <v>-75715</v>
      </c>
      <c r="I73" s="42">
        <v>-43096</v>
      </c>
      <c r="J73" s="42">
        <v>-534</v>
      </c>
      <c r="K73" s="42">
        <v>-5402</v>
      </c>
      <c r="L73" s="49">
        <f t="shared" si="17"/>
        <v>205493</v>
      </c>
      <c r="M73" s="49">
        <f t="shared" si="12"/>
        <v>124747</v>
      </c>
      <c r="N73" s="49">
        <f t="shared" si="13"/>
        <v>80746</v>
      </c>
      <c r="O73" s="42"/>
    </row>
    <row r="74" spans="1:15">
      <c r="A74">
        <f t="shared" ref="A74:A139" si="18">IF(B74=B73, A73, A73+1)</f>
        <v>4</v>
      </c>
      <c r="B74" s="42" t="s">
        <v>376</v>
      </c>
      <c r="C74" s="42">
        <v>2003</v>
      </c>
      <c r="D74" s="42">
        <v>70561</v>
      </c>
      <c r="E74" s="42">
        <v>135379</v>
      </c>
      <c r="F74" s="42">
        <v>2386</v>
      </c>
      <c r="G74" s="42">
        <v>23846</v>
      </c>
      <c r="H74" s="42">
        <v>-72296</v>
      </c>
      <c r="I74" s="42">
        <v>-48433</v>
      </c>
      <c r="J74" s="42">
        <v>-558</v>
      </c>
      <c r="K74" s="42">
        <v>-6603</v>
      </c>
      <c r="L74" s="49">
        <f t="shared" si="17"/>
        <v>232172</v>
      </c>
      <c r="M74" s="49">
        <f t="shared" si="12"/>
        <v>127890</v>
      </c>
      <c r="N74" s="49">
        <f t="shared" si="13"/>
        <v>104282</v>
      </c>
      <c r="O74" s="42"/>
    </row>
    <row r="75" spans="1:15">
      <c r="A75">
        <f t="shared" si="18"/>
        <v>4</v>
      </c>
      <c r="B75" s="42" t="s">
        <v>376</v>
      </c>
      <c r="C75" s="42">
        <v>2004</v>
      </c>
      <c r="D75" s="42">
        <v>74086</v>
      </c>
      <c r="E75" s="42">
        <v>135546</v>
      </c>
      <c r="F75" s="42">
        <v>2755</v>
      </c>
      <c r="G75" s="42">
        <v>20744</v>
      </c>
      <c r="H75" s="42">
        <v>-71908</v>
      </c>
      <c r="I75" s="42">
        <v>-55864</v>
      </c>
      <c r="J75" s="42">
        <v>-525</v>
      </c>
      <c r="K75" s="42">
        <v>-7820</v>
      </c>
      <c r="L75" s="49">
        <f t="shared" si="17"/>
        <v>233131</v>
      </c>
      <c r="M75" s="49">
        <f t="shared" si="12"/>
        <v>136117</v>
      </c>
      <c r="N75" s="49">
        <f t="shared" si="13"/>
        <v>97014</v>
      </c>
      <c r="O75" s="42"/>
    </row>
    <row r="76" spans="1:15">
      <c r="A76">
        <f t="shared" si="18"/>
        <v>4</v>
      </c>
      <c r="B76" s="42" t="s">
        <v>376</v>
      </c>
      <c r="C76" s="42">
        <v>2005</v>
      </c>
      <c r="D76" s="42">
        <v>75197</v>
      </c>
      <c r="E76" s="42">
        <v>135344</v>
      </c>
      <c r="F76" s="42">
        <v>4372</v>
      </c>
      <c r="G76" s="42">
        <v>19581</v>
      </c>
      <c r="H76" s="42">
        <v>-70485</v>
      </c>
      <c r="I76" s="42">
        <v>-64640</v>
      </c>
      <c r="J76" s="42">
        <v>-504</v>
      </c>
      <c r="K76" s="42">
        <v>-9401</v>
      </c>
      <c r="L76" s="49">
        <f t="shared" si="17"/>
        <v>234494</v>
      </c>
      <c r="M76" s="49">
        <f t="shared" si="12"/>
        <v>145030</v>
      </c>
      <c r="N76" s="49">
        <f t="shared" si="13"/>
        <v>89464</v>
      </c>
      <c r="O76" s="42"/>
    </row>
    <row r="77" spans="1:15">
      <c r="A77">
        <f t="shared" si="18"/>
        <v>4</v>
      </c>
      <c r="B77" s="42" t="s">
        <v>376</v>
      </c>
      <c r="C77" s="42">
        <v>2006</v>
      </c>
      <c r="D77" s="42">
        <v>72578</v>
      </c>
      <c r="E77" s="42">
        <v>115312</v>
      </c>
      <c r="F77" s="42">
        <v>5989</v>
      </c>
      <c r="G77" s="42">
        <v>11119</v>
      </c>
      <c r="H77" s="42">
        <v>-67460</v>
      </c>
      <c r="I77" s="42">
        <v>-71430</v>
      </c>
      <c r="J77" s="42">
        <v>-545</v>
      </c>
      <c r="K77" s="42">
        <v>-10798</v>
      </c>
      <c r="L77" s="49">
        <f t="shared" si="17"/>
        <v>204998</v>
      </c>
      <c r="M77" s="49">
        <f t="shared" si="12"/>
        <v>150233</v>
      </c>
      <c r="N77" s="49">
        <f t="shared" si="13"/>
        <v>54765</v>
      </c>
      <c r="O77" s="42"/>
    </row>
    <row r="78" spans="1:15">
      <c r="A78">
        <f t="shared" si="18"/>
        <v>4</v>
      </c>
      <c r="B78" s="42" t="s">
        <v>376</v>
      </c>
      <c r="C78" s="42">
        <v>2007</v>
      </c>
      <c r="D78" s="42">
        <v>71606</v>
      </c>
      <c r="E78" s="42">
        <v>115848</v>
      </c>
      <c r="F78" s="42">
        <v>7921</v>
      </c>
      <c r="G78" s="42">
        <v>8026</v>
      </c>
      <c r="H78" s="42">
        <v>-65325</v>
      </c>
      <c r="I78" s="42">
        <v>-77513</v>
      </c>
      <c r="J78" s="42">
        <v>-630</v>
      </c>
      <c r="K78" s="42">
        <v>-11377</v>
      </c>
      <c r="L78" s="49">
        <f t="shared" si="17"/>
        <v>203401</v>
      </c>
      <c r="M78" s="49">
        <f t="shared" si="12"/>
        <v>154845</v>
      </c>
      <c r="N78" s="49">
        <f t="shared" si="13"/>
        <v>48556</v>
      </c>
      <c r="O78" s="42"/>
    </row>
    <row r="79" spans="1:15">
      <c r="A79">
        <f t="shared" si="18"/>
        <v>4</v>
      </c>
      <c r="B79" s="42" t="s">
        <v>376</v>
      </c>
      <c r="C79" s="42">
        <v>2008</v>
      </c>
      <c r="D79" s="42">
        <v>65587</v>
      </c>
      <c r="E79" s="42">
        <v>91315</v>
      </c>
      <c r="F79" s="42">
        <v>9726</v>
      </c>
      <c r="G79" s="42">
        <v>3217</v>
      </c>
      <c r="H79" s="42">
        <v>-62717</v>
      </c>
      <c r="I79" s="42">
        <v>-80245</v>
      </c>
      <c r="J79" s="42">
        <v>-687</v>
      </c>
      <c r="K79" s="42">
        <v>-11937</v>
      </c>
      <c r="L79" s="49">
        <f t="shared" si="17"/>
        <v>169845</v>
      </c>
      <c r="M79" s="49">
        <f t="shared" si="12"/>
        <v>155586</v>
      </c>
      <c r="N79" s="49">
        <f t="shared" si="13"/>
        <v>14259</v>
      </c>
      <c r="O79" s="42"/>
    </row>
    <row r="80" spans="1:15">
      <c r="A80">
        <f t="shared" si="18"/>
        <v>4</v>
      </c>
      <c r="B80" s="42" t="s">
        <v>376</v>
      </c>
      <c r="C80" s="42">
        <v>2009</v>
      </c>
      <c r="D80" s="42">
        <v>48032</v>
      </c>
      <c r="E80" s="42">
        <v>71952</v>
      </c>
      <c r="F80" s="42">
        <v>8740</v>
      </c>
      <c r="G80" s="42">
        <v>1304</v>
      </c>
      <c r="H80" s="42">
        <v>-53371</v>
      </c>
      <c r="I80" s="42">
        <v>-72776</v>
      </c>
      <c r="J80" s="42">
        <v>-720</v>
      </c>
      <c r="K80" s="42">
        <v>-10783</v>
      </c>
      <c r="L80" s="49">
        <f t="shared" si="17"/>
        <v>130028</v>
      </c>
      <c r="M80" s="49">
        <f t="shared" si="12"/>
        <v>137650</v>
      </c>
      <c r="N80" s="49">
        <f t="shared" si="13"/>
        <v>-7622</v>
      </c>
      <c r="O80" s="42"/>
    </row>
    <row r="81" spans="1:15">
      <c r="A81">
        <f t="shared" si="18"/>
        <v>4</v>
      </c>
      <c r="B81" s="42" t="s">
        <v>376</v>
      </c>
      <c r="C81" s="42">
        <v>2010</v>
      </c>
      <c r="D81" s="42">
        <v>54519</v>
      </c>
      <c r="E81" s="42">
        <v>91802</v>
      </c>
      <c r="F81" s="42">
        <v>9825</v>
      </c>
      <c r="G81" s="42">
        <v>844</v>
      </c>
      <c r="H81" s="42">
        <v>-51344</v>
      </c>
      <c r="I81" s="42">
        <v>-73280</v>
      </c>
      <c r="J81" s="42">
        <v>-795</v>
      </c>
      <c r="K81" s="42">
        <v>-10980</v>
      </c>
      <c r="L81" s="49">
        <f t="shared" si="17"/>
        <v>156990</v>
      </c>
      <c r="M81" s="49">
        <f t="shared" si="12"/>
        <v>136399</v>
      </c>
      <c r="N81" s="49">
        <f t="shared" si="13"/>
        <v>20591</v>
      </c>
      <c r="O81" s="42"/>
    </row>
    <row r="82" spans="1:15">
      <c r="A82">
        <f t="shared" si="18"/>
        <v>4</v>
      </c>
      <c r="B82" s="42" t="s">
        <v>376</v>
      </c>
      <c r="C82" s="42">
        <v>2011</v>
      </c>
      <c r="D82" s="42">
        <v>55124</v>
      </c>
      <c r="E82" s="42">
        <v>83110</v>
      </c>
      <c r="F82" s="42">
        <v>11034</v>
      </c>
      <c r="G82" s="42">
        <v>1055</v>
      </c>
      <c r="H82" s="42">
        <v>-56380</v>
      </c>
      <c r="I82" s="42">
        <v>-87404</v>
      </c>
      <c r="J82" s="42">
        <v>-1030</v>
      </c>
      <c r="K82" s="42">
        <v>-12932</v>
      </c>
      <c r="L82" s="49">
        <f t="shared" si="17"/>
        <v>150323</v>
      </c>
      <c r="M82" s="49">
        <f t="shared" si="12"/>
        <v>157746</v>
      </c>
      <c r="N82" s="49">
        <f t="shared" si="13"/>
        <v>-7423</v>
      </c>
      <c r="O82" s="42"/>
    </row>
    <row r="83" spans="1:15">
      <c r="A83">
        <f t="shared" si="18"/>
        <v>4</v>
      </c>
      <c r="B83" s="42" t="s">
        <v>376</v>
      </c>
      <c r="C83" s="42">
        <v>2012</v>
      </c>
      <c r="D83" s="42">
        <v>64962</v>
      </c>
      <c r="E83" s="42">
        <v>80022</v>
      </c>
      <c r="F83" s="42">
        <v>14255</v>
      </c>
      <c r="G83" s="42">
        <v>1898</v>
      </c>
      <c r="H83" s="42">
        <v>-43732</v>
      </c>
      <c r="I83" s="42">
        <v>-68774</v>
      </c>
      <c r="J83" s="42">
        <v>-888</v>
      </c>
      <c r="K83" s="42">
        <v>-9944</v>
      </c>
      <c r="L83" s="49">
        <f t="shared" si="17"/>
        <v>161137</v>
      </c>
      <c r="M83" s="49">
        <f t="shared" si="12"/>
        <v>123338</v>
      </c>
      <c r="N83" s="49">
        <f t="shared" si="13"/>
        <v>37799</v>
      </c>
      <c r="O83" s="42"/>
    </row>
    <row r="84" spans="1:15">
      <c r="A84">
        <f t="shared" si="18"/>
        <v>4</v>
      </c>
      <c r="B84" s="42" t="s">
        <v>376</v>
      </c>
      <c r="C84" s="42">
        <v>2013</v>
      </c>
      <c r="D84" s="42">
        <v>69408</v>
      </c>
      <c r="E84" s="42">
        <v>99954</v>
      </c>
      <c r="F84" s="42">
        <v>15492</v>
      </c>
      <c r="G84" s="42">
        <v>2298</v>
      </c>
      <c r="H84" s="42">
        <v>-44437</v>
      </c>
      <c r="I84" s="42">
        <v>-73956</v>
      </c>
      <c r="J84" s="42">
        <v>-993</v>
      </c>
      <c r="K84" s="42">
        <v>-9218</v>
      </c>
      <c r="L84" s="49">
        <f t="shared" si="17"/>
        <v>187152</v>
      </c>
      <c r="M84" s="49">
        <f t="shared" si="12"/>
        <v>128604</v>
      </c>
      <c r="N84" s="49">
        <f t="shared" si="13"/>
        <v>58548</v>
      </c>
      <c r="O84" s="42"/>
    </row>
    <row r="85" spans="1:15">
      <c r="A85">
        <f t="shared" si="18"/>
        <v>4</v>
      </c>
      <c r="B85" s="42" t="s">
        <v>376</v>
      </c>
      <c r="C85" s="42">
        <v>2014</v>
      </c>
      <c r="D85" s="42">
        <v>77697</v>
      </c>
      <c r="E85" s="42">
        <v>130593</v>
      </c>
      <c r="F85" s="42">
        <v>15156</v>
      </c>
      <c r="G85" s="42">
        <v>2138</v>
      </c>
      <c r="H85" s="42">
        <v>-46278</v>
      </c>
      <c r="I85" s="42">
        <v>-79310</v>
      </c>
      <c r="J85" s="42">
        <v>-1061</v>
      </c>
      <c r="K85" s="42">
        <v>-8863</v>
      </c>
      <c r="L85" s="49">
        <f t="shared" si="17"/>
        <v>225584</v>
      </c>
      <c r="M85" s="49">
        <f t="shared" si="12"/>
        <v>135512</v>
      </c>
      <c r="N85" s="49">
        <f t="shared" si="13"/>
        <v>90072</v>
      </c>
      <c r="O85" s="42"/>
    </row>
    <row r="86" spans="1:15">
      <c r="A86">
        <f t="shared" si="18"/>
        <v>4</v>
      </c>
      <c r="B86" s="42" t="s">
        <v>376</v>
      </c>
      <c r="C86" s="42">
        <v>2015</v>
      </c>
      <c r="D86" s="42">
        <v>81776</v>
      </c>
      <c r="E86" s="42">
        <v>144277</v>
      </c>
      <c r="F86" s="42">
        <v>15618</v>
      </c>
      <c r="G86" s="42">
        <v>2002</v>
      </c>
      <c r="H86" s="42">
        <v>-50403</v>
      </c>
      <c r="I86" s="42">
        <v>-87195</v>
      </c>
      <c r="J86" s="42">
        <v>-1201</v>
      </c>
      <c r="K86" s="42">
        <v>-8475</v>
      </c>
      <c r="L86" s="49">
        <f t="shared" si="17"/>
        <v>243673</v>
      </c>
      <c r="M86" s="49">
        <f t="shared" si="12"/>
        <v>147274</v>
      </c>
      <c r="N86" s="49">
        <f t="shared" si="13"/>
        <v>96399</v>
      </c>
      <c r="O86" s="42"/>
    </row>
    <row r="87" spans="1:15">
      <c r="A87">
        <f t="shared" si="18"/>
        <v>4</v>
      </c>
      <c r="B87" s="42" t="s">
        <v>376</v>
      </c>
      <c r="C87" s="42">
        <v>2016</v>
      </c>
      <c r="D87" s="42">
        <v>87521</v>
      </c>
      <c r="E87" s="42">
        <v>148982</v>
      </c>
      <c r="F87" s="42">
        <v>17725</v>
      </c>
      <c r="G87" s="42">
        <v>2762</v>
      </c>
      <c r="H87" s="42">
        <v>-48303</v>
      </c>
      <c r="I87" s="42">
        <v>-86456</v>
      </c>
      <c r="J87" s="42">
        <v>-1250</v>
      </c>
      <c r="K87" s="42">
        <v>-7716</v>
      </c>
      <c r="L87" s="49">
        <f t="shared" si="17"/>
        <v>256990</v>
      </c>
      <c r="M87" s="49">
        <f t="shared" si="12"/>
        <v>143725</v>
      </c>
      <c r="N87" s="49">
        <f t="shared" si="13"/>
        <v>113265</v>
      </c>
      <c r="O87" s="42"/>
    </row>
    <row r="88" spans="1:15">
      <c r="A88">
        <f t="shared" si="18"/>
        <v>4</v>
      </c>
      <c r="B88" s="42" t="s">
        <v>376</v>
      </c>
      <c r="C88" s="42">
        <v>2017</v>
      </c>
      <c r="D88" s="42">
        <v>93620</v>
      </c>
      <c r="E88" s="42">
        <v>161776</v>
      </c>
      <c r="F88" s="42">
        <v>17129</v>
      </c>
      <c r="G88" s="42">
        <v>4446</v>
      </c>
      <c r="H88" s="42">
        <v>-55615</v>
      </c>
      <c r="I88" s="66">
        <v>-101174</v>
      </c>
      <c r="J88" s="42">
        <v>-1774</v>
      </c>
      <c r="K88" s="42">
        <v>-7703</v>
      </c>
      <c r="L88" s="49">
        <f t="shared" si="17"/>
        <v>276971</v>
      </c>
      <c r="M88" s="49">
        <f t="shared" si="12"/>
        <v>166266</v>
      </c>
      <c r="N88" s="49">
        <f t="shared" si="13"/>
        <v>110705</v>
      </c>
      <c r="O88" s="42"/>
    </row>
    <row r="89" spans="1:15">
      <c r="A89">
        <f t="shared" si="18"/>
        <v>4</v>
      </c>
      <c r="B89" s="42" t="s">
        <v>376</v>
      </c>
      <c r="C89" s="42">
        <v>2018</v>
      </c>
      <c r="D89" s="42">
        <v>94101</v>
      </c>
      <c r="E89" s="42">
        <v>143487</v>
      </c>
      <c r="F89" s="42">
        <v>15917</v>
      </c>
      <c r="G89" s="42">
        <v>3513</v>
      </c>
      <c r="H89" s="42">
        <v>-59613</v>
      </c>
      <c r="I89" s="66">
        <v>-111990</v>
      </c>
      <c r="J89" s="42">
        <v>-2329</v>
      </c>
      <c r="K89" s="42">
        <v>-8094</v>
      </c>
      <c r="L89" s="49">
        <f t="shared" si="17"/>
        <v>257018</v>
      </c>
      <c r="M89" s="49">
        <f t="shared" si="12"/>
        <v>182026</v>
      </c>
      <c r="N89" s="49">
        <f t="shared" si="13"/>
        <v>74992</v>
      </c>
      <c r="O89" s="42"/>
    </row>
    <row r="90" spans="1:15">
      <c r="A90">
        <f t="shared" si="18"/>
        <v>4</v>
      </c>
      <c r="B90" s="42" t="s">
        <v>376</v>
      </c>
      <c r="C90" s="42">
        <v>2019</v>
      </c>
      <c r="D90" s="42">
        <v>90259</v>
      </c>
      <c r="E90" s="42">
        <v>136241</v>
      </c>
      <c r="F90" s="42">
        <v>14459</v>
      </c>
      <c r="G90" s="42">
        <v>3474</v>
      </c>
      <c r="H90" s="42">
        <v>-60915</v>
      </c>
      <c r="I90" s="66">
        <v>-114588</v>
      </c>
      <c r="J90" s="42">
        <v>-2752</v>
      </c>
      <c r="K90" s="42">
        <v>-7849</v>
      </c>
      <c r="L90" s="49">
        <f t="shared" si="17"/>
        <v>244433</v>
      </c>
      <c r="M90" s="49">
        <f t="shared" si="12"/>
        <v>186104</v>
      </c>
      <c r="N90" s="49">
        <f t="shared" si="13"/>
        <v>58329</v>
      </c>
      <c r="O90" s="42"/>
    </row>
    <row r="91" spans="1:15">
      <c r="A91">
        <f t="shared" si="18"/>
        <v>4</v>
      </c>
      <c r="B91" s="42" t="s">
        <v>376</v>
      </c>
      <c r="C91" s="42">
        <v>2020</v>
      </c>
      <c r="D91" s="42">
        <v>72229</v>
      </c>
      <c r="E91" s="42">
        <v>110043</v>
      </c>
      <c r="F91" s="42">
        <v>9584</v>
      </c>
      <c r="G91" s="42">
        <v>3588</v>
      </c>
      <c r="H91" s="42">
        <v>-58132</v>
      </c>
      <c r="I91" s="66">
        <v>-111484</v>
      </c>
      <c r="J91" s="42">
        <v>-3081</v>
      </c>
      <c r="K91" s="42">
        <v>-6636</v>
      </c>
      <c r="L91" s="49">
        <f t="shared" si="17"/>
        <v>195444</v>
      </c>
      <c r="M91" s="49">
        <f t="shared" si="12"/>
        <v>179333</v>
      </c>
      <c r="N91" s="49">
        <f t="shared" si="13"/>
        <v>16111</v>
      </c>
      <c r="O91" s="42"/>
    </row>
    <row r="92" spans="1:15">
      <c r="A92">
        <f t="shared" si="18"/>
        <v>4</v>
      </c>
      <c r="B92" s="42" t="s">
        <v>376</v>
      </c>
      <c r="C92" s="42">
        <v>2021</v>
      </c>
      <c r="D92" s="42">
        <v>97078</v>
      </c>
      <c r="E92" s="42">
        <v>116656</v>
      </c>
      <c r="F92" s="42">
        <v>10876</v>
      </c>
      <c r="G92" s="42">
        <v>5460</v>
      </c>
      <c r="H92" s="42">
        <v>-58670</v>
      </c>
      <c r="I92" s="66">
        <v>-114655</v>
      </c>
      <c r="J92" s="42">
        <v>-3564</v>
      </c>
      <c r="K92" s="42">
        <v>-6094</v>
      </c>
      <c r="L92" s="49">
        <f t="shared" si="17"/>
        <v>230070</v>
      </c>
      <c r="M92" s="49">
        <f t="shared" si="12"/>
        <v>182983</v>
      </c>
      <c r="N92" s="49">
        <f t="shared" si="13"/>
        <v>47087</v>
      </c>
      <c r="O92" s="42"/>
    </row>
    <row r="93" spans="1:15">
      <c r="B93" s="42" t="s">
        <v>376</v>
      </c>
      <c r="C93" s="42">
        <v>2022</v>
      </c>
      <c r="D93" s="42">
        <v>92443</v>
      </c>
      <c r="E93" s="42">
        <v>107043</v>
      </c>
      <c r="F93" s="42">
        <v>11306</v>
      </c>
      <c r="G93" s="42">
        <v>3825</v>
      </c>
      <c r="H93" s="42">
        <v>-56258</v>
      </c>
      <c r="I93" s="66">
        <v>-113079</v>
      </c>
      <c r="J93" s="42">
        <v>-4260</v>
      </c>
      <c r="K93" s="42">
        <v>-5536</v>
      </c>
      <c r="L93" s="49">
        <f t="shared" si="17"/>
        <v>214617</v>
      </c>
      <c r="M93" s="49">
        <f t="shared" si="12"/>
        <v>179133</v>
      </c>
      <c r="N93" s="49">
        <f t="shared" si="13"/>
        <v>35484</v>
      </c>
      <c r="O93" s="42"/>
    </row>
    <row r="94" spans="1:15">
      <c r="B94" s="42" t="s">
        <v>376</v>
      </c>
      <c r="C94" s="42">
        <v>2023</v>
      </c>
      <c r="D94" s="42">
        <v>83470</v>
      </c>
      <c r="E94" s="42">
        <v>112697</v>
      </c>
      <c r="F94" s="42">
        <v>9064</v>
      </c>
      <c r="G94" s="42">
        <v>1653</v>
      </c>
      <c r="H94" s="42">
        <v>-59116</v>
      </c>
      <c r="I94" s="66">
        <v>-108204</v>
      </c>
      <c r="J94" s="42">
        <v>-7226</v>
      </c>
      <c r="K94" s="42">
        <v>-5687</v>
      </c>
      <c r="L94" s="49">
        <f t="shared" ref="L94" si="19">SUM(D94:G94)</f>
        <v>206884</v>
      </c>
      <c r="M94" s="49">
        <f t="shared" ref="M94" si="20">-SUM(H94:K94)</f>
        <v>180233</v>
      </c>
      <c r="N94" s="49">
        <f t="shared" ref="N94" si="21">SUM(D94:K94)</f>
        <v>26651</v>
      </c>
      <c r="O94" s="42"/>
    </row>
    <row r="95" spans="1:15">
      <c r="A95">
        <f>IF(B95=B92, A92, A92+1)</f>
        <v>5</v>
      </c>
      <c r="B95" s="42" t="s">
        <v>377</v>
      </c>
      <c r="C95" s="42">
        <v>2001</v>
      </c>
      <c r="D95" s="42">
        <v>4417</v>
      </c>
      <c r="E95" s="42">
        <v>2358</v>
      </c>
      <c r="F95" s="42">
        <v>0</v>
      </c>
      <c r="G95" s="42">
        <v>0</v>
      </c>
      <c r="H95" s="42">
        <v>-3509</v>
      </c>
      <c r="I95" s="42">
        <v>-2084</v>
      </c>
      <c r="J95" s="42">
        <v>0</v>
      </c>
      <c r="K95" s="42">
        <v>0</v>
      </c>
      <c r="L95" s="49">
        <f t="shared" si="17"/>
        <v>6775</v>
      </c>
      <c r="M95" s="49">
        <f t="shared" si="12"/>
        <v>5593</v>
      </c>
      <c r="N95" s="49">
        <f t="shared" si="13"/>
        <v>1182</v>
      </c>
      <c r="O95" s="42"/>
    </row>
    <row r="96" spans="1:15">
      <c r="A96">
        <f t="shared" si="18"/>
        <v>5</v>
      </c>
      <c r="B96" s="42" t="s">
        <v>377</v>
      </c>
      <c r="C96" s="42">
        <v>2002</v>
      </c>
      <c r="D96" s="42">
        <v>4534</v>
      </c>
      <c r="E96" s="42">
        <v>2666</v>
      </c>
      <c r="F96" s="42">
        <v>0</v>
      </c>
      <c r="G96" s="42">
        <v>0</v>
      </c>
      <c r="H96" s="42">
        <v>-3127</v>
      </c>
      <c r="I96" s="42">
        <v>-1928</v>
      </c>
      <c r="J96" s="42">
        <v>0</v>
      </c>
      <c r="K96" s="42">
        <v>0</v>
      </c>
      <c r="L96" s="49">
        <f t="shared" si="17"/>
        <v>7200</v>
      </c>
      <c r="M96" s="49">
        <f t="shared" si="12"/>
        <v>5055</v>
      </c>
      <c r="N96" s="49">
        <f t="shared" si="13"/>
        <v>2145</v>
      </c>
      <c r="O96" s="42"/>
    </row>
    <row r="97" spans="1:15">
      <c r="A97">
        <f t="shared" si="18"/>
        <v>5</v>
      </c>
      <c r="B97" s="42" t="s">
        <v>377</v>
      </c>
      <c r="C97" s="42">
        <v>2003</v>
      </c>
      <c r="D97" s="42">
        <v>5478</v>
      </c>
      <c r="E97" s="42">
        <v>2971</v>
      </c>
      <c r="F97" s="42">
        <v>0</v>
      </c>
      <c r="G97" s="42">
        <v>0</v>
      </c>
      <c r="H97" s="42">
        <v>-3023</v>
      </c>
      <c r="I97" s="42">
        <v>-1993</v>
      </c>
      <c r="J97" s="42">
        <v>0</v>
      </c>
      <c r="K97" s="42">
        <v>0</v>
      </c>
      <c r="L97" s="49">
        <f t="shared" si="17"/>
        <v>8449</v>
      </c>
      <c r="M97" s="49">
        <f t="shared" si="12"/>
        <v>5016</v>
      </c>
      <c r="N97" s="49">
        <f t="shared" si="13"/>
        <v>3433</v>
      </c>
      <c r="O97" s="42"/>
    </row>
    <row r="98" spans="1:15">
      <c r="A98">
        <f t="shared" si="18"/>
        <v>5</v>
      </c>
      <c r="B98" s="42" t="s">
        <v>377</v>
      </c>
      <c r="C98" s="42">
        <v>2004</v>
      </c>
      <c r="D98" s="42">
        <v>7347</v>
      </c>
      <c r="E98" s="42">
        <v>3095</v>
      </c>
      <c r="F98" s="42">
        <v>0</v>
      </c>
      <c r="G98" s="42">
        <v>0</v>
      </c>
      <c r="H98" s="42">
        <v>-3154</v>
      </c>
      <c r="I98" s="42">
        <v>-1915</v>
      </c>
      <c r="J98" s="42">
        <v>0</v>
      </c>
      <c r="K98" s="42">
        <v>0</v>
      </c>
      <c r="L98" s="49">
        <f t="shared" si="17"/>
        <v>10442</v>
      </c>
      <c r="M98" s="49">
        <f t="shared" si="12"/>
        <v>5069</v>
      </c>
      <c r="N98" s="49">
        <f t="shared" si="13"/>
        <v>5373</v>
      </c>
      <c r="O98" s="42"/>
    </row>
    <row r="99" spans="1:15">
      <c r="A99">
        <f t="shared" si="18"/>
        <v>5</v>
      </c>
      <c r="B99" s="42" t="s">
        <v>377</v>
      </c>
      <c r="C99" s="42">
        <v>2005</v>
      </c>
      <c r="D99" s="42">
        <v>10851</v>
      </c>
      <c r="E99" s="42">
        <v>3770</v>
      </c>
      <c r="F99" s="42">
        <v>0</v>
      </c>
      <c r="G99" s="42">
        <v>0</v>
      </c>
      <c r="H99" s="42">
        <v>-3062</v>
      </c>
      <c r="I99" s="42">
        <v>-1843</v>
      </c>
      <c r="J99" s="42">
        <v>0</v>
      </c>
      <c r="K99" s="42">
        <v>0</v>
      </c>
      <c r="L99" s="49">
        <f t="shared" si="17"/>
        <v>14621</v>
      </c>
      <c r="M99" s="49">
        <f t="shared" si="12"/>
        <v>4905</v>
      </c>
      <c r="N99" s="49">
        <f t="shared" si="13"/>
        <v>9716</v>
      </c>
      <c r="O99" s="42"/>
    </row>
    <row r="100" spans="1:15">
      <c r="A100">
        <f t="shared" si="18"/>
        <v>5</v>
      </c>
      <c r="B100" s="42" t="s">
        <v>377</v>
      </c>
      <c r="C100" s="42">
        <v>2006</v>
      </c>
      <c r="D100" s="42">
        <v>12763</v>
      </c>
      <c r="E100" s="42">
        <v>4419</v>
      </c>
      <c r="F100" s="42">
        <v>0</v>
      </c>
      <c r="G100" s="42">
        <v>0</v>
      </c>
      <c r="H100" s="42">
        <v>-3841</v>
      </c>
      <c r="I100" s="42">
        <v>-1863</v>
      </c>
      <c r="J100" s="42">
        <v>0</v>
      </c>
      <c r="K100" s="42">
        <v>0</v>
      </c>
      <c r="L100" s="49">
        <f t="shared" si="17"/>
        <v>17182</v>
      </c>
      <c r="M100" s="49">
        <f t="shared" si="12"/>
        <v>5704</v>
      </c>
      <c r="N100" s="49">
        <f t="shared" si="13"/>
        <v>11478</v>
      </c>
      <c r="O100" s="42"/>
    </row>
    <row r="101" spans="1:15">
      <c r="A101">
        <f t="shared" si="18"/>
        <v>5</v>
      </c>
      <c r="B101" s="42" t="s">
        <v>377</v>
      </c>
      <c r="C101" s="42">
        <v>2007</v>
      </c>
      <c r="D101" s="42">
        <v>13889</v>
      </c>
      <c r="E101" s="42">
        <v>4719</v>
      </c>
      <c r="F101" s="42">
        <v>0</v>
      </c>
      <c r="G101" s="42">
        <v>0</v>
      </c>
      <c r="H101" s="42">
        <v>-4253</v>
      </c>
      <c r="I101" s="42">
        <v>-1953</v>
      </c>
      <c r="J101" s="42">
        <v>0</v>
      </c>
      <c r="K101" s="42">
        <v>0</v>
      </c>
      <c r="L101" s="49">
        <f t="shared" si="17"/>
        <v>18608</v>
      </c>
      <c r="M101" s="49">
        <f t="shared" si="12"/>
        <v>6206</v>
      </c>
      <c r="N101" s="49">
        <f t="shared" si="13"/>
        <v>12402</v>
      </c>
      <c r="O101" s="42"/>
    </row>
    <row r="102" spans="1:15">
      <c r="A102">
        <f t="shared" si="18"/>
        <v>5</v>
      </c>
      <c r="B102" s="42" t="s">
        <v>377</v>
      </c>
      <c r="C102" s="42">
        <v>2008</v>
      </c>
      <c r="D102" s="42">
        <v>15818</v>
      </c>
      <c r="E102" s="42">
        <v>5254</v>
      </c>
      <c r="F102" s="42">
        <v>0</v>
      </c>
      <c r="G102" s="42">
        <v>0</v>
      </c>
      <c r="H102" s="42">
        <v>-4499</v>
      </c>
      <c r="I102" s="42">
        <v>-1970</v>
      </c>
      <c r="J102" s="42">
        <v>0</v>
      </c>
      <c r="K102" s="42">
        <v>0</v>
      </c>
      <c r="L102" s="49">
        <f t="shared" si="17"/>
        <v>21072</v>
      </c>
      <c r="M102" s="49">
        <f t="shared" si="12"/>
        <v>6469</v>
      </c>
      <c r="N102" s="49">
        <f t="shared" si="13"/>
        <v>14603</v>
      </c>
      <c r="O102" s="42"/>
    </row>
    <row r="103" spans="1:15">
      <c r="A103">
        <f t="shared" si="18"/>
        <v>5</v>
      </c>
      <c r="B103" s="42" t="s">
        <v>377</v>
      </c>
      <c r="C103" s="42">
        <v>2009</v>
      </c>
      <c r="D103" s="42">
        <v>9301</v>
      </c>
      <c r="E103" s="42">
        <v>3452</v>
      </c>
      <c r="F103" s="42">
        <v>0</v>
      </c>
      <c r="G103" s="42">
        <v>0</v>
      </c>
      <c r="H103" s="42">
        <v>-5040</v>
      </c>
      <c r="I103" s="42">
        <v>-2089</v>
      </c>
      <c r="J103" s="42">
        <v>0</v>
      </c>
      <c r="K103" s="42">
        <v>0</v>
      </c>
      <c r="L103" s="49">
        <f t="shared" si="17"/>
        <v>12753</v>
      </c>
      <c r="M103" s="49">
        <f t="shared" si="12"/>
        <v>7129</v>
      </c>
      <c r="N103" s="49">
        <f t="shared" si="13"/>
        <v>5624</v>
      </c>
      <c r="O103" s="42"/>
    </row>
    <row r="104" spans="1:15">
      <c r="A104">
        <f t="shared" si="18"/>
        <v>5</v>
      </c>
      <c r="B104" s="42" t="s">
        <v>377</v>
      </c>
      <c r="C104" s="42">
        <v>2010</v>
      </c>
      <c r="D104" s="42">
        <v>7328</v>
      </c>
      <c r="E104" s="42">
        <v>3004</v>
      </c>
      <c r="F104" s="42">
        <v>0</v>
      </c>
      <c r="G104" s="42">
        <v>0</v>
      </c>
      <c r="H104" s="42">
        <v>-5453</v>
      </c>
      <c r="I104" s="42">
        <v>-2350</v>
      </c>
      <c r="J104" s="42">
        <v>0</v>
      </c>
      <c r="K104" s="42">
        <v>0</v>
      </c>
      <c r="L104" s="49">
        <f t="shared" si="17"/>
        <v>10332</v>
      </c>
      <c r="M104" s="49">
        <f t="shared" si="12"/>
        <v>7803</v>
      </c>
      <c r="N104" s="49">
        <f t="shared" si="13"/>
        <v>2529</v>
      </c>
      <c r="O104" s="42"/>
    </row>
    <row r="105" spans="1:15">
      <c r="A105">
        <f t="shared" si="18"/>
        <v>5</v>
      </c>
      <c r="B105" s="42" t="s">
        <v>377</v>
      </c>
      <c r="C105" s="42">
        <v>2011</v>
      </c>
      <c r="D105" s="42">
        <v>7289</v>
      </c>
      <c r="E105" s="42">
        <v>2678</v>
      </c>
      <c r="F105" s="42">
        <v>0</v>
      </c>
      <c r="G105" s="42">
        <v>0</v>
      </c>
      <c r="H105" s="42">
        <v>-6290</v>
      </c>
      <c r="I105" s="42">
        <v>-2462</v>
      </c>
      <c r="J105" s="42">
        <v>0</v>
      </c>
      <c r="K105" s="42">
        <v>0</v>
      </c>
      <c r="L105" s="49">
        <f t="shared" si="17"/>
        <v>9967</v>
      </c>
      <c r="M105" s="49">
        <f t="shared" si="12"/>
        <v>8752</v>
      </c>
      <c r="N105" s="49">
        <f t="shared" si="13"/>
        <v>1215</v>
      </c>
      <c r="O105" s="42"/>
    </row>
    <row r="106" spans="1:15">
      <c r="A106">
        <f t="shared" si="18"/>
        <v>5</v>
      </c>
      <c r="B106" s="42" t="s">
        <v>377</v>
      </c>
      <c r="C106" s="42">
        <v>2012</v>
      </c>
      <c r="D106" s="42">
        <v>6747</v>
      </c>
      <c r="E106" s="42">
        <v>2195</v>
      </c>
      <c r="F106" s="42">
        <v>0</v>
      </c>
      <c r="G106" s="42">
        <v>0</v>
      </c>
      <c r="H106" s="42">
        <v>-4165</v>
      </c>
      <c r="I106" s="42">
        <v>-1616</v>
      </c>
      <c r="J106" s="42">
        <v>0</v>
      </c>
      <c r="K106" s="42">
        <v>0</v>
      </c>
      <c r="L106" s="49">
        <f t="shared" si="17"/>
        <v>8942</v>
      </c>
      <c r="M106" s="49">
        <f t="shared" si="12"/>
        <v>5781</v>
      </c>
      <c r="N106" s="49">
        <f t="shared" si="13"/>
        <v>3161</v>
      </c>
      <c r="O106" s="42"/>
    </row>
    <row r="107" spans="1:15">
      <c r="A107">
        <f t="shared" si="18"/>
        <v>5</v>
      </c>
      <c r="B107" s="42" t="s">
        <v>377</v>
      </c>
      <c r="C107" s="42">
        <v>2013</v>
      </c>
      <c r="D107" s="42">
        <v>8030</v>
      </c>
      <c r="E107" s="42">
        <v>2624</v>
      </c>
      <c r="F107" s="42">
        <v>0</v>
      </c>
      <c r="G107" s="42">
        <v>0</v>
      </c>
      <c r="H107" s="42">
        <v>-4382</v>
      </c>
      <c r="I107" s="42">
        <v>-1587</v>
      </c>
      <c r="J107" s="42">
        <v>0</v>
      </c>
      <c r="K107" s="42">
        <v>0</v>
      </c>
      <c r="L107" s="49">
        <f t="shared" si="17"/>
        <v>10654</v>
      </c>
      <c r="M107" s="49">
        <f t="shared" si="12"/>
        <v>5969</v>
      </c>
      <c r="N107" s="49">
        <f t="shared" si="13"/>
        <v>4685</v>
      </c>
      <c r="O107" s="42"/>
    </row>
    <row r="108" spans="1:15">
      <c r="A108">
        <f t="shared" si="18"/>
        <v>5</v>
      </c>
      <c r="B108" s="42" t="s">
        <v>377</v>
      </c>
      <c r="C108" s="42">
        <v>2014</v>
      </c>
      <c r="D108" s="42">
        <v>8695</v>
      </c>
      <c r="E108" s="42">
        <v>3068</v>
      </c>
      <c r="F108" s="42">
        <v>0</v>
      </c>
      <c r="G108" s="42">
        <v>0</v>
      </c>
      <c r="H108" s="42">
        <v>-4359</v>
      </c>
      <c r="I108" s="42">
        <v>-1502</v>
      </c>
      <c r="J108" s="42">
        <v>0</v>
      </c>
      <c r="K108" s="42">
        <v>0</v>
      </c>
      <c r="L108" s="49">
        <f t="shared" si="17"/>
        <v>11763</v>
      </c>
      <c r="M108" s="49">
        <f t="shared" si="12"/>
        <v>5861</v>
      </c>
      <c r="N108" s="49">
        <f t="shared" si="13"/>
        <v>5902</v>
      </c>
      <c r="O108" s="42"/>
    </row>
    <row r="109" spans="1:15">
      <c r="A109">
        <f t="shared" si="18"/>
        <v>5</v>
      </c>
      <c r="B109" s="42" t="s">
        <v>377</v>
      </c>
      <c r="C109" s="42">
        <v>2015</v>
      </c>
      <c r="D109" s="42">
        <v>9719</v>
      </c>
      <c r="E109" s="42">
        <v>3419</v>
      </c>
      <c r="F109" s="42">
        <v>0</v>
      </c>
      <c r="G109" s="42">
        <v>0</v>
      </c>
      <c r="H109" s="42">
        <v>-4984</v>
      </c>
      <c r="I109" s="42">
        <v>-1750</v>
      </c>
      <c r="J109" s="42">
        <v>0</v>
      </c>
      <c r="K109" s="42">
        <v>0</v>
      </c>
      <c r="L109" s="49">
        <f t="shared" si="17"/>
        <v>13138</v>
      </c>
      <c r="M109" s="49">
        <f t="shared" si="12"/>
        <v>6734</v>
      </c>
      <c r="N109" s="49">
        <f t="shared" si="13"/>
        <v>6404</v>
      </c>
      <c r="O109" s="42"/>
    </row>
    <row r="110" spans="1:15">
      <c r="A110">
        <f t="shared" si="18"/>
        <v>5</v>
      </c>
      <c r="B110" s="42" t="s">
        <v>377</v>
      </c>
      <c r="C110" s="42">
        <v>2016</v>
      </c>
      <c r="D110" s="42">
        <v>9510</v>
      </c>
      <c r="E110" s="42">
        <v>3352</v>
      </c>
      <c r="F110" s="42">
        <v>0</v>
      </c>
      <c r="G110" s="42">
        <v>0</v>
      </c>
      <c r="H110" s="42">
        <v>-5031</v>
      </c>
      <c r="I110" s="42">
        <v>-1825</v>
      </c>
      <c r="J110" s="42">
        <v>0</v>
      </c>
      <c r="K110" s="42">
        <v>0</v>
      </c>
      <c r="L110" s="49">
        <f t="shared" si="17"/>
        <v>12862</v>
      </c>
      <c r="M110" s="49">
        <f t="shared" si="12"/>
        <v>6856</v>
      </c>
      <c r="N110" s="49">
        <f t="shared" si="13"/>
        <v>6006</v>
      </c>
      <c r="O110" s="42"/>
    </row>
    <row r="111" spans="1:15">
      <c r="A111">
        <f t="shared" si="18"/>
        <v>5</v>
      </c>
      <c r="B111" s="173" t="s">
        <v>377</v>
      </c>
      <c r="C111" s="173">
        <v>2017</v>
      </c>
      <c r="D111" s="173">
        <v>9636</v>
      </c>
      <c r="E111" s="173">
        <v>3778</v>
      </c>
      <c r="F111" s="173">
        <v>0</v>
      </c>
      <c r="G111" s="173">
        <v>3</v>
      </c>
      <c r="H111" s="173">
        <v>-5008</v>
      </c>
      <c r="I111" s="173">
        <v>-1754</v>
      </c>
      <c r="J111" s="173">
        <v>0</v>
      </c>
      <c r="K111" s="173">
        <v>0</v>
      </c>
      <c r="L111" s="49">
        <f t="shared" si="17"/>
        <v>13417</v>
      </c>
      <c r="M111" s="49">
        <f t="shared" si="12"/>
        <v>6762</v>
      </c>
      <c r="N111" s="49">
        <f t="shared" si="13"/>
        <v>6655</v>
      </c>
    </row>
    <row r="112" spans="1:15">
      <c r="A112">
        <f t="shared" si="18"/>
        <v>5</v>
      </c>
      <c r="B112" s="173" t="s">
        <v>377</v>
      </c>
      <c r="C112" s="173">
        <v>2018</v>
      </c>
      <c r="D112" s="173">
        <v>9719</v>
      </c>
      <c r="E112" s="173">
        <v>3920</v>
      </c>
      <c r="F112" s="173">
        <v>1</v>
      </c>
      <c r="G112" s="173">
        <v>3</v>
      </c>
      <c r="H112" s="173">
        <v>-5404</v>
      </c>
      <c r="I112" s="173">
        <v>-1844</v>
      </c>
      <c r="J112" s="173">
        <v>0</v>
      </c>
      <c r="K112" s="173">
        <v>-1</v>
      </c>
      <c r="L112" s="49">
        <f t="shared" si="17"/>
        <v>13643</v>
      </c>
      <c r="M112" s="49">
        <f t="shared" si="12"/>
        <v>7249</v>
      </c>
      <c r="N112" s="49">
        <f t="shared" si="13"/>
        <v>6394</v>
      </c>
    </row>
    <row r="113" spans="1:14">
      <c r="A113">
        <f t="shared" si="18"/>
        <v>5</v>
      </c>
      <c r="B113" s="173" t="s">
        <v>377</v>
      </c>
      <c r="C113" s="173">
        <v>2019</v>
      </c>
      <c r="D113" s="173">
        <v>9483</v>
      </c>
      <c r="E113" s="173">
        <v>3528</v>
      </c>
      <c r="F113" s="173">
        <v>0</v>
      </c>
      <c r="G113" s="173">
        <v>1</v>
      </c>
      <c r="H113" s="173">
        <v>-5142</v>
      </c>
      <c r="I113" s="173">
        <v>-1722</v>
      </c>
      <c r="J113" s="173">
        <v>0</v>
      </c>
      <c r="K113" s="173">
        <v>0</v>
      </c>
      <c r="L113" s="49">
        <f t="shared" si="17"/>
        <v>13012</v>
      </c>
      <c r="M113" s="49">
        <f t="shared" si="12"/>
        <v>6864</v>
      </c>
      <c r="N113" s="49">
        <f t="shared" si="13"/>
        <v>6148</v>
      </c>
    </row>
    <row r="114" spans="1:14">
      <c r="A114">
        <f t="shared" si="18"/>
        <v>5</v>
      </c>
      <c r="B114" s="173" t="s">
        <v>377</v>
      </c>
      <c r="C114" s="173">
        <v>2020</v>
      </c>
      <c r="D114" s="173">
        <v>9991</v>
      </c>
      <c r="E114" s="173">
        <v>3271</v>
      </c>
      <c r="F114" s="173">
        <v>0</v>
      </c>
      <c r="G114" s="173">
        <v>0</v>
      </c>
      <c r="H114" s="173">
        <v>-5339</v>
      </c>
      <c r="I114" s="173">
        <v>-1694</v>
      </c>
      <c r="J114" s="173">
        <v>0</v>
      </c>
      <c r="K114" s="173">
        <v>-1</v>
      </c>
      <c r="L114" s="49">
        <f t="shared" si="17"/>
        <v>13262</v>
      </c>
      <c r="M114" s="49">
        <f t="shared" si="12"/>
        <v>7034</v>
      </c>
      <c r="N114" s="49">
        <f t="shared" si="13"/>
        <v>6228</v>
      </c>
    </row>
    <row r="115" spans="1:14">
      <c r="A115">
        <f t="shared" si="18"/>
        <v>5</v>
      </c>
      <c r="B115" s="173" t="s">
        <v>377</v>
      </c>
      <c r="C115" s="173">
        <v>2021</v>
      </c>
      <c r="D115" s="173">
        <v>11456</v>
      </c>
      <c r="E115" s="173">
        <v>2867</v>
      </c>
      <c r="F115" s="173">
        <v>0</v>
      </c>
      <c r="G115" s="173">
        <v>2</v>
      </c>
      <c r="H115" s="173">
        <v>-5922</v>
      </c>
      <c r="I115" s="173">
        <v>-1856</v>
      </c>
      <c r="J115" s="173">
        <v>-1</v>
      </c>
      <c r="K115" s="173">
        <v>0</v>
      </c>
      <c r="L115" s="49">
        <f t="shared" si="17"/>
        <v>14325</v>
      </c>
      <c r="M115" s="49">
        <f t="shared" si="12"/>
        <v>7779</v>
      </c>
      <c r="N115" s="49">
        <f t="shared" si="13"/>
        <v>6546</v>
      </c>
    </row>
    <row r="116" spans="1:14">
      <c r="A116">
        <f t="shared" si="18"/>
        <v>5</v>
      </c>
      <c r="B116" s="173" t="s">
        <v>377</v>
      </c>
      <c r="C116" s="173">
        <v>2022</v>
      </c>
      <c r="D116" s="42">
        <v>11085</v>
      </c>
      <c r="E116" s="42">
        <v>2421</v>
      </c>
      <c r="F116" s="42">
        <v>0</v>
      </c>
      <c r="G116" s="42">
        <v>0</v>
      </c>
      <c r="H116" s="42">
        <v>-6686</v>
      </c>
      <c r="I116" s="42">
        <v>-1878</v>
      </c>
      <c r="J116" s="42">
        <v>0</v>
      </c>
      <c r="K116" s="42">
        <v>0</v>
      </c>
      <c r="L116" s="49">
        <f t="shared" si="17"/>
        <v>13506</v>
      </c>
      <c r="M116" s="49">
        <f t="shared" si="12"/>
        <v>8564</v>
      </c>
      <c r="N116" s="49">
        <f t="shared" si="13"/>
        <v>4942</v>
      </c>
    </row>
    <row r="117" spans="1:14">
      <c r="A117">
        <f t="shared" si="18"/>
        <v>5</v>
      </c>
      <c r="B117" s="173" t="s">
        <v>377</v>
      </c>
      <c r="C117" s="173">
        <v>2023</v>
      </c>
      <c r="D117" s="42">
        <v>9638</v>
      </c>
      <c r="E117" s="42">
        <v>2123</v>
      </c>
      <c r="F117" s="42">
        <v>0</v>
      </c>
      <c r="G117" s="42">
        <v>0</v>
      </c>
      <c r="H117" s="42">
        <v>-5832</v>
      </c>
      <c r="I117" s="42">
        <v>-1416</v>
      </c>
      <c r="J117" s="42">
        <v>0</v>
      </c>
      <c r="K117" s="42">
        <v>0</v>
      </c>
      <c r="L117" s="49">
        <f t="shared" ref="L117" si="22">SUM(D117:G117)</f>
        <v>11761</v>
      </c>
      <c r="M117" s="49">
        <f t="shared" ref="M117" si="23">-SUM(H117:K117)</f>
        <v>7248</v>
      </c>
      <c r="N117" s="49">
        <f t="shared" ref="N117" si="24">SUM(D117:K117)</f>
        <v>4513</v>
      </c>
    </row>
    <row r="118" spans="1:14">
      <c r="A118">
        <f t="shared" si="18"/>
        <v>6</v>
      </c>
    </row>
    <row r="119" spans="1:14">
      <c r="A119">
        <f t="shared" si="18"/>
        <v>6</v>
      </c>
    </row>
    <row r="120" spans="1:14">
      <c r="A120">
        <f t="shared" si="18"/>
        <v>6</v>
      </c>
    </row>
    <row r="121" spans="1:14">
      <c r="A121">
        <f t="shared" si="18"/>
        <v>6</v>
      </c>
    </row>
    <row r="122" spans="1:14">
      <c r="A122">
        <f t="shared" si="18"/>
        <v>6</v>
      </c>
    </row>
    <row r="123" spans="1:14">
      <c r="A123">
        <f t="shared" si="18"/>
        <v>6</v>
      </c>
    </row>
    <row r="124" spans="1:14">
      <c r="A124">
        <f t="shared" si="18"/>
        <v>6</v>
      </c>
    </row>
    <row r="125" spans="1:14">
      <c r="A125">
        <f t="shared" si="18"/>
        <v>6</v>
      </c>
    </row>
    <row r="126" spans="1:14">
      <c r="A126">
        <f t="shared" si="18"/>
        <v>6</v>
      </c>
    </row>
    <row r="127" spans="1:14">
      <c r="A127">
        <f t="shared" si="18"/>
        <v>6</v>
      </c>
    </row>
    <row r="128" spans="1:14">
      <c r="A128">
        <f t="shared" si="18"/>
        <v>6</v>
      </c>
    </row>
    <row r="129" spans="1:1">
      <c r="A129">
        <f t="shared" si="18"/>
        <v>6</v>
      </c>
    </row>
    <row r="130" spans="1:1">
      <c r="A130">
        <f t="shared" si="18"/>
        <v>6</v>
      </c>
    </row>
    <row r="131" spans="1:1">
      <c r="A131">
        <f t="shared" si="18"/>
        <v>6</v>
      </c>
    </row>
    <row r="132" spans="1:1">
      <c r="A132">
        <f t="shared" si="18"/>
        <v>6</v>
      </c>
    </row>
    <row r="133" spans="1:1">
      <c r="A133">
        <f t="shared" si="18"/>
        <v>6</v>
      </c>
    </row>
    <row r="134" spans="1:1">
      <c r="A134">
        <f t="shared" si="18"/>
        <v>6</v>
      </c>
    </row>
    <row r="135" spans="1:1">
      <c r="A135">
        <f t="shared" si="18"/>
        <v>6</v>
      </c>
    </row>
    <row r="136" spans="1:1">
      <c r="A136">
        <f t="shared" si="18"/>
        <v>6</v>
      </c>
    </row>
    <row r="137" spans="1:1">
      <c r="A137">
        <f t="shared" si="18"/>
        <v>6</v>
      </c>
    </row>
    <row r="138" spans="1:1">
      <c r="A138">
        <f t="shared" si="18"/>
        <v>6</v>
      </c>
    </row>
    <row r="139" spans="1:1">
      <c r="A139">
        <f t="shared" si="18"/>
        <v>6</v>
      </c>
    </row>
    <row r="140" spans="1:1">
      <c r="A140">
        <f t="shared" ref="A140:A203" si="25">IF(B140=B139, A139, A139+1)</f>
        <v>6</v>
      </c>
    </row>
    <row r="141" spans="1:1">
      <c r="A141">
        <f t="shared" si="25"/>
        <v>6</v>
      </c>
    </row>
    <row r="142" spans="1:1">
      <c r="A142">
        <f t="shared" si="25"/>
        <v>6</v>
      </c>
    </row>
    <row r="143" spans="1:1">
      <c r="A143">
        <f t="shared" si="25"/>
        <v>6</v>
      </c>
    </row>
    <row r="144" spans="1:1">
      <c r="A144">
        <f t="shared" si="25"/>
        <v>6</v>
      </c>
    </row>
    <row r="145" spans="1:1">
      <c r="A145">
        <f t="shared" si="25"/>
        <v>6</v>
      </c>
    </row>
    <row r="146" spans="1:1">
      <c r="A146">
        <f t="shared" si="25"/>
        <v>6</v>
      </c>
    </row>
    <row r="147" spans="1:1">
      <c r="A147">
        <f t="shared" si="25"/>
        <v>6</v>
      </c>
    </row>
    <row r="148" spans="1:1">
      <c r="A148">
        <f t="shared" si="25"/>
        <v>6</v>
      </c>
    </row>
    <row r="149" spans="1:1">
      <c r="A149">
        <f t="shared" si="25"/>
        <v>6</v>
      </c>
    </row>
    <row r="150" spans="1:1">
      <c r="A150">
        <f t="shared" si="25"/>
        <v>6</v>
      </c>
    </row>
    <row r="151" spans="1:1">
      <c r="A151">
        <f t="shared" si="25"/>
        <v>6</v>
      </c>
    </row>
    <row r="152" spans="1:1">
      <c r="A152">
        <f t="shared" si="25"/>
        <v>6</v>
      </c>
    </row>
    <row r="153" spans="1:1">
      <c r="A153">
        <f t="shared" si="25"/>
        <v>6</v>
      </c>
    </row>
    <row r="154" spans="1:1">
      <c r="A154">
        <f t="shared" si="25"/>
        <v>6</v>
      </c>
    </row>
    <row r="155" spans="1:1">
      <c r="A155">
        <f t="shared" si="25"/>
        <v>6</v>
      </c>
    </row>
    <row r="156" spans="1:1">
      <c r="A156">
        <f t="shared" si="25"/>
        <v>6</v>
      </c>
    </row>
    <row r="157" spans="1:1">
      <c r="A157">
        <f t="shared" si="25"/>
        <v>6</v>
      </c>
    </row>
    <row r="158" spans="1:1">
      <c r="A158">
        <f t="shared" si="25"/>
        <v>6</v>
      </c>
    </row>
    <row r="159" spans="1:1">
      <c r="A159">
        <f t="shared" si="25"/>
        <v>6</v>
      </c>
    </row>
    <row r="160" spans="1:1">
      <c r="A160">
        <f t="shared" si="25"/>
        <v>6</v>
      </c>
    </row>
    <row r="161" spans="1:1">
      <c r="A161">
        <f t="shared" si="25"/>
        <v>6</v>
      </c>
    </row>
    <row r="162" spans="1:1">
      <c r="A162">
        <f t="shared" si="25"/>
        <v>6</v>
      </c>
    </row>
    <row r="163" spans="1:1">
      <c r="A163">
        <f t="shared" si="25"/>
        <v>6</v>
      </c>
    </row>
    <row r="164" spans="1:1">
      <c r="A164">
        <f t="shared" si="25"/>
        <v>6</v>
      </c>
    </row>
    <row r="165" spans="1:1">
      <c r="A165">
        <f t="shared" si="25"/>
        <v>6</v>
      </c>
    </row>
    <row r="166" spans="1:1">
      <c r="A166">
        <f t="shared" si="25"/>
        <v>6</v>
      </c>
    </row>
    <row r="167" spans="1:1">
      <c r="A167">
        <f t="shared" si="25"/>
        <v>6</v>
      </c>
    </row>
    <row r="168" spans="1:1">
      <c r="A168">
        <f t="shared" si="25"/>
        <v>6</v>
      </c>
    </row>
    <row r="169" spans="1:1">
      <c r="A169">
        <f t="shared" si="25"/>
        <v>6</v>
      </c>
    </row>
    <row r="170" spans="1:1">
      <c r="A170">
        <f t="shared" si="25"/>
        <v>6</v>
      </c>
    </row>
    <row r="171" spans="1:1">
      <c r="A171">
        <f t="shared" si="25"/>
        <v>6</v>
      </c>
    </row>
    <row r="172" spans="1:1">
      <c r="A172">
        <f t="shared" si="25"/>
        <v>6</v>
      </c>
    </row>
    <row r="173" spans="1:1">
      <c r="A173">
        <f t="shared" si="25"/>
        <v>6</v>
      </c>
    </row>
    <row r="174" spans="1:1">
      <c r="A174">
        <f t="shared" si="25"/>
        <v>6</v>
      </c>
    </row>
    <row r="175" spans="1:1">
      <c r="A175">
        <f t="shared" si="25"/>
        <v>6</v>
      </c>
    </row>
    <row r="176" spans="1:1">
      <c r="A176">
        <f t="shared" si="25"/>
        <v>6</v>
      </c>
    </row>
    <row r="177" spans="1:1">
      <c r="A177">
        <f t="shared" si="25"/>
        <v>6</v>
      </c>
    </row>
    <row r="178" spans="1:1">
      <c r="A178">
        <f t="shared" si="25"/>
        <v>6</v>
      </c>
    </row>
    <row r="179" spans="1:1">
      <c r="A179">
        <f t="shared" si="25"/>
        <v>6</v>
      </c>
    </row>
    <row r="180" spans="1:1">
      <c r="A180">
        <f t="shared" si="25"/>
        <v>6</v>
      </c>
    </row>
    <row r="181" spans="1:1">
      <c r="A181">
        <f t="shared" si="25"/>
        <v>6</v>
      </c>
    </row>
    <row r="182" spans="1:1">
      <c r="A182">
        <f t="shared" si="25"/>
        <v>6</v>
      </c>
    </row>
    <row r="183" spans="1:1">
      <c r="A183">
        <f t="shared" si="25"/>
        <v>6</v>
      </c>
    </row>
    <row r="184" spans="1:1">
      <c r="A184">
        <f t="shared" si="25"/>
        <v>6</v>
      </c>
    </row>
    <row r="185" spans="1:1">
      <c r="A185">
        <f t="shared" si="25"/>
        <v>6</v>
      </c>
    </row>
    <row r="186" spans="1:1">
      <c r="A186">
        <f t="shared" si="25"/>
        <v>6</v>
      </c>
    </row>
    <row r="187" spans="1:1">
      <c r="A187">
        <f t="shared" si="25"/>
        <v>6</v>
      </c>
    </row>
    <row r="188" spans="1:1">
      <c r="A188">
        <f t="shared" si="25"/>
        <v>6</v>
      </c>
    </row>
    <row r="189" spans="1:1">
      <c r="A189">
        <f t="shared" si="25"/>
        <v>6</v>
      </c>
    </row>
    <row r="190" spans="1:1">
      <c r="A190">
        <f t="shared" si="25"/>
        <v>6</v>
      </c>
    </row>
    <row r="191" spans="1:1">
      <c r="A191">
        <f t="shared" si="25"/>
        <v>6</v>
      </c>
    </row>
    <row r="192" spans="1:1">
      <c r="A192">
        <f t="shared" si="25"/>
        <v>6</v>
      </c>
    </row>
    <row r="193" spans="1:1">
      <c r="A193">
        <f t="shared" si="25"/>
        <v>6</v>
      </c>
    </row>
    <row r="194" spans="1:1">
      <c r="A194">
        <f t="shared" si="25"/>
        <v>6</v>
      </c>
    </row>
    <row r="195" spans="1:1">
      <c r="A195">
        <f t="shared" si="25"/>
        <v>6</v>
      </c>
    </row>
    <row r="196" spans="1:1">
      <c r="A196">
        <f t="shared" si="25"/>
        <v>6</v>
      </c>
    </row>
    <row r="197" spans="1:1">
      <c r="A197">
        <f t="shared" si="25"/>
        <v>6</v>
      </c>
    </row>
    <row r="198" spans="1:1">
      <c r="A198">
        <f t="shared" si="25"/>
        <v>6</v>
      </c>
    </row>
    <row r="199" spans="1:1">
      <c r="A199">
        <f t="shared" si="25"/>
        <v>6</v>
      </c>
    </row>
    <row r="200" spans="1:1">
      <c r="A200">
        <f t="shared" si="25"/>
        <v>6</v>
      </c>
    </row>
    <row r="201" spans="1:1">
      <c r="A201">
        <f t="shared" si="25"/>
        <v>6</v>
      </c>
    </row>
    <row r="202" spans="1:1">
      <c r="A202">
        <f t="shared" si="25"/>
        <v>6</v>
      </c>
    </row>
    <row r="203" spans="1:1">
      <c r="A203">
        <f t="shared" si="25"/>
        <v>6</v>
      </c>
    </row>
    <row r="204" spans="1:1">
      <c r="A204">
        <f t="shared" ref="A204:A267" si="26">IF(B204=B203, A203, A203+1)</f>
        <v>6</v>
      </c>
    </row>
    <row r="205" spans="1:1">
      <c r="A205">
        <f t="shared" si="26"/>
        <v>6</v>
      </c>
    </row>
    <row r="206" spans="1:1">
      <c r="A206">
        <f t="shared" si="26"/>
        <v>6</v>
      </c>
    </row>
    <row r="207" spans="1:1">
      <c r="A207">
        <f t="shared" si="26"/>
        <v>6</v>
      </c>
    </row>
    <row r="208" spans="1:1">
      <c r="A208">
        <f t="shared" si="26"/>
        <v>6</v>
      </c>
    </row>
    <row r="209" spans="1:1">
      <c r="A209">
        <f t="shared" si="26"/>
        <v>6</v>
      </c>
    </row>
    <row r="210" spans="1:1">
      <c r="A210">
        <f t="shared" si="26"/>
        <v>6</v>
      </c>
    </row>
    <row r="211" spans="1:1">
      <c r="A211">
        <f t="shared" si="26"/>
        <v>6</v>
      </c>
    </row>
    <row r="212" spans="1:1">
      <c r="A212">
        <f t="shared" si="26"/>
        <v>6</v>
      </c>
    </row>
    <row r="213" spans="1:1">
      <c r="A213">
        <f t="shared" si="26"/>
        <v>6</v>
      </c>
    </row>
    <row r="214" spans="1:1">
      <c r="A214">
        <f t="shared" si="26"/>
        <v>6</v>
      </c>
    </row>
    <row r="215" spans="1:1">
      <c r="A215">
        <f t="shared" si="26"/>
        <v>6</v>
      </c>
    </row>
    <row r="216" spans="1:1">
      <c r="A216">
        <f t="shared" si="26"/>
        <v>6</v>
      </c>
    </row>
    <row r="217" spans="1:1">
      <c r="A217">
        <f t="shared" si="26"/>
        <v>6</v>
      </c>
    </row>
    <row r="218" spans="1:1">
      <c r="A218">
        <f t="shared" si="26"/>
        <v>6</v>
      </c>
    </row>
    <row r="219" spans="1:1">
      <c r="A219">
        <f t="shared" si="26"/>
        <v>6</v>
      </c>
    </row>
    <row r="220" spans="1:1">
      <c r="A220">
        <f t="shared" si="26"/>
        <v>6</v>
      </c>
    </row>
    <row r="221" spans="1:1">
      <c r="A221">
        <f t="shared" si="26"/>
        <v>6</v>
      </c>
    </row>
    <row r="222" spans="1:1">
      <c r="A222">
        <f t="shared" si="26"/>
        <v>6</v>
      </c>
    </row>
    <row r="223" spans="1:1">
      <c r="A223">
        <f t="shared" si="26"/>
        <v>6</v>
      </c>
    </row>
    <row r="224" spans="1:1">
      <c r="A224">
        <f t="shared" si="26"/>
        <v>6</v>
      </c>
    </row>
    <row r="225" spans="1:1">
      <c r="A225">
        <f t="shared" si="26"/>
        <v>6</v>
      </c>
    </row>
    <row r="226" spans="1:1">
      <c r="A226">
        <f t="shared" si="26"/>
        <v>6</v>
      </c>
    </row>
    <row r="227" spans="1:1">
      <c r="A227">
        <f t="shared" si="26"/>
        <v>6</v>
      </c>
    </row>
    <row r="228" spans="1:1">
      <c r="A228">
        <f t="shared" si="26"/>
        <v>6</v>
      </c>
    </row>
    <row r="229" spans="1:1">
      <c r="A229">
        <f t="shared" si="26"/>
        <v>6</v>
      </c>
    </row>
    <row r="230" spans="1:1">
      <c r="A230">
        <f t="shared" si="26"/>
        <v>6</v>
      </c>
    </row>
    <row r="231" spans="1:1">
      <c r="A231">
        <f t="shared" si="26"/>
        <v>6</v>
      </c>
    </row>
    <row r="232" spans="1:1">
      <c r="A232">
        <f t="shared" si="26"/>
        <v>6</v>
      </c>
    </row>
    <row r="233" spans="1:1">
      <c r="A233">
        <f t="shared" si="26"/>
        <v>6</v>
      </c>
    </row>
    <row r="234" spans="1:1">
      <c r="A234">
        <f t="shared" si="26"/>
        <v>6</v>
      </c>
    </row>
    <row r="235" spans="1:1">
      <c r="A235">
        <f t="shared" si="26"/>
        <v>6</v>
      </c>
    </row>
    <row r="236" spans="1:1">
      <c r="A236">
        <f t="shared" si="26"/>
        <v>6</v>
      </c>
    </row>
    <row r="237" spans="1:1">
      <c r="A237">
        <f t="shared" si="26"/>
        <v>6</v>
      </c>
    </row>
    <row r="238" spans="1:1">
      <c r="A238">
        <f t="shared" si="26"/>
        <v>6</v>
      </c>
    </row>
    <row r="239" spans="1:1">
      <c r="A239">
        <f t="shared" si="26"/>
        <v>6</v>
      </c>
    </row>
    <row r="240" spans="1:1">
      <c r="A240">
        <f t="shared" si="26"/>
        <v>6</v>
      </c>
    </row>
    <row r="241" spans="1:1">
      <c r="A241">
        <f t="shared" si="26"/>
        <v>6</v>
      </c>
    </row>
    <row r="242" spans="1:1">
      <c r="A242">
        <f t="shared" si="26"/>
        <v>6</v>
      </c>
    </row>
    <row r="243" spans="1:1">
      <c r="A243">
        <f t="shared" si="26"/>
        <v>6</v>
      </c>
    </row>
    <row r="244" spans="1:1">
      <c r="A244">
        <f t="shared" si="26"/>
        <v>6</v>
      </c>
    </row>
    <row r="245" spans="1:1">
      <c r="A245">
        <f t="shared" si="26"/>
        <v>6</v>
      </c>
    </row>
    <row r="246" spans="1:1">
      <c r="A246">
        <f t="shared" si="26"/>
        <v>6</v>
      </c>
    </row>
    <row r="247" spans="1:1">
      <c r="A247">
        <f t="shared" si="26"/>
        <v>6</v>
      </c>
    </row>
    <row r="248" spans="1:1">
      <c r="A248">
        <f t="shared" si="26"/>
        <v>6</v>
      </c>
    </row>
    <row r="249" spans="1:1">
      <c r="A249">
        <f t="shared" si="26"/>
        <v>6</v>
      </c>
    </row>
    <row r="250" spans="1:1">
      <c r="A250">
        <f t="shared" si="26"/>
        <v>6</v>
      </c>
    </row>
    <row r="251" spans="1:1">
      <c r="A251">
        <f t="shared" si="26"/>
        <v>6</v>
      </c>
    </row>
    <row r="252" spans="1:1">
      <c r="A252">
        <f t="shared" si="26"/>
        <v>6</v>
      </c>
    </row>
    <row r="253" spans="1:1">
      <c r="A253">
        <f t="shared" si="26"/>
        <v>6</v>
      </c>
    </row>
    <row r="254" spans="1:1">
      <c r="A254">
        <f t="shared" si="26"/>
        <v>6</v>
      </c>
    </row>
    <row r="255" spans="1:1">
      <c r="A255">
        <f t="shared" si="26"/>
        <v>6</v>
      </c>
    </row>
    <row r="256" spans="1:1">
      <c r="A256">
        <f t="shared" si="26"/>
        <v>6</v>
      </c>
    </row>
    <row r="257" spans="1:1">
      <c r="A257">
        <f t="shared" si="26"/>
        <v>6</v>
      </c>
    </row>
    <row r="258" spans="1:1">
      <c r="A258">
        <f t="shared" si="26"/>
        <v>6</v>
      </c>
    </row>
    <row r="259" spans="1:1">
      <c r="A259">
        <f t="shared" si="26"/>
        <v>6</v>
      </c>
    </row>
    <row r="260" spans="1:1">
      <c r="A260">
        <f t="shared" si="26"/>
        <v>6</v>
      </c>
    </row>
    <row r="261" spans="1:1">
      <c r="A261">
        <f t="shared" si="26"/>
        <v>6</v>
      </c>
    </row>
    <row r="262" spans="1:1">
      <c r="A262">
        <f t="shared" si="26"/>
        <v>6</v>
      </c>
    </row>
    <row r="263" spans="1:1">
      <c r="A263">
        <f t="shared" si="26"/>
        <v>6</v>
      </c>
    </row>
    <row r="264" spans="1:1">
      <c r="A264">
        <f t="shared" si="26"/>
        <v>6</v>
      </c>
    </row>
    <row r="265" spans="1:1">
      <c r="A265">
        <f t="shared" si="26"/>
        <v>6</v>
      </c>
    </row>
    <row r="266" spans="1:1">
      <c r="A266">
        <f t="shared" si="26"/>
        <v>6</v>
      </c>
    </row>
    <row r="267" spans="1:1">
      <c r="A267">
        <f t="shared" si="26"/>
        <v>6</v>
      </c>
    </row>
    <row r="268" spans="1:1">
      <c r="A268">
        <f t="shared" ref="A268:A331" si="27">IF(B268=B267, A267, A267+1)</f>
        <v>6</v>
      </c>
    </row>
    <row r="269" spans="1:1">
      <c r="A269">
        <f t="shared" si="27"/>
        <v>6</v>
      </c>
    </row>
    <row r="270" spans="1:1">
      <c r="A270">
        <f t="shared" si="27"/>
        <v>6</v>
      </c>
    </row>
    <row r="271" spans="1:1">
      <c r="A271">
        <f t="shared" si="27"/>
        <v>6</v>
      </c>
    </row>
    <row r="272" spans="1:1">
      <c r="A272">
        <f t="shared" si="27"/>
        <v>6</v>
      </c>
    </row>
    <row r="273" spans="1:1">
      <c r="A273">
        <f t="shared" si="27"/>
        <v>6</v>
      </c>
    </row>
    <row r="274" spans="1:1">
      <c r="A274">
        <f t="shared" si="27"/>
        <v>6</v>
      </c>
    </row>
    <row r="275" spans="1:1">
      <c r="A275">
        <f t="shared" si="27"/>
        <v>6</v>
      </c>
    </row>
    <row r="276" spans="1:1">
      <c r="A276">
        <f t="shared" si="27"/>
        <v>6</v>
      </c>
    </row>
    <row r="277" spans="1:1">
      <c r="A277">
        <f t="shared" si="27"/>
        <v>6</v>
      </c>
    </row>
    <row r="278" spans="1:1">
      <c r="A278">
        <f t="shared" si="27"/>
        <v>6</v>
      </c>
    </row>
    <row r="279" spans="1:1">
      <c r="A279">
        <f t="shared" si="27"/>
        <v>6</v>
      </c>
    </row>
    <row r="280" spans="1:1">
      <c r="A280">
        <f t="shared" si="27"/>
        <v>6</v>
      </c>
    </row>
    <row r="281" spans="1:1">
      <c r="A281">
        <f t="shared" si="27"/>
        <v>6</v>
      </c>
    </row>
    <row r="282" spans="1:1">
      <c r="A282">
        <f t="shared" si="27"/>
        <v>6</v>
      </c>
    </row>
    <row r="283" spans="1:1">
      <c r="A283">
        <f t="shared" si="27"/>
        <v>6</v>
      </c>
    </row>
    <row r="284" spans="1:1">
      <c r="A284">
        <f t="shared" si="27"/>
        <v>6</v>
      </c>
    </row>
    <row r="285" spans="1:1">
      <c r="A285">
        <f t="shared" si="27"/>
        <v>6</v>
      </c>
    </row>
    <row r="286" spans="1:1">
      <c r="A286">
        <f t="shared" si="27"/>
        <v>6</v>
      </c>
    </row>
    <row r="287" spans="1:1">
      <c r="A287">
        <f t="shared" si="27"/>
        <v>6</v>
      </c>
    </row>
    <row r="288" spans="1:1">
      <c r="A288">
        <f t="shared" si="27"/>
        <v>6</v>
      </c>
    </row>
    <row r="289" spans="1:1">
      <c r="A289">
        <f t="shared" si="27"/>
        <v>6</v>
      </c>
    </row>
    <row r="290" spans="1:1">
      <c r="A290">
        <f t="shared" si="27"/>
        <v>6</v>
      </c>
    </row>
    <row r="291" spans="1:1">
      <c r="A291">
        <f t="shared" si="27"/>
        <v>6</v>
      </c>
    </row>
    <row r="292" spans="1:1">
      <c r="A292">
        <f t="shared" si="27"/>
        <v>6</v>
      </c>
    </row>
    <row r="293" spans="1:1">
      <c r="A293">
        <f t="shared" si="27"/>
        <v>6</v>
      </c>
    </row>
    <row r="294" spans="1:1">
      <c r="A294">
        <f t="shared" si="27"/>
        <v>6</v>
      </c>
    </row>
    <row r="295" spans="1:1">
      <c r="A295">
        <f t="shared" si="27"/>
        <v>6</v>
      </c>
    </row>
    <row r="296" spans="1:1">
      <c r="A296">
        <f t="shared" si="27"/>
        <v>6</v>
      </c>
    </row>
    <row r="297" spans="1:1">
      <c r="A297">
        <f t="shared" si="27"/>
        <v>6</v>
      </c>
    </row>
    <row r="298" spans="1:1">
      <c r="A298">
        <f t="shared" si="27"/>
        <v>6</v>
      </c>
    </row>
    <row r="299" spans="1:1">
      <c r="A299">
        <f t="shared" si="27"/>
        <v>6</v>
      </c>
    </row>
    <row r="300" spans="1:1">
      <c r="A300">
        <f t="shared" si="27"/>
        <v>6</v>
      </c>
    </row>
    <row r="301" spans="1:1">
      <c r="A301">
        <f t="shared" si="27"/>
        <v>6</v>
      </c>
    </row>
    <row r="302" spans="1:1">
      <c r="A302">
        <f t="shared" si="27"/>
        <v>6</v>
      </c>
    </row>
    <row r="303" spans="1:1">
      <c r="A303">
        <f t="shared" si="27"/>
        <v>6</v>
      </c>
    </row>
    <row r="304" spans="1:1">
      <c r="A304">
        <f t="shared" si="27"/>
        <v>6</v>
      </c>
    </row>
    <row r="305" spans="1:1">
      <c r="A305">
        <f t="shared" si="27"/>
        <v>6</v>
      </c>
    </row>
    <row r="306" spans="1:1">
      <c r="A306">
        <f t="shared" si="27"/>
        <v>6</v>
      </c>
    </row>
    <row r="307" spans="1:1">
      <c r="A307">
        <f t="shared" si="27"/>
        <v>6</v>
      </c>
    </row>
    <row r="308" spans="1:1">
      <c r="A308">
        <f t="shared" si="27"/>
        <v>6</v>
      </c>
    </row>
    <row r="309" spans="1:1">
      <c r="A309">
        <f t="shared" si="27"/>
        <v>6</v>
      </c>
    </row>
    <row r="310" spans="1:1">
      <c r="A310">
        <f t="shared" si="27"/>
        <v>6</v>
      </c>
    </row>
    <row r="311" spans="1:1">
      <c r="A311">
        <f t="shared" si="27"/>
        <v>6</v>
      </c>
    </row>
    <row r="312" spans="1:1">
      <c r="A312">
        <f t="shared" si="27"/>
        <v>6</v>
      </c>
    </row>
    <row r="313" spans="1:1">
      <c r="A313">
        <f t="shared" si="27"/>
        <v>6</v>
      </c>
    </row>
    <row r="314" spans="1:1">
      <c r="A314">
        <f t="shared" si="27"/>
        <v>6</v>
      </c>
    </row>
    <row r="315" spans="1:1">
      <c r="A315">
        <f t="shared" si="27"/>
        <v>6</v>
      </c>
    </row>
    <row r="316" spans="1:1">
      <c r="A316">
        <f t="shared" si="27"/>
        <v>6</v>
      </c>
    </row>
    <row r="317" spans="1:1">
      <c r="A317">
        <f t="shared" si="27"/>
        <v>6</v>
      </c>
    </row>
    <row r="318" spans="1:1">
      <c r="A318">
        <f t="shared" si="27"/>
        <v>6</v>
      </c>
    </row>
    <row r="319" spans="1:1">
      <c r="A319">
        <f t="shared" si="27"/>
        <v>6</v>
      </c>
    </row>
    <row r="320" spans="1:1">
      <c r="A320">
        <f t="shared" si="27"/>
        <v>6</v>
      </c>
    </row>
    <row r="321" spans="1:1">
      <c r="A321">
        <f t="shared" si="27"/>
        <v>6</v>
      </c>
    </row>
    <row r="322" spans="1:1">
      <c r="A322">
        <f t="shared" si="27"/>
        <v>6</v>
      </c>
    </row>
    <row r="323" spans="1:1">
      <c r="A323">
        <f t="shared" si="27"/>
        <v>6</v>
      </c>
    </row>
    <row r="324" spans="1:1">
      <c r="A324">
        <f t="shared" si="27"/>
        <v>6</v>
      </c>
    </row>
    <row r="325" spans="1:1">
      <c r="A325">
        <f t="shared" si="27"/>
        <v>6</v>
      </c>
    </row>
    <row r="326" spans="1:1">
      <c r="A326">
        <f t="shared" si="27"/>
        <v>6</v>
      </c>
    </row>
    <row r="327" spans="1:1">
      <c r="A327">
        <f t="shared" si="27"/>
        <v>6</v>
      </c>
    </row>
    <row r="328" spans="1:1">
      <c r="A328">
        <f t="shared" si="27"/>
        <v>6</v>
      </c>
    </row>
    <row r="329" spans="1:1">
      <c r="A329">
        <f t="shared" si="27"/>
        <v>6</v>
      </c>
    </row>
    <row r="330" spans="1:1">
      <c r="A330">
        <f t="shared" si="27"/>
        <v>6</v>
      </c>
    </row>
    <row r="331" spans="1:1">
      <c r="A331">
        <f t="shared" si="27"/>
        <v>6</v>
      </c>
    </row>
    <row r="332" spans="1:1">
      <c r="A332">
        <f t="shared" ref="A332:A395" si="28">IF(B332=B331, A331, A331+1)</f>
        <v>6</v>
      </c>
    </row>
    <row r="333" spans="1:1">
      <c r="A333">
        <f t="shared" si="28"/>
        <v>6</v>
      </c>
    </row>
    <row r="334" spans="1:1">
      <c r="A334">
        <f t="shared" si="28"/>
        <v>6</v>
      </c>
    </row>
    <row r="335" spans="1:1">
      <c r="A335">
        <f t="shared" si="28"/>
        <v>6</v>
      </c>
    </row>
    <row r="336" spans="1:1">
      <c r="A336">
        <f t="shared" si="28"/>
        <v>6</v>
      </c>
    </row>
    <row r="337" spans="1:1">
      <c r="A337">
        <f t="shared" si="28"/>
        <v>6</v>
      </c>
    </row>
    <row r="338" spans="1:1">
      <c r="A338">
        <f t="shared" si="28"/>
        <v>6</v>
      </c>
    </row>
    <row r="339" spans="1:1">
      <c r="A339">
        <f t="shared" si="28"/>
        <v>6</v>
      </c>
    </row>
    <row r="340" spans="1:1">
      <c r="A340">
        <f t="shared" si="28"/>
        <v>6</v>
      </c>
    </row>
    <row r="341" spans="1:1">
      <c r="A341">
        <f t="shared" si="28"/>
        <v>6</v>
      </c>
    </row>
    <row r="342" spans="1:1">
      <c r="A342">
        <f t="shared" si="28"/>
        <v>6</v>
      </c>
    </row>
    <row r="343" spans="1:1">
      <c r="A343">
        <f t="shared" si="28"/>
        <v>6</v>
      </c>
    </row>
    <row r="344" spans="1:1">
      <c r="A344">
        <f t="shared" si="28"/>
        <v>6</v>
      </c>
    </row>
    <row r="345" spans="1:1">
      <c r="A345">
        <f t="shared" si="28"/>
        <v>6</v>
      </c>
    </row>
    <row r="346" spans="1:1">
      <c r="A346">
        <f t="shared" si="28"/>
        <v>6</v>
      </c>
    </row>
    <row r="347" spans="1:1">
      <c r="A347">
        <f t="shared" si="28"/>
        <v>6</v>
      </c>
    </row>
    <row r="348" spans="1:1">
      <c r="A348">
        <f t="shared" si="28"/>
        <v>6</v>
      </c>
    </row>
    <row r="349" spans="1:1">
      <c r="A349">
        <f t="shared" si="28"/>
        <v>6</v>
      </c>
    </row>
    <row r="350" spans="1:1">
      <c r="A350">
        <f t="shared" si="28"/>
        <v>6</v>
      </c>
    </row>
    <row r="351" spans="1:1">
      <c r="A351">
        <f t="shared" si="28"/>
        <v>6</v>
      </c>
    </row>
    <row r="352" spans="1:1">
      <c r="A352">
        <f t="shared" si="28"/>
        <v>6</v>
      </c>
    </row>
    <row r="353" spans="1:1">
      <c r="A353">
        <f t="shared" si="28"/>
        <v>6</v>
      </c>
    </row>
    <row r="354" spans="1:1">
      <c r="A354">
        <f t="shared" si="28"/>
        <v>6</v>
      </c>
    </row>
    <row r="355" spans="1:1">
      <c r="A355">
        <f t="shared" si="28"/>
        <v>6</v>
      </c>
    </row>
    <row r="356" spans="1:1">
      <c r="A356">
        <f t="shared" si="28"/>
        <v>6</v>
      </c>
    </row>
    <row r="357" spans="1:1">
      <c r="A357">
        <f t="shared" si="28"/>
        <v>6</v>
      </c>
    </row>
    <row r="358" spans="1:1">
      <c r="A358">
        <f t="shared" si="28"/>
        <v>6</v>
      </c>
    </row>
    <row r="359" spans="1:1">
      <c r="A359">
        <f t="shared" si="28"/>
        <v>6</v>
      </c>
    </row>
    <row r="360" spans="1:1">
      <c r="A360">
        <f t="shared" si="28"/>
        <v>6</v>
      </c>
    </row>
    <row r="361" spans="1:1">
      <c r="A361">
        <f t="shared" si="28"/>
        <v>6</v>
      </c>
    </row>
    <row r="362" spans="1:1">
      <c r="A362">
        <f t="shared" si="28"/>
        <v>6</v>
      </c>
    </row>
    <row r="363" spans="1:1">
      <c r="A363">
        <f t="shared" si="28"/>
        <v>6</v>
      </c>
    </row>
    <row r="364" spans="1:1">
      <c r="A364">
        <f t="shared" si="28"/>
        <v>6</v>
      </c>
    </row>
    <row r="365" spans="1:1">
      <c r="A365">
        <f t="shared" si="28"/>
        <v>6</v>
      </c>
    </row>
    <row r="366" spans="1:1">
      <c r="A366">
        <f t="shared" si="28"/>
        <v>6</v>
      </c>
    </row>
    <row r="367" spans="1:1">
      <c r="A367">
        <f t="shared" si="28"/>
        <v>6</v>
      </c>
    </row>
    <row r="368" spans="1:1">
      <c r="A368">
        <f t="shared" si="28"/>
        <v>6</v>
      </c>
    </row>
    <row r="369" spans="1:1">
      <c r="A369">
        <f t="shared" si="28"/>
        <v>6</v>
      </c>
    </row>
    <row r="370" spans="1:1">
      <c r="A370">
        <f t="shared" si="28"/>
        <v>6</v>
      </c>
    </row>
    <row r="371" spans="1:1">
      <c r="A371">
        <f t="shared" si="28"/>
        <v>6</v>
      </c>
    </row>
    <row r="372" spans="1:1">
      <c r="A372">
        <f t="shared" si="28"/>
        <v>6</v>
      </c>
    </row>
    <row r="373" spans="1:1">
      <c r="A373">
        <f t="shared" si="28"/>
        <v>6</v>
      </c>
    </row>
    <row r="374" spans="1:1">
      <c r="A374">
        <f t="shared" si="28"/>
        <v>6</v>
      </c>
    </row>
    <row r="375" spans="1:1">
      <c r="A375">
        <f t="shared" si="28"/>
        <v>6</v>
      </c>
    </row>
    <row r="376" spans="1:1">
      <c r="A376">
        <f t="shared" si="28"/>
        <v>6</v>
      </c>
    </row>
    <row r="377" spans="1:1">
      <c r="A377">
        <f t="shared" si="28"/>
        <v>6</v>
      </c>
    </row>
    <row r="378" spans="1:1">
      <c r="A378">
        <f t="shared" si="28"/>
        <v>6</v>
      </c>
    </row>
    <row r="379" spans="1:1">
      <c r="A379">
        <f t="shared" si="28"/>
        <v>6</v>
      </c>
    </row>
    <row r="380" spans="1:1">
      <c r="A380">
        <f t="shared" si="28"/>
        <v>6</v>
      </c>
    </row>
    <row r="381" spans="1:1">
      <c r="A381">
        <f t="shared" si="28"/>
        <v>6</v>
      </c>
    </row>
    <row r="382" spans="1:1">
      <c r="A382">
        <f t="shared" si="28"/>
        <v>6</v>
      </c>
    </row>
    <row r="383" spans="1:1">
      <c r="A383">
        <f t="shared" si="28"/>
        <v>6</v>
      </c>
    </row>
    <row r="384" spans="1:1">
      <c r="A384">
        <f t="shared" si="28"/>
        <v>6</v>
      </c>
    </row>
    <row r="385" spans="1:1">
      <c r="A385">
        <f t="shared" si="28"/>
        <v>6</v>
      </c>
    </row>
    <row r="386" spans="1:1">
      <c r="A386">
        <f t="shared" si="28"/>
        <v>6</v>
      </c>
    </row>
    <row r="387" spans="1:1">
      <c r="A387">
        <f t="shared" si="28"/>
        <v>6</v>
      </c>
    </row>
    <row r="388" spans="1:1">
      <c r="A388">
        <f t="shared" si="28"/>
        <v>6</v>
      </c>
    </row>
    <row r="389" spans="1:1">
      <c r="A389">
        <f t="shared" si="28"/>
        <v>6</v>
      </c>
    </row>
    <row r="390" spans="1:1">
      <c r="A390">
        <f t="shared" si="28"/>
        <v>6</v>
      </c>
    </row>
    <row r="391" spans="1:1">
      <c r="A391">
        <f t="shared" si="28"/>
        <v>6</v>
      </c>
    </row>
    <row r="392" spans="1:1">
      <c r="A392">
        <f t="shared" si="28"/>
        <v>6</v>
      </c>
    </row>
    <row r="393" spans="1:1">
      <c r="A393">
        <f t="shared" si="28"/>
        <v>6</v>
      </c>
    </row>
    <row r="394" spans="1:1">
      <c r="A394">
        <f t="shared" si="28"/>
        <v>6</v>
      </c>
    </row>
    <row r="395" spans="1:1">
      <c r="A395">
        <f t="shared" si="28"/>
        <v>6</v>
      </c>
    </row>
    <row r="396" spans="1:1">
      <c r="A396">
        <f t="shared" ref="A396:A459" si="29">IF(B396=B395, A395, A395+1)</f>
        <v>6</v>
      </c>
    </row>
    <row r="397" spans="1:1">
      <c r="A397">
        <f t="shared" si="29"/>
        <v>6</v>
      </c>
    </row>
    <row r="398" spans="1:1">
      <c r="A398">
        <f t="shared" si="29"/>
        <v>6</v>
      </c>
    </row>
    <row r="399" spans="1:1">
      <c r="A399">
        <f t="shared" si="29"/>
        <v>6</v>
      </c>
    </row>
    <row r="400" spans="1:1">
      <c r="A400">
        <f t="shared" si="29"/>
        <v>6</v>
      </c>
    </row>
    <row r="401" spans="1:1">
      <c r="A401">
        <f t="shared" si="29"/>
        <v>6</v>
      </c>
    </row>
    <row r="402" spans="1:1">
      <c r="A402">
        <f t="shared" si="29"/>
        <v>6</v>
      </c>
    </row>
    <row r="403" spans="1:1">
      <c r="A403">
        <f t="shared" si="29"/>
        <v>6</v>
      </c>
    </row>
    <row r="404" spans="1:1">
      <c r="A404">
        <f t="shared" si="29"/>
        <v>6</v>
      </c>
    </row>
    <row r="405" spans="1:1">
      <c r="A405">
        <f t="shared" si="29"/>
        <v>6</v>
      </c>
    </row>
    <row r="406" spans="1:1">
      <c r="A406">
        <f t="shared" si="29"/>
        <v>6</v>
      </c>
    </row>
    <row r="407" spans="1:1">
      <c r="A407">
        <f t="shared" si="29"/>
        <v>6</v>
      </c>
    </row>
    <row r="408" spans="1:1">
      <c r="A408">
        <f t="shared" si="29"/>
        <v>6</v>
      </c>
    </row>
    <row r="409" spans="1:1">
      <c r="A409">
        <f t="shared" si="29"/>
        <v>6</v>
      </c>
    </row>
    <row r="410" spans="1:1">
      <c r="A410">
        <f t="shared" si="29"/>
        <v>6</v>
      </c>
    </row>
    <row r="411" spans="1:1">
      <c r="A411">
        <f t="shared" si="29"/>
        <v>6</v>
      </c>
    </row>
    <row r="412" spans="1:1">
      <c r="A412">
        <f t="shared" si="29"/>
        <v>6</v>
      </c>
    </row>
    <row r="413" spans="1:1">
      <c r="A413">
        <f t="shared" si="29"/>
        <v>6</v>
      </c>
    </row>
    <row r="414" spans="1:1">
      <c r="A414">
        <f t="shared" si="29"/>
        <v>6</v>
      </c>
    </row>
    <row r="415" spans="1:1">
      <c r="A415">
        <f t="shared" si="29"/>
        <v>6</v>
      </c>
    </row>
    <row r="416" spans="1:1">
      <c r="A416">
        <f t="shared" si="29"/>
        <v>6</v>
      </c>
    </row>
    <row r="417" spans="1:1">
      <c r="A417">
        <f t="shared" si="29"/>
        <v>6</v>
      </c>
    </row>
    <row r="418" spans="1:1">
      <c r="A418">
        <f t="shared" si="29"/>
        <v>6</v>
      </c>
    </row>
    <row r="419" spans="1:1">
      <c r="A419">
        <f t="shared" si="29"/>
        <v>6</v>
      </c>
    </row>
    <row r="420" spans="1:1">
      <c r="A420">
        <f t="shared" si="29"/>
        <v>6</v>
      </c>
    </row>
    <row r="421" spans="1:1">
      <c r="A421">
        <f t="shared" si="29"/>
        <v>6</v>
      </c>
    </row>
    <row r="422" spans="1:1">
      <c r="A422">
        <f t="shared" si="29"/>
        <v>6</v>
      </c>
    </row>
    <row r="423" spans="1:1">
      <c r="A423">
        <f t="shared" si="29"/>
        <v>6</v>
      </c>
    </row>
    <row r="424" spans="1:1">
      <c r="A424">
        <f t="shared" si="29"/>
        <v>6</v>
      </c>
    </row>
    <row r="425" spans="1:1">
      <c r="A425">
        <f t="shared" si="29"/>
        <v>6</v>
      </c>
    </row>
    <row r="426" spans="1:1">
      <c r="A426">
        <f t="shared" si="29"/>
        <v>6</v>
      </c>
    </row>
    <row r="427" spans="1:1">
      <c r="A427">
        <f t="shared" si="29"/>
        <v>6</v>
      </c>
    </row>
    <row r="428" spans="1:1">
      <c r="A428">
        <f t="shared" si="29"/>
        <v>6</v>
      </c>
    </row>
    <row r="429" spans="1:1">
      <c r="A429">
        <f t="shared" si="29"/>
        <v>6</v>
      </c>
    </row>
    <row r="430" spans="1:1">
      <c r="A430">
        <f t="shared" si="29"/>
        <v>6</v>
      </c>
    </row>
    <row r="431" spans="1:1">
      <c r="A431">
        <f t="shared" si="29"/>
        <v>6</v>
      </c>
    </row>
    <row r="432" spans="1:1">
      <c r="A432">
        <f t="shared" si="29"/>
        <v>6</v>
      </c>
    </row>
    <row r="433" spans="1:1">
      <c r="A433">
        <f t="shared" si="29"/>
        <v>6</v>
      </c>
    </row>
    <row r="434" spans="1:1">
      <c r="A434">
        <f t="shared" si="29"/>
        <v>6</v>
      </c>
    </row>
    <row r="435" spans="1:1">
      <c r="A435">
        <f t="shared" si="29"/>
        <v>6</v>
      </c>
    </row>
    <row r="436" spans="1:1">
      <c r="A436">
        <f t="shared" si="29"/>
        <v>6</v>
      </c>
    </row>
    <row r="437" spans="1:1">
      <c r="A437">
        <f t="shared" si="29"/>
        <v>6</v>
      </c>
    </row>
    <row r="438" spans="1:1">
      <c r="A438">
        <f t="shared" si="29"/>
        <v>6</v>
      </c>
    </row>
    <row r="439" spans="1:1">
      <c r="A439">
        <f t="shared" si="29"/>
        <v>6</v>
      </c>
    </row>
    <row r="440" spans="1:1">
      <c r="A440">
        <f t="shared" si="29"/>
        <v>6</v>
      </c>
    </row>
    <row r="441" spans="1:1">
      <c r="A441">
        <f t="shared" si="29"/>
        <v>6</v>
      </c>
    </row>
    <row r="442" spans="1:1">
      <c r="A442">
        <f t="shared" si="29"/>
        <v>6</v>
      </c>
    </row>
    <row r="443" spans="1:1">
      <c r="A443">
        <f t="shared" si="29"/>
        <v>6</v>
      </c>
    </row>
    <row r="444" spans="1:1">
      <c r="A444">
        <f t="shared" si="29"/>
        <v>6</v>
      </c>
    </row>
    <row r="445" spans="1:1">
      <c r="A445">
        <f t="shared" si="29"/>
        <v>6</v>
      </c>
    </row>
    <row r="446" spans="1:1">
      <c r="A446">
        <f t="shared" si="29"/>
        <v>6</v>
      </c>
    </row>
    <row r="447" spans="1:1">
      <c r="A447">
        <f t="shared" si="29"/>
        <v>6</v>
      </c>
    </row>
    <row r="448" spans="1:1">
      <c r="A448">
        <f t="shared" si="29"/>
        <v>6</v>
      </c>
    </row>
    <row r="449" spans="1:1">
      <c r="A449">
        <f t="shared" si="29"/>
        <v>6</v>
      </c>
    </row>
    <row r="450" spans="1:1">
      <c r="A450">
        <f t="shared" si="29"/>
        <v>6</v>
      </c>
    </row>
    <row r="451" spans="1:1">
      <c r="A451">
        <f t="shared" si="29"/>
        <v>6</v>
      </c>
    </row>
    <row r="452" spans="1:1">
      <c r="A452">
        <f t="shared" si="29"/>
        <v>6</v>
      </c>
    </row>
    <row r="453" spans="1:1">
      <c r="A453">
        <f t="shared" si="29"/>
        <v>6</v>
      </c>
    </row>
    <row r="454" spans="1:1">
      <c r="A454">
        <f t="shared" si="29"/>
        <v>6</v>
      </c>
    </row>
    <row r="455" spans="1:1">
      <c r="A455">
        <f t="shared" si="29"/>
        <v>6</v>
      </c>
    </row>
    <row r="456" spans="1:1">
      <c r="A456">
        <f t="shared" si="29"/>
        <v>6</v>
      </c>
    </row>
    <row r="457" spans="1:1">
      <c r="A457">
        <f t="shared" si="29"/>
        <v>6</v>
      </c>
    </row>
    <row r="458" spans="1:1">
      <c r="A458">
        <f t="shared" si="29"/>
        <v>6</v>
      </c>
    </row>
    <row r="459" spans="1:1">
      <c r="A459">
        <f t="shared" si="29"/>
        <v>6</v>
      </c>
    </row>
    <row r="460" spans="1:1">
      <c r="A460">
        <f t="shared" ref="A460:A505" si="30">IF(B460=B459, A459, A459+1)</f>
        <v>6</v>
      </c>
    </row>
    <row r="461" spans="1:1">
      <c r="A461">
        <f t="shared" si="30"/>
        <v>6</v>
      </c>
    </row>
    <row r="462" spans="1:1">
      <c r="A462">
        <f t="shared" si="30"/>
        <v>6</v>
      </c>
    </row>
    <row r="463" spans="1:1">
      <c r="A463">
        <f t="shared" si="30"/>
        <v>6</v>
      </c>
    </row>
    <row r="464" spans="1:1">
      <c r="A464">
        <f t="shared" si="30"/>
        <v>6</v>
      </c>
    </row>
    <row r="465" spans="1:1">
      <c r="A465">
        <f t="shared" si="30"/>
        <v>6</v>
      </c>
    </row>
    <row r="466" spans="1:1">
      <c r="A466">
        <f t="shared" si="30"/>
        <v>6</v>
      </c>
    </row>
    <row r="467" spans="1:1">
      <c r="A467">
        <f t="shared" si="30"/>
        <v>6</v>
      </c>
    </row>
    <row r="468" spans="1:1">
      <c r="A468">
        <f t="shared" si="30"/>
        <v>6</v>
      </c>
    </row>
    <row r="469" spans="1:1">
      <c r="A469">
        <f t="shared" si="30"/>
        <v>6</v>
      </c>
    </row>
    <row r="470" spans="1:1">
      <c r="A470">
        <f t="shared" si="30"/>
        <v>6</v>
      </c>
    </row>
    <row r="471" spans="1:1">
      <c r="A471">
        <f t="shared" si="30"/>
        <v>6</v>
      </c>
    </row>
    <row r="472" spans="1:1">
      <c r="A472">
        <f t="shared" si="30"/>
        <v>6</v>
      </c>
    </row>
    <row r="473" spans="1:1">
      <c r="A473">
        <f t="shared" si="30"/>
        <v>6</v>
      </c>
    </row>
    <row r="474" spans="1:1">
      <c r="A474">
        <f t="shared" si="30"/>
        <v>6</v>
      </c>
    </row>
    <row r="475" spans="1:1">
      <c r="A475">
        <f t="shared" si="30"/>
        <v>6</v>
      </c>
    </row>
    <row r="476" spans="1:1">
      <c r="A476">
        <f t="shared" si="30"/>
        <v>6</v>
      </c>
    </row>
    <row r="477" spans="1:1">
      <c r="A477">
        <f t="shared" si="30"/>
        <v>6</v>
      </c>
    </row>
    <row r="478" spans="1:1">
      <c r="A478">
        <f t="shared" si="30"/>
        <v>6</v>
      </c>
    </row>
    <row r="479" spans="1:1">
      <c r="A479">
        <f t="shared" si="30"/>
        <v>6</v>
      </c>
    </row>
    <row r="480" spans="1:1">
      <c r="A480">
        <f t="shared" si="30"/>
        <v>6</v>
      </c>
    </row>
    <row r="481" spans="1:1">
      <c r="A481">
        <f t="shared" si="30"/>
        <v>6</v>
      </c>
    </row>
    <row r="482" spans="1:1">
      <c r="A482">
        <f t="shared" si="30"/>
        <v>6</v>
      </c>
    </row>
    <row r="483" spans="1:1">
      <c r="A483">
        <f t="shared" si="30"/>
        <v>6</v>
      </c>
    </row>
    <row r="484" spans="1:1">
      <c r="A484">
        <f t="shared" si="30"/>
        <v>6</v>
      </c>
    </row>
    <row r="485" spans="1:1">
      <c r="A485">
        <f t="shared" si="30"/>
        <v>6</v>
      </c>
    </row>
    <row r="486" spans="1:1">
      <c r="A486">
        <f t="shared" si="30"/>
        <v>6</v>
      </c>
    </row>
    <row r="487" spans="1:1">
      <c r="A487">
        <f t="shared" si="30"/>
        <v>6</v>
      </c>
    </row>
    <row r="488" spans="1:1">
      <c r="A488">
        <f t="shared" si="30"/>
        <v>6</v>
      </c>
    </row>
    <row r="489" spans="1:1">
      <c r="A489">
        <f t="shared" si="30"/>
        <v>6</v>
      </c>
    </row>
    <row r="490" spans="1:1">
      <c r="A490">
        <f t="shared" si="30"/>
        <v>6</v>
      </c>
    </row>
    <row r="491" spans="1:1">
      <c r="A491">
        <f t="shared" si="30"/>
        <v>6</v>
      </c>
    </row>
    <row r="492" spans="1:1">
      <c r="A492">
        <f t="shared" si="30"/>
        <v>6</v>
      </c>
    </row>
    <row r="493" spans="1:1">
      <c r="A493">
        <f t="shared" si="30"/>
        <v>6</v>
      </c>
    </row>
    <row r="494" spans="1:1">
      <c r="A494">
        <f t="shared" si="30"/>
        <v>6</v>
      </c>
    </row>
    <row r="495" spans="1:1">
      <c r="A495">
        <f t="shared" si="30"/>
        <v>6</v>
      </c>
    </row>
    <row r="496" spans="1:1">
      <c r="A496">
        <f t="shared" si="30"/>
        <v>6</v>
      </c>
    </row>
    <row r="497" spans="1:1">
      <c r="A497">
        <f t="shared" si="30"/>
        <v>6</v>
      </c>
    </row>
    <row r="498" spans="1:1">
      <c r="A498">
        <f t="shared" si="30"/>
        <v>6</v>
      </c>
    </row>
    <row r="499" spans="1:1">
      <c r="A499">
        <f t="shared" si="30"/>
        <v>6</v>
      </c>
    </row>
    <row r="500" spans="1:1">
      <c r="A500">
        <f t="shared" si="30"/>
        <v>6</v>
      </c>
    </row>
    <row r="501" spans="1:1">
      <c r="A501">
        <f t="shared" si="30"/>
        <v>6</v>
      </c>
    </row>
    <row r="502" spans="1:1">
      <c r="A502">
        <f t="shared" si="30"/>
        <v>6</v>
      </c>
    </row>
    <row r="503" spans="1:1">
      <c r="A503">
        <f t="shared" si="30"/>
        <v>6</v>
      </c>
    </row>
    <row r="504" spans="1:1">
      <c r="A504">
        <f t="shared" si="30"/>
        <v>6</v>
      </c>
    </row>
    <row r="505" spans="1:1">
      <c r="A505">
        <f t="shared" si="30"/>
        <v>6</v>
      </c>
    </row>
  </sheetData>
  <mergeCells count="1">
    <mergeCell ref="L1:M1"/>
  </mergeCells>
  <phoneticPr fontId="5" type="noConversion"/>
  <conditionalFormatting sqref="B3:N3 B4:K110 L4:N117">
    <cfRule type="expression" dxfId="7" priority="7">
      <formula>ISODD($A3)</formula>
    </cfRule>
  </conditionalFormatting>
  <conditionalFormatting sqref="D116:K117">
    <cfRule type="expression" dxfId="6" priority="1">
      <formula>ISODD($A116)</formula>
    </cfRule>
  </conditionalFormatting>
  <hyperlinks>
    <hyperlink ref="L1:M1" location="Contents!A1" display="Back to Contents" xr:uid="{00000000-0004-0000-1200-000000000000}"/>
  </hyperlinks>
  <pageMargins left="0.45" right="0.41" top="0.35" bottom="0.38" header="0.31496062992125984" footer="0.31496062992125984"/>
  <pageSetup paperSize="8" scale="1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39997558519241921"/>
  </sheetPr>
  <dimension ref="A1:AI47"/>
  <sheetViews>
    <sheetView workbookViewId="0"/>
  </sheetViews>
  <sheetFormatPr defaultColWidth="8.81640625" defaultRowHeight="12.5"/>
  <sheetData>
    <row r="1" spans="1:35" ht="27" customHeight="1">
      <c r="B1" s="17" t="s">
        <v>378</v>
      </c>
      <c r="C1" s="18"/>
      <c r="D1" s="18"/>
      <c r="E1" s="18"/>
      <c r="F1" s="18"/>
      <c r="G1" s="18"/>
      <c r="H1" s="18"/>
      <c r="I1" s="18"/>
      <c r="J1" s="18"/>
      <c r="K1" s="18"/>
      <c r="L1" s="18"/>
      <c r="M1" s="203"/>
      <c r="N1" s="217" t="s">
        <v>79</v>
      </c>
      <c r="O1" s="217"/>
      <c r="P1" s="203"/>
      <c r="Q1" s="53"/>
    </row>
    <row r="2" spans="1:35" ht="20">
      <c r="A2" s="49" t="s">
        <v>243</v>
      </c>
      <c r="B2" s="58" t="s">
        <v>379</v>
      </c>
      <c r="C2" s="58" t="s">
        <v>380</v>
      </c>
      <c r="D2" s="58" t="s">
        <v>381</v>
      </c>
      <c r="E2" s="58" t="s">
        <v>382</v>
      </c>
      <c r="F2" s="58" t="s">
        <v>383</v>
      </c>
      <c r="G2" s="58" t="s">
        <v>384</v>
      </c>
      <c r="H2" s="58" t="s">
        <v>385</v>
      </c>
      <c r="I2" s="58" t="s">
        <v>386</v>
      </c>
      <c r="J2" s="58" t="s">
        <v>387</v>
      </c>
      <c r="K2" s="58" t="s">
        <v>388</v>
      </c>
      <c r="L2" s="58" t="s">
        <v>389</v>
      </c>
      <c r="M2" s="58" t="s">
        <v>390</v>
      </c>
      <c r="N2" s="58" t="s">
        <v>391</v>
      </c>
      <c r="O2" s="58" t="s">
        <v>392</v>
      </c>
      <c r="P2" s="58" t="s">
        <v>393</v>
      </c>
      <c r="Q2" s="58" t="s">
        <v>394</v>
      </c>
      <c r="R2" s="58"/>
      <c r="T2" s="58"/>
      <c r="U2" s="58"/>
      <c r="V2" s="58"/>
      <c r="W2" s="58"/>
      <c r="X2" s="58"/>
      <c r="Y2" s="58"/>
      <c r="Z2" s="58"/>
      <c r="AA2" s="58"/>
      <c r="AB2" s="58"/>
      <c r="AC2" s="58"/>
      <c r="AD2" s="58"/>
      <c r="AE2" s="58"/>
      <c r="AF2" s="58"/>
      <c r="AG2" s="58"/>
      <c r="AH2" s="58"/>
      <c r="AI2" s="58"/>
    </row>
    <row r="3" spans="1:35">
      <c r="A3" s="42">
        <v>1980</v>
      </c>
      <c r="B3" s="42">
        <v>645</v>
      </c>
      <c r="C3" s="42">
        <v>-318</v>
      </c>
      <c r="D3" s="42">
        <v>303</v>
      </c>
      <c r="E3" s="42">
        <v>-473</v>
      </c>
      <c r="F3" s="42">
        <v>408</v>
      </c>
      <c r="G3" s="42">
        <v>-91</v>
      </c>
      <c r="H3" s="42">
        <v>122</v>
      </c>
      <c r="I3" s="42">
        <v>-46</v>
      </c>
      <c r="J3" s="42">
        <v>2</v>
      </c>
      <c r="K3" s="42">
        <v>-5</v>
      </c>
      <c r="L3" s="42">
        <v>9</v>
      </c>
      <c r="M3" s="42">
        <v>-51</v>
      </c>
      <c r="N3" s="42">
        <v>0</v>
      </c>
      <c r="O3" s="42">
        <v>-1</v>
      </c>
      <c r="P3" s="42">
        <v>0</v>
      </c>
      <c r="Q3" s="42">
        <v>-2</v>
      </c>
      <c r="R3" s="59"/>
    </row>
    <row r="4" spans="1:35">
      <c r="A4" s="42">
        <v>1981</v>
      </c>
      <c r="B4" s="42">
        <v>9</v>
      </c>
      <c r="C4" s="42">
        <v>-12</v>
      </c>
      <c r="D4" s="42">
        <v>2</v>
      </c>
      <c r="E4" s="42">
        <v>-32</v>
      </c>
      <c r="F4" s="42">
        <v>15</v>
      </c>
      <c r="G4" s="42">
        <v>-6</v>
      </c>
      <c r="H4" s="42">
        <v>8</v>
      </c>
      <c r="I4" s="42">
        <v>-6</v>
      </c>
      <c r="J4" s="42">
        <v>0</v>
      </c>
      <c r="K4" s="42">
        <v>-2</v>
      </c>
      <c r="L4" s="42">
        <v>0</v>
      </c>
      <c r="M4" s="42">
        <v>-9</v>
      </c>
      <c r="N4" s="42">
        <v>0</v>
      </c>
      <c r="O4" s="42">
        <v>0</v>
      </c>
      <c r="P4" s="42">
        <v>0</v>
      </c>
      <c r="Q4" s="42">
        <v>0</v>
      </c>
      <c r="R4" s="49"/>
    </row>
    <row r="5" spans="1:35">
      <c r="A5" s="42">
        <v>1982</v>
      </c>
      <c r="B5" s="42">
        <v>7</v>
      </c>
      <c r="C5" s="42">
        <v>-10</v>
      </c>
      <c r="D5" s="42">
        <v>3</v>
      </c>
      <c r="E5" s="42">
        <v>-25</v>
      </c>
      <c r="F5" s="42">
        <v>32</v>
      </c>
      <c r="G5" s="42">
        <v>-3</v>
      </c>
      <c r="H5" s="42">
        <v>11</v>
      </c>
      <c r="I5" s="42">
        <v>-3</v>
      </c>
      <c r="J5" s="42">
        <v>0</v>
      </c>
      <c r="K5" s="42">
        <v>-1</v>
      </c>
      <c r="L5" s="42">
        <v>1</v>
      </c>
      <c r="M5" s="42">
        <v>-7</v>
      </c>
      <c r="N5" s="42">
        <v>0</v>
      </c>
      <c r="O5" s="42">
        <v>0</v>
      </c>
      <c r="P5" s="42">
        <v>0</v>
      </c>
      <c r="Q5" s="42">
        <v>0</v>
      </c>
      <c r="R5" s="49"/>
    </row>
    <row r="6" spans="1:35">
      <c r="A6" s="42">
        <v>1983</v>
      </c>
      <c r="B6" s="42">
        <v>2</v>
      </c>
      <c r="C6" s="42">
        <v>-23</v>
      </c>
      <c r="D6" s="42">
        <v>4</v>
      </c>
      <c r="E6" s="42">
        <v>-34</v>
      </c>
      <c r="F6" s="42">
        <v>18</v>
      </c>
      <c r="G6" s="42">
        <v>-2</v>
      </c>
      <c r="H6" s="42">
        <v>5</v>
      </c>
      <c r="I6" s="42">
        <v>0</v>
      </c>
      <c r="J6" s="42">
        <v>0</v>
      </c>
      <c r="K6" s="42">
        <v>-3</v>
      </c>
      <c r="L6" s="42">
        <v>0</v>
      </c>
      <c r="M6" s="42">
        <v>-21</v>
      </c>
      <c r="N6" s="42">
        <v>0</v>
      </c>
      <c r="O6" s="42">
        <v>0</v>
      </c>
      <c r="P6" s="42">
        <v>0</v>
      </c>
      <c r="Q6" s="42">
        <v>0</v>
      </c>
      <c r="R6" s="49"/>
    </row>
    <row r="7" spans="1:35">
      <c r="A7" s="42">
        <v>1984</v>
      </c>
      <c r="B7" s="42">
        <v>6</v>
      </c>
      <c r="C7" s="42">
        <v>-33</v>
      </c>
      <c r="D7" s="42">
        <v>5</v>
      </c>
      <c r="E7" s="42">
        <v>-60</v>
      </c>
      <c r="F7" s="42">
        <v>16</v>
      </c>
      <c r="G7" s="42">
        <v>-8</v>
      </c>
      <c r="H7" s="42">
        <v>4</v>
      </c>
      <c r="I7" s="42">
        <v>-3</v>
      </c>
      <c r="J7" s="42">
        <v>0</v>
      </c>
      <c r="K7" s="42">
        <v>-16</v>
      </c>
      <c r="L7" s="42">
        <v>1</v>
      </c>
      <c r="M7" s="42">
        <v>-19</v>
      </c>
      <c r="N7" s="42">
        <v>0</v>
      </c>
      <c r="O7" s="42">
        <v>-1</v>
      </c>
      <c r="P7" s="42">
        <v>0</v>
      </c>
      <c r="Q7" s="42">
        <v>0</v>
      </c>
      <c r="R7" s="49"/>
    </row>
    <row r="8" spans="1:35">
      <c r="A8" s="42">
        <v>1985</v>
      </c>
      <c r="B8" s="42">
        <v>11</v>
      </c>
      <c r="C8" s="42">
        <v>-106</v>
      </c>
      <c r="D8" s="42">
        <v>11</v>
      </c>
      <c r="E8" s="42">
        <v>-151</v>
      </c>
      <c r="F8" s="42">
        <v>16</v>
      </c>
      <c r="G8" s="42">
        <v>-19</v>
      </c>
      <c r="H8" s="42">
        <v>3</v>
      </c>
      <c r="I8" s="42">
        <v>-14</v>
      </c>
      <c r="J8" s="42">
        <v>3</v>
      </c>
      <c r="K8" s="42">
        <v>-33</v>
      </c>
      <c r="L8" s="42">
        <v>5</v>
      </c>
      <c r="M8" s="42">
        <v>-65</v>
      </c>
      <c r="N8" s="42">
        <v>0</v>
      </c>
      <c r="O8" s="42">
        <v>-1</v>
      </c>
      <c r="P8" s="42">
        <v>0</v>
      </c>
      <c r="Q8" s="42">
        <v>-3</v>
      </c>
      <c r="R8" s="49"/>
    </row>
    <row r="9" spans="1:35">
      <c r="A9" s="42">
        <v>1986</v>
      </c>
      <c r="B9" s="42">
        <v>12</v>
      </c>
      <c r="C9" s="42">
        <v>-95</v>
      </c>
      <c r="D9" s="42">
        <v>7</v>
      </c>
      <c r="E9" s="42">
        <v>-127</v>
      </c>
      <c r="F9" s="42">
        <v>18</v>
      </c>
      <c r="G9" s="42">
        <v>-26</v>
      </c>
      <c r="H9" s="42">
        <v>8</v>
      </c>
      <c r="I9" s="42">
        <v>-21</v>
      </c>
      <c r="J9" s="42">
        <v>5</v>
      </c>
      <c r="K9" s="42">
        <v>-35</v>
      </c>
      <c r="L9" s="42">
        <v>1</v>
      </c>
      <c r="M9" s="42">
        <v>-57</v>
      </c>
      <c r="N9" s="42">
        <v>0</v>
      </c>
      <c r="O9" s="42">
        <v>-2</v>
      </c>
      <c r="P9" s="42">
        <v>1</v>
      </c>
      <c r="Q9" s="42">
        <v>-6</v>
      </c>
      <c r="R9" s="49"/>
    </row>
    <row r="10" spans="1:35">
      <c r="A10" s="42">
        <v>1987</v>
      </c>
      <c r="B10" s="42">
        <v>7</v>
      </c>
      <c r="C10" s="42">
        <v>-120</v>
      </c>
      <c r="D10" s="42">
        <v>9</v>
      </c>
      <c r="E10" s="42">
        <v>-172</v>
      </c>
      <c r="F10" s="42">
        <v>6</v>
      </c>
      <c r="G10" s="42">
        <v>-19</v>
      </c>
      <c r="H10" s="42">
        <v>9</v>
      </c>
      <c r="I10" s="42">
        <v>-28</v>
      </c>
      <c r="J10" s="42">
        <v>2</v>
      </c>
      <c r="K10" s="42">
        <v>-61</v>
      </c>
      <c r="L10" s="42">
        <v>4</v>
      </c>
      <c r="M10" s="42">
        <v>-29</v>
      </c>
      <c r="N10" s="42">
        <v>0</v>
      </c>
      <c r="O10" s="42">
        <v>-6</v>
      </c>
      <c r="P10" s="42">
        <v>0</v>
      </c>
      <c r="Q10" s="42">
        <v>-3</v>
      </c>
      <c r="R10" s="49"/>
    </row>
    <row r="11" spans="1:35">
      <c r="A11" s="42">
        <v>1988</v>
      </c>
      <c r="B11" s="42">
        <v>12</v>
      </c>
      <c r="C11" s="42">
        <v>-264</v>
      </c>
      <c r="D11" s="42">
        <v>9</v>
      </c>
      <c r="E11" s="42">
        <v>-235</v>
      </c>
      <c r="F11" s="42">
        <v>19</v>
      </c>
      <c r="G11" s="42">
        <v>-13</v>
      </c>
      <c r="H11" s="42">
        <v>6</v>
      </c>
      <c r="I11" s="42">
        <v>-21</v>
      </c>
      <c r="J11" s="42">
        <v>1</v>
      </c>
      <c r="K11" s="42">
        <v>-73</v>
      </c>
      <c r="L11" s="42">
        <v>3</v>
      </c>
      <c r="M11" s="42">
        <v>-37</v>
      </c>
      <c r="N11" s="42">
        <v>0</v>
      </c>
      <c r="O11" s="42">
        <v>-7</v>
      </c>
      <c r="P11" s="42">
        <v>0</v>
      </c>
      <c r="Q11" s="42">
        <v>-2</v>
      </c>
      <c r="R11" s="49"/>
    </row>
    <row r="12" spans="1:35">
      <c r="A12" s="42">
        <v>1989</v>
      </c>
      <c r="B12" s="42">
        <v>18</v>
      </c>
      <c r="C12" s="42">
        <v>-430</v>
      </c>
      <c r="D12" s="42">
        <v>7</v>
      </c>
      <c r="E12" s="42">
        <v>-425</v>
      </c>
      <c r="F12" s="42">
        <v>16</v>
      </c>
      <c r="G12" s="42">
        <v>-19</v>
      </c>
      <c r="H12" s="42">
        <v>8</v>
      </c>
      <c r="I12" s="42">
        <v>-22</v>
      </c>
      <c r="J12" s="42">
        <v>2</v>
      </c>
      <c r="K12" s="42">
        <v>-74</v>
      </c>
      <c r="L12" s="42">
        <v>2</v>
      </c>
      <c r="M12" s="42">
        <v>-44</v>
      </c>
      <c r="N12" s="42">
        <v>0</v>
      </c>
      <c r="O12" s="42">
        <v>-8</v>
      </c>
      <c r="P12" s="42">
        <v>0</v>
      </c>
      <c r="Q12" s="42">
        <v>-2</v>
      </c>
      <c r="R12" s="49"/>
    </row>
    <row r="13" spans="1:35">
      <c r="A13" s="42">
        <v>1990</v>
      </c>
      <c r="B13" s="42">
        <v>42</v>
      </c>
      <c r="C13" s="42">
        <v>-646</v>
      </c>
      <c r="D13" s="42">
        <v>16</v>
      </c>
      <c r="E13" s="42">
        <v>-612</v>
      </c>
      <c r="F13" s="42">
        <v>11</v>
      </c>
      <c r="G13" s="42">
        <v>-23</v>
      </c>
      <c r="H13" s="42">
        <v>4</v>
      </c>
      <c r="I13" s="42">
        <v>-17</v>
      </c>
      <c r="J13" s="42">
        <v>3</v>
      </c>
      <c r="K13" s="42">
        <v>-112</v>
      </c>
      <c r="L13" s="42">
        <v>3</v>
      </c>
      <c r="M13" s="42">
        <v>-54</v>
      </c>
      <c r="N13" s="42">
        <v>1</v>
      </c>
      <c r="O13" s="42">
        <v>-5</v>
      </c>
      <c r="P13" s="42">
        <v>0</v>
      </c>
      <c r="Q13" s="42">
        <v>-2</v>
      </c>
      <c r="R13" s="49"/>
    </row>
    <row r="14" spans="1:35">
      <c r="A14" s="42">
        <v>1991</v>
      </c>
      <c r="B14" s="42">
        <v>38</v>
      </c>
      <c r="C14" s="42">
        <v>-914</v>
      </c>
      <c r="D14" s="42">
        <v>7</v>
      </c>
      <c r="E14" s="42">
        <v>-572</v>
      </c>
      <c r="F14" s="42">
        <v>14</v>
      </c>
      <c r="G14" s="42">
        <v>-19</v>
      </c>
      <c r="H14" s="42">
        <v>5</v>
      </c>
      <c r="I14" s="42">
        <v>-13</v>
      </c>
      <c r="J14" s="42">
        <v>6</v>
      </c>
      <c r="K14" s="42">
        <v>-107</v>
      </c>
      <c r="L14" s="42">
        <v>4</v>
      </c>
      <c r="M14" s="42">
        <v>-35</v>
      </c>
      <c r="N14" s="42">
        <v>0</v>
      </c>
      <c r="O14" s="42">
        <v>-5</v>
      </c>
      <c r="P14" s="42">
        <v>0</v>
      </c>
      <c r="Q14" s="42">
        <v>-3</v>
      </c>
      <c r="R14" s="49"/>
    </row>
    <row r="15" spans="1:35">
      <c r="A15" s="42">
        <v>1992</v>
      </c>
      <c r="B15" s="42">
        <v>40</v>
      </c>
      <c r="C15" s="42">
        <v>-1182</v>
      </c>
      <c r="D15" s="42">
        <v>11</v>
      </c>
      <c r="E15" s="42">
        <v>-666</v>
      </c>
      <c r="F15" s="42">
        <v>13</v>
      </c>
      <c r="G15" s="42">
        <v>-19</v>
      </c>
      <c r="H15" s="42">
        <v>3</v>
      </c>
      <c r="I15" s="42">
        <v>-10</v>
      </c>
      <c r="J15" s="42">
        <v>3</v>
      </c>
      <c r="K15" s="42">
        <v>-124</v>
      </c>
      <c r="L15" s="42">
        <v>1</v>
      </c>
      <c r="M15" s="42">
        <v>-54</v>
      </c>
      <c r="N15" s="42">
        <v>0</v>
      </c>
      <c r="O15" s="42">
        <v>-5</v>
      </c>
      <c r="P15" s="42">
        <v>0</v>
      </c>
      <c r="Q15" s="42">
        <v>-1</v>
      </c>
      <c r="R15" s="49"/>
    </row>
    <row r="16" spans="1:35">
      <c r="A16" s="42">
        <v>1993</v>
      </c>
      <c r="B16" s="42">
        <v>47</v>
      </c>
      <c r="C16" s="42">
        <v>-1286</v>
      </c>
      <c r="D16" s="42">
        <v>11</v>
      </c>
      <c r="E16" s="42">
        <v>-860</v>
      </c>
      <c r="F16" s="42">
        <v>15</v>
      </c>
      <c r="G16" s="42">
        <v>-13</v>
      </c>
      <c r="H16" s="42">
        <v>3</v>
      </c>
      <c r="I16" s="42">
        <v>-6</v>
      </c>
      <c r="J16" s="42">
        <v>13</v>
      </c>
      <c r="K16" s="42">
        <v>-113</v>
      </c>
      <c r="L16" s="42">
        <v>6</v>
      </c>
      <c r="M16" s="42">
        <v>-60</v>
      </c>
      <c r="N16" s="42">
        <v>0</v>
      </c>
      <c r="O16" s="42">
        <v>-4</v>
      </c>
      <c r="P16" s="42">
        <v>0</v>
      </c>
      <c r="Q16" s="42">
        <v>-1</v>
      </c>
      <c r="R16" s="49"/>
    </row>
    <row r="17" spans="1:18">
      <c r="A17" s="42">
        <v>1994</v>
      </c>
      <c r="B17" s="42">
        <v>65</v>
      </c>
      <c r="C17" s="42">
        <v>-2047</v>
      </c>
      <c r="D17" s="42">
        <v>14</v>
      </c>
      <c r="E17" s="42">
        <v>-1210</v>
      </c>
      <c r="F17" s="42">
        <v>9</v>
      </c>
      <c r="G17" s="42">
        <v>-14</v>
      </c>
      <c r="H17" s="42">
        <v>9</v>
      </c>
      <c r="I17" s="42">
        <v>-7</v>
      </c>
      <c r="J17" s="42">
        <v>15</v>
      </c>
      <c r="K17" s="42">
        <v>-153</v>
      </c>
      <c r="L17" s="42">
        <v>4</v>
      </c>
      <c r="M17" s="42">
        <v>-74</v>
      </c>
      <c r="N17" s="42">
        <v>0</v>
      </c>
      <c r="O17" s="42">
        <v>-8</v>
      </c>
      <c r="P17" s="42">
        <v>0</v>
      </c>
      <c r="Q17" s="42">
        <v>-4</v>
      </c>
      <c r="R17" s="49"/>
    </row>
    <row r="18" spans="1:18">
      <c r="A18" s="42">
        <v>1995</v>
      </c>
      <c r="B18" s="42">
        <v>67</v>
      </c>
      <c r="C18" s="42">
        <v>-2984</v>
      </c>
      <c r="D18" s="42">
        <v>13</v>
      </c>
      <c r="E18" s="42">
        <v>-1072</v>
      </c>
      <c r="F18" s="42">
        <v>15</v>
      </c>
      <c r="G18" s="42">
        <v>-32</v>
      </c>
      <c r="H18" s="42">
        <v>7</v>
      </c>
      <c r="I18" s="42">
        <v>-15</v>
      </c>
      <c r="J18" s="42">
        <v>12</v>
      </c>
      <c r="K18" s="42">
        <v>-175</v>
      </c>
      <c r="L18" s="42">
        <v>4</v>
      </c>
      <c r="M18" s="42">
        <v>-58</v>
      </c>
      <c r="N18" s="42">
        <v>0</v>
      </c>
      <c r="O18" s="42">
        <v>-12</v>
      </c>
      <c r="P18" s="42">
        <v>0</v>
      </c>
      <c r="Q18" s="42">
        <v>-3</v>
      </c>
      <c r="R18" s="49"/>
    </row>
    <row r="19" spans="1:18">
      <c r="A19" s="42">
        <v>1996</v>
      </c>
      <c r="B19" s="42">
        <v>101</v>
      </c>
      <c r="C19" s="42">
        <v>-5407</v>
      </c>
      <c r="D19" s="42">
        <v>25</v>
      </c>
      <c r="E19" s="42">
        <v>-1618</v>
      </c>
      <c r="F19" s="42">
        <v>17</v>
      </c>
      <c r="G19" s="42">
        <v>-24</v>
      </c>
      <c r="H19" s="42">
        <v>5</v>
      </c>
      <c r="I19" s="42">
        <v>-27</v>
      </c>
      <c r="J19" s="42">
        <v>14</v>
      </c>
      <c r="K19" s="42">
        <v>-178</v>
      </c>
      <c r="L19" s="42">
        <v>7</v>
      </c>
      <c r="M19" s="42">
        <v>-74</v>
      </c>
      <c r="N19" s="42">
        <v>1</v>
      </c>
      <c r="O19" s="42">
        <v>-5</v>
      </c>
      <c r="P19" s="42">
        <v>0</v>
      </c>
      <c r="Q19" s="42">
        <v>-4</v>
      </c>
      <c r="R19" s="49"/>
    </row>
    <row r="20" spans="1:18">
      <c r="A20" s="42">
        <v>1997</v>
      </c>
      <c r="B20" s="42">
        <v>116</v>
      </c>
      <c r="C20" s="42">
        <v>-4782</v>
      </c>
      <c r="D20" s="42">
        <v>15</v>
      </c>
      <c r="E20" s="42">
        <v>-1630</v>
      </c>
      <c r="F20" s="42">
        <v>13</v>
      </c>
      <c r="G20" s="42">
        <v>-33</v>
      </c>
      <c r="H20" s="42">
        <v>4</v>
      </c>
      <c r="I20" s="42">
        <v>-35</v>
      </c>
      <c r="J20" s="42">
        <v>16</v>
      </c>
      <c r="K20" s="42">
        <v>-176</v>
      </c>
      <c r="L20" s="42">
        <v>8</v>
      </c>
      <c r="M20" s="42">
        <v>-77</v>
      </c>
      <c r="N20" s="42">
        <v>0</v>
      </c>
      <c r="O20" s="42">
        <v>-4</v>
      </c>
      <c r="P20" s="42">
        <v>0</v>
      </c>
      <c r="Q20" s="42">
        <v>-3</v>
      </c>
      <c r="R20" s="49"/>
    </row>
    <row r="21" spans="1:18">
      <c r="A21" s="42">
        <v>1998</v>
      </c>
      <c r="B21" s="42">
        <v>106</v>
      </c>
      <c r="C21" s="42">
        <v>-4113</v>
      </c>
      <c r="D21" s="42">
        <v>27</v>
      </c>
      <c r="E21" s="42">
        <v>-1811</v>
      </c>
      <c r="F21" s="42">
        <v>16</v>
      </c>
      <c r="G21" s="42">
        <v>-28</v>
      </c>
      <c r="H21" s="42">
        <v>8</v>
      </c>
      <c r="I21" s="42">
        <v>-39</v>
      </c>
      <c r="J21" s="42">
        <v>6</v>
      </c>
      <c r="K21" s="42">
        <v>-107</v>
      </c>
      <c r="L21" s="42">
        <v>3</v>
      </c>
      <c r="M21" s="42">
        <v>-61</v>
      </c>
      <c r="N21" s="42">
        <v>0</v>
      </c>
      <c r="O21" s="42">
        <v>-3</v>
      </c>
      <c r="P21" s="42">
        <v>0</v>
      </c>
      <c r="Q21" s="42">
        <v>-2</v>
      </c>
      <c r="R21" s="49"/>
    </row>
    <row r="22" spans="1:18">
      <c r="A22" s="42">
        <v>1999</v>
      </c>
      <c r="B22" s="42">
        <v>136</v>
      </c>
      <c r="C22" s="42">
        <v>-3761</v>
      </c>
      <c r="D22" s="42">
        <v>32</v>
      </c>
      <c r="E22" s="42">
        <v>-2294</v>
      </c>
      <c r="F22" s="42">
        <v>11</v>
      </c>
      <c r="G22" s="42">
        <v>-32</v>
      </c>
      <c r="H22" s="42">
        <v>15</v>
      </c>
      <c r="I22" s="42">
        <v>-27</v>
      </c>
      <c r="J22" s="42">
        <v>6</v>
      </c>
      <c r="K22" s="42">
        <v>-46</v>
      </c>
      <c r="L22" s="42">
        <v>2</v>
      </c>
      <c r="M22" s="42">
        <v>-57</v>
      </c>
      <c r="N22" s="42">
        <v>0</v>
      </c>
      <c r="O22" s="42">
        <v>-2</v>
      </c>
      <c r="P22" s="42">
        <v>0</v>
      </c>
      <c r="Q22" s="42">
        <v>-4</v>
      </c>
      <c r="R22" s="49"/>
    </row>
    <row r="23" spans="1:18">
      <c r="A23" s="42">
        <v>2000</v>
      </c>
      <c r="B23" s="42">
        <v>156</v>
      </c>
      <c r="C23" s="42">
        <v>-4509</v>
      </c>
      <c r="D23" s="42">
        <v>44</v>
      </c>
      <c r="E23" s="42">
        <v>-2759</v>
      </c>
      <c r="F23" s="42">
        <v>22</v>
      </c>
      <c r="G23" s="42">
        <v>-40</v>
      </c>
      <c r="H23" s="42">
        <v>9</v>
      </c>
      <c r="I23" s="42">
        <v>-44</v>
      </c>
      <c r="J23" s="42">
        <v>6</v>
      </c>
      <c r="K23" s="42">
        <v>-36</v>
      </c>
      <c r="L23" s="42">
        <v>9</v>
      </c>
      <c r="M23" s="42">
        <v>-86</v>
      </c>
      <c r="N23" s="42">
        <v>0</v>
      </c>
      <c r="O23" s="42">
        <v>-1</v>
      </c>
      <c r="P23" s="42">
        <v>0</v>
      </c>
      <c r="Q23" s="42">
        <v>-4</v>
      </c>
      <c r="R23" s="49"/>
    </row>
    <row r="24" spans="1:18">
      <c r="A24" s="42">
        <v>2001</v>
      </c>
      <c r="B24" s="42">
        <v>181</v>
      </c>
      <c r="C24" s="42">
        <v>-4846</v>
      </c>
      <c r="D24" s="42">
        <v>56</v>
      </c>
      <c r="E24" s="42">
        <v>-2947</v>
      </c>
      <c r="F24" s="42">
        <v>28</v>
      </c>
      <c r="G24" s="42">
        <v>-28</v>
      </c>
      <c r="H24" s="42">
        <v>10</v>
      </c>
      <c r="I24" s="42">
        <v>-55</v>
      </c>
      <c r="J24" s="42">
        <v>4</v>
      </c>
      <c r="K24" s="42">
        <v>-20</v>
      </c>
      <c r="L24" s="42">
        <v>10</v>
      </c>
      <c r="M24" s="42">
        <v>-97</v>
      </c>
      <c r="N24" s="42">
        <v>1</v>
      </c>
      <c r="O24" s="42">
        <v>0</v>
      </c>
      <c r="P24" s="42">
        <v>0</v>
      </c>
      <c r="Q24" s="42">
        <v>-2</v>
      </c>
      <c r="R24" s="49"/>
    </row>
    <row r="25" spans="1:18">
      <c r="A25" s="42">
        <v>2002</v>
      </c>
      <c r="B25" s="42">
        <v>195</v>
      </c>
      <c r="C25" s="42">
        <v>-4791</v>
      </c>
      <c r="D25" s="42">
        <v>88</v>
      </c>
      <c r="E25" s="42">
        <v>-3673</v>
      </c>
      <c r="F25" s="42">
        <v>40</v>
      </c>
      <c r="G25" s="42">
        <v>-62</v>
      </c>
      <c r="H25" s="42">
        <v>17</v>
      </c>
      <c r="I25" s="42">
        <v>-42</v>
      </c>
      <c r="J25" s="42">
        <v>5</v>
      </c>
      <c r="K25" s="42">
        <v>-18</v>
      </c>
      <c r="L25" s="42">
        <v>9</v>
      </c>
      <c r="M25" s="42">
        <v>-106</v>
      </c>
      <c r="N25" s="42">
        <v>1</v>
      </c>
      <c r="O25" s="42">
        <v>-2</v>
      </c>
      <c r="P25" s="42">
        <v>0</v>
      </c>
      <c r="Q25" s="42">
        <v>-4</v>
      </c>
      <c r="R25" s="49"/>
    </row>
    <row r="26" spans="1:18">
      <c r="A26" s="42">
        <v>2003</v>
      </c>
      <c r="B26" s="42">
        <v>100</v>
      </c>
      <c r="C26" s="42">
        <v>-3841</v>
      </c>
      <c r="D26" s="42">
        <v>102</v>
      </c>
      <c r="E26" s="42">
        <v>-4262</v>
      </c>
      <c r="F26" s="42">
        <v>42</v>
      </c>
      <c r="G26" s="42">
        <v>-61</v>
      </c>
      <c r="H26" s="42">
        <v>20</v>
      </c>
      <c r="I26" s="42">
        <v>-84</v>
      </c>
      <c r="J26" s="42">
        <v>8</v>
      </c>
      <c r="K26" s="42">
        <v>-17</v>
      </c>
      <c r="L26" s="42">
        <v>11</v>
      </c>
      <c r="M26" s="42">
        <v>-119</v>
      </c>
      <c r="N26" s="42">
        <v>0</v>
      </c>
      <c r="O26" s="42">
        <v>0</v>
      </c>
      <c r="P26" s="42">
        <v>1</v>
      </c>
      <c r="Q26" s="42">
        <v>-7</v>
      </c>
      <c r="R26" s="49"/>
    </row>
    <row r="27" spans="1:18">
      <c r="A27" s="42">
        <v>2004</v>
      </c>
      <c r="B27" s="42">
        <v>259</v>
      </c>
      <c r="C27" s="42">
        <v>-10008</v>
      </c>
      <c r="D27" s="42">
        <v>134</v>
      </c>
      <c r="E27" s="42">
        <v>-4660</v>
      </c>
      <c r="F27" s="42">
        <v>36</v>
      </c>
      <c r="G27" s="42">
        <v>-58</v>
      </c>
      <c r="H27" s="42">
        <v>24</v>
      </c>
      <c r="I27" s="42">
        <v>-115</v>
      </c>
      <c r="J27" s="42">
        <v>2</v>
      </c>
      <c r="K27" s="42">
        <v>-18</v>
      </c>
      <c r="L27" s="42">
        <v>15</v>
      </c>
      <c r="M27" s="42">
        <v>-143</v>
      </c>
      <c r="N27" s="42">
        <v>0</v>
      </c>
      <c r="O27" s="42">
        <v>-1</v>
      </c>
      <c r="P27" s="42">
        <v>0</v>
      </c>
      <c r="Q27" s="42">
        <v>-9</v>
      </c>
      <c r="R27" s="49"/>
    </row>
    <row r="28" spans="1:18">
      <c r="A28" s="42">
        <v>2005</v>
      </c>
      <c r="B28" s="42">
        <v>502</v>
      </c>
      <c r="C28" s="42">
        <v>-13143</v>
      </c>
      <c r="D28" s="42">
        <v>129</v>
      </c>
      <c r="E28" s="42">
        <v>-4872</v>
      </c>
      <c r="F28" s="42">
        <v>54</v>
      </c>
      <c r="G28" s="42">
        <v>-68</v>
      </c>
      <c r="H28" s="42">
        <v>32</v>
      </c>
      <c r="I28" s="42">
        <v>-169</v>
      </c>
      <c r="J28" s="42">
        <v>4</v>
      </c>
      <c r="K28" s="42">
        <v>-19</v>
      </c>
      <c r="L28" s="42">
        <v>11</v>
      </c>
      <c r="M28" s="42">
        <v>-117</v>
      </c>
      <c r="N28" s="42">
        <v>1</v>
      </c>
      <c r="O28" s="42">
        <v>-1</v>
      </c>
      <c r="P28" s="42">
        <v>0</v>
      </c>
      <c r="Q28" s="42">
        <v>-2</v>
      </c>
      <c r="R28" s="49"/>
    </row>
    <row r="29" spans="1:18">
      <c r="A29" s="42">
        <v>2006</v>
      </c>
      <c r="B29" s="42">
        <v>633</v>
      </c>
      <c r="C29" s="42">
        <v>-11528</v>
      </c>
      <c r="D29" s="42">
        <v>168</v>
      </c>
      <c r="E29" s="42">
        <v>-4878</v>
      </c>
      <c r="F29" s="42">
        <v>58</v>
      </c>
      <c r="G29" s="42">
        <v>-71</v>
      </c>
      <c r="H29" s="42">
        <v>46</v>
      </c>
      <c r="I29" s="42">
        <v>-175</v>
      </c>
      <c r="J29" s="42">
        <v>13</v>
      </c>
      <c r="K29" s="42">
        <v>-27</v>
      </c>
      <c r="L29" s="42">
        <v>9</v>
      </c>
      <c r="M29" s="42">
        <v>-96</v>
      </c>
      <c r="N29" s="42">
        <v>0</v>
      </c>
      <c r="O29" s="42">
        <v>0</v>
      </c>
      <c r="P29" s="42">
        <v>0</v>
      </c>
      <c r="Q29" s="42">
        <v>-3</v>
      </c>
      <c r="R29" s="49"/>
    </row>
    <row r="30" spans="1:18">
      <c r="A30" s="42">
        <v>2007</v>
      </c>
      <c r="B30" s="42">
        <v>872</v>
      </c>
      <c r="C30" s="42">
        <v>-9832</v>
      </c>
      <c r="D30" s="42">
        <v>191</v>
      </c>
      <c r="E30" s="42">
        <v>-4610</v>
      </c>
      <c r="F30" s="42">
        <v>69</v>
      </c>
      <c r="G30" s="42">
        <v>-92</v>
      </c>
      <c r="H30" s="42">
        <v>75</v>
      </c>
      <c r="I30" s="42">
        <v>-253</v>
      </c>
      <c r="J30" s="42">
        <v>99</v>
      </c>
      <c r="K30" s="42">
        <v>-126</v>
      </c>
      <c r="L30" s="42">
        <v>14</v>
      </c>
      <c r="M30" s="42">
        <v>-108</v>
      </c>
      <c r="N30" s="42">
        <v>1</v>
      </c>
      <c r="O30" s="42">
        <v>-1</v>
      </c>
      <c r="P30" s="42">
        <v>1</v>
      </c>
      <c r="Q30" s="42">
        <v>-1</v>
      </c>
      <c r="R30" s="49"/>
    </row>
    <row r="31" spans="1:18">
      <c r="A31" s="42">
        <v>2008</v>
      </c>
      <c r="B31" s="42">
        <v>1137</v>
      </c>
      <c r="C31" s="42">
        <v>-7217</v>
      </c>
      <c r="D31" s="42">
        <v>162</v>
      </c>
      <c r="E31" s="42">
        <v>-3958</v>
      </c>
      <c r="F31" s="42">
        <v>78</v>
      </c>
      <c r="G31" s="42">
        <v>-87</v>
      </c>
      <c r="H31" s="42">
        <v>68</v>
      </c>
      <c r="I31" s="42">
        <v>-329</v>
      </c>
      <c r="J31" s="42">
        <v>106</v>
      </c>
      <c r="K31" s="42">
        <v>-101</v>
      </c>
      <c r="L31" s="42">
        <v>10</v>
      </c>
      <c r="M31" s="42">
        <v>-114</v>
      </c>
      <c r="N31" s="42">
        <v>3</v>
      </c>
      <c r="O31" s="42">
        <v>-1</v>
      </c>
      <c r="P31" s="42">
        <v>3</v>
      </c>
      <c r="Q31" s="42">
        <v>-2</v>
      </c>
      <c r="R31" s="49"/>
    </row>
    <row r="32" spans="1:18">
      <c r="A32" s="42">
        <v>2009</v>
      </c>
      <c r="B32" s="42">
        <v>2535</v>
      </c>
      <c r="C32" s="42">
        <v>-4599</v>
      </c>
      <c r="D32" s="42">
        <v>123</v>
      </c>
      <c r="E32" s="42">
        <v>-2743</v>
      </c>
      <c r="F32" s="42">
        <v>59</v>
      </c>
      <c r="G32" s="42">
        <v>-48</v>
      </c>
      <c r="H32" s="42">
        <v>38</v>
      </c>
      <c r="I32" s="42">
        <v>-178</v>
      </c>
      <c r="J32" s="42">
        <v>52</v>
      </c>
      <c r="K32" s="42">
        <v>-39</v>
      </c>
      <c r="L32" s="42">
        <v>5</v>
      </c>
      <c r="M32" s="42">
        <v>-70</v>
      </c>
      <c r="N32" s="42">
        <v>1</v>
      </c>
      <c r="O32" s="42">
        <v>0</v>
      </c>
      <c r="P32" s="42">
        <v>0</v>
      </c>
      <c r="Q32" s="42">
        <v>-3</v>
      </c>
      <c r="R32" s="49"/>
    </row>
    <row r="33" spans="1:18">
      <c r="A33" s="42">
        <v>2010</v>
      </c>
      <c r="B33" s="42">
        <v>6027</v>
      </c>
      <c r="C33" s="42">
        <v>-4092</v>
      </c>
      <c r="D33" s="42">
        <v>159</v>
      </c>
      <c r="E33" s="42">
        <v>-2944</v>
      </c>
      <c r="F33" s="42">
        <v>59</v>
      </c>
      <c r="G33" s="42">
        <v>-41</v>
      </c>
      <c r="H33" s="42">
        <v>30</v>
      </c>
      <c r="I33" s="42">
        <v>-149</v>
      </c>
      <c r="J33" s="42">
        <v>87</v>
      </c>
      <c r="K33" s="42">
        <v>-35</v>
      </c>
      <c r="L33" s="42">
        <v>7</v>
      </c>
      <c r="M33" s="42">
        <v>-55</v>
      </c>
      <c r="N33" s="42">
        <v>5</v>
      </c>
      <c r="O33" s="42">
        <v>0</v>
      </c>
      <c r="P33" s="42">
        <v>0</v>
      </c>
      <c r="Q33" s="42">
        <v>-6</v>
      </c>
      <c r="R33" s="49"/>
    </row>
    <row r="34" spans="1:18">
      <c r="A34" s="42">
        <v>2011</v>
      </c>
      <c r="B34" s="42">
        <v>5894</v>
      </c>
      <c r="C34" s="42">
        <v>-2828</v>
      </c>
      <c r="D34" s="42">
        <v>171</v>
      </c>
      <c r="E34" s="42">
        <v>-2734</v>
      </c>
      <c r="F34" s="42">
        <v>59</v>
      </c>
      <c r="G34" s="42">
        <v>-46</v>
      </c>
      <c r="H34" s="42">
        <v>24</v>
      </c>
      <c r="I34" s="42">
        <v>-184</v>
      </c>
      <c r="J34" s="42">
        <v>121</v>
      </c>
      <c r="K34" s="42">
        <v>-59</v>
      </c>
      <c r="L34" s="42">
        <v>9</v>
      </c>
      <c r="M34" s="42">
        <v>-66</v>
      </c>
      <c r="N34" s="42">
        <v>1</v>
      </c>
      <c r="O34" s="42">
        <v>-1</v>
      </c>
      <c r="P34" s="42">
        <v>0</v>
      </c>
      <c r="Q34" s="42">
        <v>-1</v>
      </c>
      <c r="R34" s="49"/>
    </row>
    <row r="35" spans="1:18">
      <c r="A35" s="42">
        <v>2012</v>
      </c>
      <c r="B35" s="42">
        <v>17511</v>
      </c>
      <c r="C35" s="42">
        <v>-3018</v>
      </c>
      <c r="D35" s="42">
        <v>218</v>
      </c>
      <c r="E35" s="42">
        <v>-3033</v>
      </c>
      <c r="F35" s="42">
        <v>76</v>
      </c>
      <c r="G35" s="42">
        <v>-46</v>
      </c>
      <c r="H35" s="42">
        <v>42</v>
      </c>
      <c r="I35" s="42">
        <v>-174</v>
      </c>
      <c r="J35" s="42">
        <v>132</v>
      </c>
      <c r="K35" s="42">
        <v>-55</v>
      </c>
      <c r="L35" s="42">
        <v>8</v>
      </c>
      <c r="M35" s="42">
        <v>-71</v>
      </c>
      <c r="N35" s="42">
        <v>6</v>
      </c>
      <c r="O35" s="42">
        <v>0</v>
      </c>
      <c r="P35" s="42">
        <v>7</v>
      </c>
      <c r="Q35" s="42">
        <v>0</v>
      </c>
      <c r="R35" s="49"/>
    </row>
    <row r="36" spans="1:18">
      <c r="A36" s="42">
        <v>2013</v>
      </c>
      <c r="B36" s="42">
        <v>15510</v>
      </c>
      <c r="C36" s="42">
        <v>-2316</v>
      </c>
      <c r="D36" s="42">
        <v>218</v>
      </c>
      <c r="E36" s="42">
        <v>-3197</v>
      </c>
      <c r="F36" s="42">
        <v>81</v>
      </c>
      <c r="G36" s="42">
        <v>-41</v>
      </c>
      <c r="H36" s="42">
        <v>60</v>
      </c>
      <c r="I36" s="42">
        <v>-207</v>
      </c>
      <c r="J36" s="42">
        <v>163</v>
      </c>
      <c r="K36" s="42">
        <v>-43</v>
      </c>
      <c r="L36" s="42">
        <v>6</v>
      </c>
      <c r="M36" s="42">
        <v>-80</v>
      </c>
      <c r="N36" s="42">
        <v>3</v>
      </c>
      <c r="O36" s="42">
        <v>0</v>
      </c>
      <c r="P36" s="42">
        <v>0</v>
      </c>
      <c r="Q36" s="42">
        <v>-2</v>
      </c>
      <c r="R36" s="49"/>
    </row>
    <row r="37" spans="1:18">
      <c r="A37" s="42">
        <v>2014</v>
      </c>
      <c r="B37" s="42">
        <v>19778</v>
      </c>
      <c r="C37" s="42">
        <v>-1842</v>
      </c>
      <c r="D37" s="42">
        <v>275</v>
      </c>
      <c r="E37" s="42">
        <v>-3140</v>
      </c>
      <c r="F37" s="42">
        <v>93</v>
      </c>
      <c r="G37" s="42">
        <v>-49</v>
      </c>
      <c r="H37" s="42">
        <v>54</v>
      </c>
      <c r="I37" s="42">
        <v>-256</v>
      </c>
      <c r="J37" s="42">
        <v>155</v>
      </c>
      <c r="K37" s="42">
        <v>-34</v>
      </c>
      <c r="L37" s="42">
        <v>9</v>
      </c>
      <c r="M37" s="42">
        <v>-81</v>
      </c>
      <c r="N37" s="42">
        <v>5</v>
      </c>
      <c r="O37" s="42">
        <v>0</v>
      </c>
      <c r="P37" s="42">
        <v>2</v>
      </c>
      <c r="Q37" s="42">
        <v>0</v>
      </c>
      <c r="R37" s="49"/>
    </row>
    <row r="38" spans="1:18">
      <c r="A38" s="42">
        <v>2015</v>
      </c>
      <c r="B38" s="42">
        <v>11394</v>
      </c>
      <c r="C38" s="42">
        <v>-1199</v>
      </c>
      <c r="D38" s="42">
        <v>304</v>
      </c>
      <c r="E38" s="42">
        <v>-2870</v>
      </c>
      <c r="F38" s="42">
        <v>103</v>
      </c>
      <c r="G38" s="42">
        <v>-45</v>
      </c>
      <c r="H38" s="42">
        <v>60</v>
      </c>
      <c r="I38" s="42">
        <v>-299</v>
      </c>
      <c r="J38" s="42">
        <v>182</v>
      </c>
      <c r="K38" s="42">
        <v>-26</v>
      </c>
      <c r="L38" s="42">
        <v>11</v>
      </c>
      <c r="M38" s="42">
        <v>-96</v>
      </c>
      <c r="N38" s="42">
        <v>4</v>
      </c>
      <c r="O38" s="42">
        <v>0</v>
      </c>
      <c r="P38" s="42">
        <v>2</v>
      </c>
      <c r="Q38" s="42">
        <v>-3</v>
      </c>
      <c r="R38" s="49"/>
    </row>
    <row r="39" spans="1:18">
      <c r="A39" s="42">
        <v>2016</v>
      </c>
      <c r="B39" s="42">
        <v>8694</v>
      </c>
      <c r="C39" s="42">
        <v>-791</v>
      </c>
      <c r="D39" s="42">
        <v>321</v>
      </c>
      <c r="E39" s="42">
        <v>-2815</v>
      </c>
      <c r="F39" s="42">
        <v>100</v>
      </c>
      <c r="G39" s="42">
        <v>-38</v>
      </c>
      <c r="H39" s="42">
        <v>81</v>
      </c>
      <c r="I39" s="42">
        <v>-287</v>
      </c>
      <c r="J39" s="42">
        <v>163</v>
      </c>
      <c r="K39" s="42">
        <v>-21</v>
      </c>
      <c r="L39" s="42">
        <v>5</v>
      </c>
      <c r="M39" s="42">
        <v>-62</v>
      </c>
      <c r="N39" s="42">
        <v>0</v>
      </c>
      <c r="O39" s="42">
        <v>0</v>
      </c>
      <c r="P39" s="42">
        <v>0</v>
      </c>
      <c r="Q39" s="42">
        <v>-4</v>
      </c>
      <c r="R39" s="49"/>
    </row>
    <row r="40" spans="1:18">
      <c r="A40" s="42">
        <v>2017</v>
      </c>
      <c r="B40" s="42">
        <v>12727</v>
      </c>
      <c r="C40" s="42">
        <v>-480</v>
      </c>
      <c r="D40" s="42">
        <v>292</v>
      </c>
      <c r="E40" s="42">
        <v>-2770</v>
      </c>
      <c r="F40" s="42">
        <v>72</v>
      </c>
      <c r="G40" s="42">
        <v>-28</v>
      </c>
      <c r="H40" s="42">
        <v>84</v>
      </c>
      <c r="I40" s="42">
        <v>-340</v>
      </c>
      <c r="J40" s="42">
        <v>164</v>
      </c>
      <c r="K40" s="42">
        <v>-15</v>
      </c>
      <c r="L40" s="42">
        <v>12</v>
      </c>
      <c r="M40" s="42">
        <v>-84</v>
      </c>
      <c r="N40" s="42">
        <v>6</v>
      </c>
      <c r="O40" s="42">
        <v>-1</v>
      </c>
      <c r="P40" s="42">
        <v>0</v>
      </c>
      <c r="Q40" s="42">
        <v>-3</v>
      </c>
      <c r="R40" s="49"/>
    </row>
    <row r="41" spans="1:18">
      <c r="A41" s="42">
        <v>2018</v>
      </c>
      <c r="B41" s="42">
        <v>10825</v>
      </c>
      <c r="C41" s="42">
        <v>-233</v>
      </c>
      <c r="D41" s="42">
        <v>291</v>
      </c>
      <c r="E41" s="42">
        <v>-2496</v>
      </c>
      <c r="F41" s="42">
        <v>83</v>
      </c>
      <c r="G41" s="42">
        <v>-14</v>
      </c>
      <c r="H41" s="42">
        <v>90</v>
      </c>
      <c r="I41" s="42">
        <v>-373</v>
      </c>
      <c r="J41" s="42">
        <v>133</v>
      </c>
      <c r="K41" s="42">
        <v>-3</v>
      </c>
      <c r="L41" s="42">
        <v>5</v>
      </c>
      <c r="M41" s="42">
        <v>-76</v>
      </c>
      <c r="N41" s="42">
        <v>5</v>
      </c>
      <c r="O41" s="42">
        <v>0</v>
      </c>
      <c r="P41" s="42">
        <v>2</v>
      </c>
      <c r="Q41" s="42">
        <v>0</v>
      </c>
      <c r="R41" s="49"/>
    </row>
    <row r="42" spans="1:18">
      <c r="A42" s="42">
        <v>2019</v>
      </c>
      <c r="B42" s="42">
        <v>3095</v>
      </c>
      <c r="C42" s="42">
        <v>-129</v>
      </c>
      <c r="D42" s="42">
        <v>282</v>
      </c>
      <c r="E42" s="42">
        <v>-2195</v>
      </c>
      <c r="F42" s="42">
        <v>69</v>
      </c>
      <c r="G42" s="42">
        <v>-5</v>
      </c>
      <c r="H42" s="42">
        <v>99</v>
      </c>
      <c r="I42" s="42">
        <v>-396</v>
      </c>
      <c r="J42" s="42">
        <v>79</v>
      </c>
      <c r="K42" s="42">
        <v>-3</v>
      </c>
      <c r="L42" s="42">
        <v>10</v>
      </c>
      <c r="M42" s="42">
        <v>-69</v>
      </c>
      <c r="N42" s="42">
        <v>2</v>
      </c>
      <c r="O42" s="42">
        <v>0</v>
      </c>
      <c r="P42" s="42">
        <v>4</v>
      </c>
      <c r="Q42" s="42">
        <v>-2</v>
      </c>
      <c r="R42" s="49"/>
    </row>
    <row r="43" spans="1:18">
      <c r="A43" s="42">
        <v>2020</v>
      </c>
      <c r="B43" s="42">
        <v>2140</v>
      </c>
      <c r="C43" s="42">
        <v>-54</v>
      </c>
      <c r="D43" s="42">
        <v>228</v>
      </c>
      <c r="E43" s="42">
        <v>-1755</v>
      </c>
      <c r="F43" s="42">
        <v>61</v>
      </c>
      <c r="G43" s="42">
        <v>-4</v>
      </c>
      <c r="H43" s="42">
        <v>73</v>
      </c>
      <c r="I43" s="42">
        <v>-422</v>
      </c>
      <c r="J43" s="42">
        <v>31</v>
      </c>
      <c r="K43" s="42">
        <v>-10</v>
      </c>
      <c r="L43" s="42">
        <v>8</v>
      </c>
      <c r="M43" s="42">
        <v>-52</v>
      </c>
      <c r="N43" s="42">
        <v>0</v>
      </c>
      <c r="O43" s="42">
        <v>0</v>
      </c>
      <c r="P43" s="42">
        <v>0</v>
      </c>
      <c r="Q43" s="42">
        <v>0</v>
      </c>
      <c r="R43" s="49"/>
    </row>
    <row r="44" spans="1:18">
      <c r="A44" s="42">
        <v>2021</v>
      </c>
      <c r="B44" s="42">
        <v>1183</v>
      </c>
      <c r="C44" s="42">
        <v>-47</v>
      </c>
      <c r="D44" s="42">
        <v>239</v>
      </c>
      <c r="E44" s="42">
        <v>-2132</v>
      </c>
      <c r="F44" s="42">
        <v>42</v>
      </c>
      <c r="G44" s="42">
        <v>-2</v>
      </c>
      <c r="H44" s="42">
        <v>74</v>
      </c>
      <c r="I44" s="42">
        <v>-436</v>
      </c>
      <c r="J44" s="42">
        <v>37</v>
      </c>
      <c r="K44" s="42">
        <v>-2</v>
      </c>
      <c r="L44" s="42">
        <v>8</v>
      </c>
      <c r="M44" s="42">
        <v>-64</v>
      </c>
      <c r="N44" s="42">
        <v>1</v>
      </c>
      <c r="O44" s="42">
        <v>0</v>
      </c>
      <c r="P44" s="42">
        <v>0</v>
      </c>
      <c r="Q44" s="42">
        <v>-2</v>
      </c>
    </row>
    <row r="45" spans="1:18">
      <c r="A45" s="42">
        <v>2022</v>
      </c>
      <c r="B45" s="42">
        <v>671</v>
      </c>
      <c r="C45" s="42">
        <v>-21</v>
      </c>
      <c r="D45" s="42">
        <v>148</v>
      </c>
      <c r="E45" s="42">
        <v>-2991</v>
      </c>
      <c r="F45" s="42">
        <v>31</v>
      </c>
      <c r="G45" s="42">
        <v>-1</v>
      </c>
      <c r="H45" s="42">
        <v>51</v>
      </c>
      <c r="I45" s="42">
        <v>-724</v>
      </c>
      <c r="J45" s="42">
        <v>48</v>
      </c>
      <c r="K45" s="42">
        <v>0</v>
      </c>
      <c r="L45" s="42">
        <v>3</v>
      </c>
      <c r="M45" s="42">
        <v>-113</v>
      </c>
      <c r="N45" s="42">
        <v>1</v>
      </c>
      <c r="O45" s="42">
        <v>0</v>
      </c>
      <c r="P45" s="42">
        <v>0</v>
      </c>
      <c r="Q45" s="42">
        <v>-2</v>
      </c>
    </row>
    <row r="46" spans="1:18">
      <c r="A46" s="42">
        <v>2023</v>
      </c>
      <c r="B46" s="42">
        <v>344</v>
      </c>
      <c r="C46" s="42">
        <v>0</v>
      </c>
      <c r="D46" s="42">
        <v>141006</v>
      </c>
      <c r="E46" s="42">
        <v>0</v>
      </c>
      <c r="F46" s="42">
        <v>19</v>
      </c>
      <c r="G46" s="42">
        <v>0</v>
      </c>
      <c r="H46" s="42">
        <v>8997</v>
      </c>
      <c r="I46" s="42">
        <v>0</v>
      </c>
      <c r="J46" s="42">
        <v>13</v>
      </c>
      <c r="K46" s="42">
        <v>0</v>
      </c>
      <c r="L46" s="42">
        <v>7650</v>
      </c>
      <c r="M46" s="42">
        <v>0</v>
      </c>
      <c r="N46" s="42">
        <v>0</v>
      </c>
      <c r="O46" s="42">
        <v>0</v>
      </c>
      <c r="P46" s="42">
        <v>296</v>
      </c>
      <c r="Q46" s="42">
        <v>0</v>
      </c>
    </row>
    <row r="47" spans="1:18">
      <c r="A47" s="42"/>
      <c r="B47" s="42"/>
      <c r="C47" s="42"/>
      <c r="D47" s="42"/>
      <c r="E47" s="42"/>
      <c r="F47" s="42"/>
      <c r="G47" s="42"/>
      <c r="H47" s="42"/>
      <c r="I47" s="42"/>
      <c r="J47" s="42"/>
      <c r="K47" s="42"/>
      <c r="L47" s="42"/>
      <c r="M47" s="42"/>
      <c r="N47" s="42"/>
      <c r="O47" s="42"/>
      <c r="P47" s="42"/>
      <c r="Q47" s="42"/>
    </row>
  </sheetData>
  <mergeCells count="1">
    <mergeCell ref="N1:O1"/>
  </mergeCells>
  <phoneticPr fontId="5" type="noConversion"/>
  <hyperlinks>
    <hyperlink ref="N1:O1" location="Contents!A1" display="Back to Contents" xr:uid="{00000000-0004-0000-1300-000000000000}"/>
  </hyperlinks>
  <pageMargins left="0.75" right="0.75" top="1" bottom="1" header="0.5" footer="0.5"/>
  <pageSetup paperSize="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39997558519241921"/>
  </sheetPr>
  <dimension ref="A1:Q750"/>
  <sheetViews>
    <sheetView topLeftCell="B1" workbookViewId="0">
      <selection activeCell="B1" sqref="B1"/>
    </sheetView>
  </sheetViews>
  <sheetFormatPr defaultColWidth="8.81640625" defaultRowHeight="12.5"/>
  <cols>
    <col min="1" max="1" width="8.81640625" hidden="1" customWidth="1"/>
    <col min="2" max="2" width="8.81640625" customWidth="1"/>
    <col min="3" max="3" width="11.1796875" style="1" customWidth="1"/>
    <col min="5" max="5" width="12.1796875" customWidth="1"/>
    <col min="6" max="6" width="9.7265625" bestFit="1" customWidth="1"/>
  </cols>
  <sheetData>
    <row r="1" spans="1:17" ht="24" customHeight="1">
      <c r="D1" s="17" t="s">
        <v>395</v>
      </c>
      <c r="E1" s="13"/>
      <c r="F1" s="13"/>
      <c r="G1" s="31"/>
      <c r="H1" s="31"/>
      <c r="I1" s="31"/>
      <c r="J1" s="212" t="s">
        <v>79</v>
      </c>
      <c r="K1" s="212"/>
    </row>
    <row r="2" spans="1:17" ht="20">
      <c r="A2" s="58"/>
      <c r="B2" s="74" t="s">
        <v>362</v>
      </c>
      <c r="C2" s="58" t="s">
        <v>396</v>
      </c>
      <c r="D2" s="58" t="s">
        <v>397</v>
      </c>
      <c r="E2" s="58" t="s">
        <v>398</v>
      </c>
      <c r="F2" s="58" t="s">
        <v>399</v>
      </c>
      <c r="G2" s="58" t="s">
        <v>400</v>
      </c>
      <c r="H2" s="58" t="s">
        <v>401</v>
      </c>
    </row>
    <row r="3" spans="1:17">
      <c r="A3">
        <f>IF(B3=B2, A2, A2+1)</f>
        <v>1</v>
      </c>
      <c r="B3" s="42" t="s">
        <v>374</v>
      </c>
      <c r="C3" s="42">
        <v>2000</v>
      </c>
      <c r="D3" s="65">
        <v>1.158653846</v>
      </c>
      <c r="E3" s="42">
        <v>104</v>
      </c>
      <c r="F3" s="65">
        <v>10.53741497</v>
      </c>
      <c r="G3" s="66">
        <v>147</v>
      </c>
      <c r="H3" s="60">
        <f>G3/E3</f>
        <v>1.4134615384615385</v>
      </c>
      <c r="I3" s="42"/>
      <c r="J3" s="42"/>
      <c r="K3" s="42"/>
      <c r="L3" s="42"/>
      <c r="M3" s="42"/>
      <c r="N3" s="42"/>
      <c r="O3" s="42"/>
      <c r="P3" s="42"/>
      <c r="Q3" s="42"/>
    </row>
    <row r="4" spans="1:17">
      <c r="A4">
        <f t="shared" ref="A4:A71" si="0">IF(B4=B3, A3, A3+1)</f>
        <v>1</v>
      </c>
      <c r="B4" s="42" t="s">
        <v>374</v>
      </c>
      <c r="C4" s="42">
        <v>2001</v>
      </c>
      <c r="D4" s="65">
        <v>1.0242424240000001</v>
      </c>
      <c r="E4" s="42">
        <v>165</v>
      </c>
      <c r="F4" s="65">
        <v>10.91530055</v>
      </c>
      <c r="G4" s="66">
        <v>183</v>
      </c>
      <c r="H4" s="60">
        <f t="shared" ref="H4:H69" si="1">G4/E4</f>
        <v>1.1090909090909091</v>
      </c>
    </row>
    <row r="5" spans="1:17">
      <c r="A5">
        <f t="shared" si="0"/>
        <v>1</v>
      </c>
      <c r="B5" s="42" t="s">
        <v>374</v>
      </c>
      <c r="C5" s="42">
        <v>2002</v>
      </c>
      <c r="D5" s="65">
        <v>0.69230769199999997</v>
      </c>
      <c r="E5" s="42">
        <v>156</v>
      </c>
      <c r="F5" s="65">
        <v>11.66203704</v>
      </c>
      <c r="G5" s="66">
        <v>324</v>
      </c>
      <c r="H5" s="60">
        <f t="shared" si="1"/>
        <v>2.0769230769230771</v>
      </c>
    </row>
    <row r="6" spans="1:17">
      <c r="A6">
        <f t="shared" si="0"/>
        <v>1</v>
      </c>
      <c r="B6" s="42" t="s">
        <v>374</v>
      </c>
      <c r="C6" s="42">
        <v>2003</v>
      </c>
      <c r="D6" s="65">
        <v>0.51141552499999998</v>
      </c>
      <c r="E6" s="42">
        <v>219</v>
      </c>
      <c r="F6" s="65">
        <v>12.16796875</v>
      </c>
      <c r="G6" s="66">
        <v>256</v>
      </c>
      <c r="H6" s="60">
        <f t="shared" si="1"/>
        <v>1.1689497716894977</v>
      </c>
    </row>
    <row r="7" spans="1:17">
      <c r="A7">
        <f t="shared" si="0"/>
        <v>1</v>
      </c>
      <c r="B7" s="42" t="s">
        <v>374</v>
      </c>
      <c r="C7" s="42">
        <v>2004</v>
      </c>
      <c r="D7" s="65">
        <v>0.63636363600000001</v>
      </c>
      <c r="E7" s="42">
        <v>275</v>
      </c>
      <c r="F7" s="65">
        <v>11.42913386</v>
      </c>
      <c r="G7" s="66">
        <v>254</v>
      </c>
      <c r="H7" s="60">
        <f t="shared" si="1"/>
        <v>0.92363636363636359</v>
      </c>
    </row>
    <row r="8" spans="1:17">
      <c r="A8">
        <f t="shared" si="0"/>
        <v>1</v>
      </c>
      <c r="B8" s="42" t="s">
        <v>374</v>
      </c>
      <c r="C8" s="42">
        <v>2005</v>
      </c>
      <c r="D8" s="65">
        <v>0.84615384599999999</v>
      </c>
      <c r="E8" s="42">
        <v>208</v>
      </c>
      <c r="F8" s="65">
        <v>11.48927039</v>
      </c>
      <c r="G8" s="66">
        <v>233</v>
      </c>
      <c r="H8" s="60">
        <f t="shared" si="1"/>
        <v>1.1201923076923077</v>
      </c>
    </row>
    <row r="9" spans="1:17">
      <c r="A9">
        <f t="shared" si="0"/>
        <v>1</v>
      </c>
      <c r="B9" s="42" t="s">
        <v>374</v>
      </c>
      <c r="C9" s="42">
        <v>2006</v>
      </c>
      <c r="D9" s="65">
        <v>0.83576642300000004</v>
      </c>
      <c r="E9" s="42">
        <v>137</v>
      </c>
      <c r="F9" s="65">
        <v>12.411363639999999</v>
      </c>
      <c r="G9" s="66">
        <v>220</v>
      </c>
      <c r="H9" s="60">
        <f t="shared" si="1"/>
        <v>1.6058394160583942</v>
      </c>
    </row>
    <row r="10" spans="1:17">
      <c r="A10">
        <f t="shared" si="0"/>
        <v>1</v>
      </c>
      <c r="B10" s="42" t="s">
        <v>374</v>
      </c>
      <c r="C10" s="42">
        <v>2007</v>
      </c>
      <c r="D10" s="65">
        <v>0.61256544499999999</v>
      </c>
      <c r="E10" s="42">
        <v>191</v>
      </c>
      <c r="F10" s="65">
        <v>12.077120819999999</v>
      </c>
      <c r="G10" s="66">
        <v>389</v>
      </c>
      <c r="H10" s="60">
        <f t="shared" si="1"/>
        <v>2.0366492146596857</v>
      </c>
    </row>
    <row r="11" spans="1:17">
      <c r="A11">
        <f t="shared" si="0"/>
        <v>1</v>
      </c>
      <c r="B11" s="42" t="s">
        <v>374</v>
      </c>
      <c r="C11" s="42">
        <v>2008</v>
      </c>
      <c r="D11" s="65">
        <v>0.52666666699999998</v>
      </c>
      <c r="E11" s="42">
        <v>300</v>
      </c>
      <c r="F11" s="65">
        <v>12.260545909999999</v>
      </c>
      <c r="G11" s="66">
        <v>403</v>
      </c>
      <c r="H11" s="60">
        <f t="shared" si="1"/>
        <v>1.3433333333333333</v>
      </c>
    </row>
    <row r="12" spans="1:17">
      <c r="A12">
        <f t="shared" si="0"/>
        <v>1</v>
      </c>
      <c r="B12" s="42" t="s">
        <v>374</v>
      </c>
      <c r="C12" s="42">
        <v>2009</v>
      </c>
      <c r="D12" s="65">
        <v>0.686746988</v>
      </c>
      <c r="E12" s="42">
        <v>415</v>
      </c>
      <c r="F12" s="65">
        <v>5.0217391300000003</v>
      </c>
      <c r="G12" s="66">
        <v>46</v>
      </c>
      <c r="H12" s="60">
        <f t="shared" si="1"/>
        <v>0.1108433734939759</v>
      </c>
    </row>
    <row r="13" spans="1:17">
      <c r="A13">
        <f t="shared" si="0"/>
        <v>1</v>
      </c>
      <c r="B13" s="42" t="s">
        <v>374</v>
      </c>
      <c r="C13" s="42">
        <v>2010</v>
      </c>
      <c r="D13" s="65">
        <v>0.65062761499999999</v>
      </c>
      <c r="E13" s="42">
        <v>239</v>
      </c>
      <c r="F13" s="65">
        <v>6.3295454549999999</v>
      </c>
      <c r="G13" s="66">
        <v>44</v>
      </c>
      <c r="H13" s="60">
        <f t="shared" si="1"/>
        <v>0.18410041841004185</v>
      </c>
    </row>
    <row r="14" spans="1:17">
      <c r="A14">
        <f t="shared" si="0"/>
        <v>1</v>
      </c>
      <c r="B14" s="42" t="s">
        <v>374</v>
      </c>
      <c r="C14" s="42">
        <v>2011</v>
      </c>
      <c r="D14" s="65">
        <v>0.5</v>
      </c>
      <c r="E14" s="42">
        <v>308</v>
      </c>
      <c r="F14" s="65">
        <v>7.9</v>
      </c>
      <c r="G14" s="66">
        <v>25</v>
      </c>
      <c r="H14" s="60">
        <f t="shared" si="1"/>
        <v>8.1168831168831168E-2</v>
      </c>
    </row>
    <row r="15" spans="1:17">
      <c r="A15">
        <f t="shared" si="0"/>
        <v>1</v>
      </c>
      <c r="B15" s="42" t="s">
        <v>374</v>
      </c>
      <c r="C15" s="42">
        <v>2012</v>
      </c>
      <c r="D15" s="65">
        <v>0.95666666700000003</v>
      </c>
      <c r="E15" s="42">
        <v>300</v>
      </c>
      <c r="F15" s="65">
        <v>5.0169491529999997</v>
      </c>
      <c r="G15" s="66">
        <v>59</v>
      </c>
      <c r="H15" s="60">
        <f t="shared" si="1"/>
        <v>0.19666666666666666</v>
      </c>
    </row>
    <row r="16" spans="1:17">
      <c r="A16">
        <f t="shared" si="0"/>
        <v>1</v>
      </c>
      <c r="B16" s="42" t="s">
        <v>374</v>
      </c>
      <c r="C16" s="42">
        <v>2013</v>
      </c>
      <c r="D16" s="65">
        <v>0.56965944300000004</v>
      </c>
      <c r="E16" s="42">
        <v>323</v>
      </c>
      <c r="F16" s="65">
        <v>4.8826086960000001</v>
      </c>
      <c r="G16" s="66">
        <v>115</v>
      </c>
      <c r="H16" s="60">
        <f t="shared" si="1"/>
        <v>0.35603715170278638</v>
      </c>
    </row>
    <row r="17" spans="1:8">
      <c r="A17">
        <f t="shared" si="0"/>
        <v>1</v>
      </c>
      <c r="B17" s="42" t="s">
        <v>374</v>
      </c>
      <c r="C17" s="42">
        <v>2014</v>
      </c>
      <c r="D17" s="65">
        <v>0.66194968600000004</v>
      </c>
      <c r="E17" s="42">
        <v>318</v>
      </c>
      <c r="F17" s="65">
        <v>5.7962962960000004</v>
      </c>
      <c r="G17" s="66">
        <v>81</v>
      </c>
      <c r="H17" s="60">
        <f t="shared" si="1"/>
        <v>0.25471698113207547</v>
      </c>
    </row>
    <row r="18" spans="1:8">
      <c r="A18">
        <f t="shared" si="0"/>
        <v>1</v>
      </c>
      <c r="B18" s="42" t="s">
        <v>374</v>
      </c>
      <c r="C18" s="42">
        <v>2015</v>
      </c>
      <c r="D18" s="65">
        <v>0.58030303000000005</v>
      </c>
      <c r="E18" s="42">
        <v>330</v>
      </c>
      <c r="F18" s="65">
        <v>6.1527777779999999</v>
      </c>
      <c r="G18" s="66">
        <v>72</v>
      </c>
      <c r="H18" s="60">
        <f t="shared" si="1"/>
        <v>0.21818181818181817</v>
      </c>
    </row>
    <row r="19" spans="1:8">
      <c r="A19">
        <f t="shared" si="0"/>
        <v>1</v>
      </c>
      <c r="B19" s="42" t="s">
        <v>374</v>
      </c>
      <c r="C19" s="42">
        <v>2016</v>
      </c>
      <c r="D19" s="65">
        <v>0.87294469399999997</v>
      </c>
      <c r="E19" s="42">
        <v>669</v>
      </c>
      <c r="F19" s="65">
        <v>6.8937499999999998</v>
      </c>
      <c r="G19" s="66">
        <v>80</v>
      </c>
      <c r="H19" s="60">
        <f t="shared" si="1"/>
        <v>0.11958146487294469</v>
      </c>
    </row>
    <row r="20" spans="1:8">
      <c r="A20">
        <f t="shared" si="0"/>
        <v>1</v>
      </c>
      <c r="B20" s="42" t="s">
        <v>374</v>
      </c>
      <c r="C20" s="42">
        <v>2017</v>
      </c>
      <c r="D20" s="65">
        <v>0.56745362600000004</v>
      </c>
      <c r="E20" s="42">
        <v>593</v>
      </c>
      <c r="F20" s="65">
        <v>6.5705882349999998</v>
      </c>
      <c r="G20" s="66">
        <v>85</v>
      </c>
      <c r="H20" s="60">
        <f t="shared" si="1"/>
        <v>0.14333895446880271</v>
      </c>
    </row>
    <row r="21" spans="1:8">
      <c r="A21">
        <f t="shared" si="0"/>
        <v>1</v>
      </c>
      <c r="B21" s="42" t="s">
        <v>374</v>
      </c>
      <c r="C21" s="42">
        <v>2018</v>
      </c>
      <c r="D21" s="65">
        <v>0.55639534899999998</v>
      </c>
      <c r="E21" s="42">
        <v>860</v>
      </c>
      <c r="F21" s="65">
        <v>6.7937500000000002</v>
      </c>
      <c r="G21" s="66">
        <v>80</v>
      </c>
      <c r="H21" s="60">
        <f t="shared" si="1"/>
        <v>9.3023255813953487E-2</v>
      </c>
    </row>
    <row r="22" spans="1:8">
      <c r="A22">
        <f t="shared" si="0"/>
        <v>1</v>
      </c>
      <c r="B22" s="42" t="s">
        <v>374</v>
      </c>
      <c r="C22" s="42">
        <v>2019</v>
      </c>
      <c r="D22" s="65">
        <v>0.538157895</v>
      </c>
      <c r="E22" s="42">
        <v>380</v>
      </c>
      <c r="F22" s="65">
        <v>6.9076923079999997</v>
      </c>
      <c r="G22" s="66">
        <v>65</v>
      </c>
      <c r="H22" s="60">
        <f t="shared" si="1"/>
        <v>0.17105263157894737</v>
      </c>
    </row>
    <row r="23" spans="1:8">
      <c r="A23">
        <f t="shared" si="0"/>
        <v>1</v>
      </c>
      <c r="B23" s="42" t="s">
        <v>374</v>
      </c>
      <c r="C23" s="42">
        <v>2020</v>
      </c>
      <c r="D23" s="65">
        <v>0.54524886900000002</v>
      </c>
      <c r="E23" s="42">
        <v>221</v>
      </c>
      <c r="F23" s="65">
        <v>8.2608695650000001</v>
      </c>
      <c r="G23" s="66">
        <v>46</v>
      </c>
      <c r="H23" s="60">
        <f t="shared" si="1"/>
        <v>0.20814479638009051</v>
      </c>
    </row>
    <row r="24" spans="1:8">
      <c r="A24">
        <f t="shared" si="0"/>
        <v>1</v>
      </c>
      <c r="B24" s="42" t="s">
        <v>374</v>
      </c>
      <c r="C24" s="42">
        <v>2021</v>
      </c>
      <c r="D24" s="65">
        <v>0.57083333300000005</v>
      </c>
      <c r="E24" s="42">
        <v>360</v>
      </c>
      <c r="F24" s="65">
        <v>9.9464285710000002</v>
      </c>
      <c r="G24" s="66">
        <v>28</v>
      </c>
      <c r="H24" s="60">
        <f t="shared" si="1"/>
        <v>7.7777777777777779E-2</v>
      </c>
    </row>
    <row r="25" spans="1:8">
      <c r="B25" s="193" t="s">
        <v>374</v>
      </c>
      <c r="C25" s="193">
        <v>2022</v>
      </c>
      <c r="D25" s="195">
        <v>0.76728110599999999</v>
      </c>
      <c r="E25" s="193">
        <v>434</v>
      </c>
      <c r="F25" s="195">
        <v>9.9069767439999996</v>
      </c>
      <c r="G25" s="196">
        <v>43</v>
      </c>
      <c r="H25" s="197">
        <f t="shared" si="1"/>
        <v>9.9078341013824886E-2</v>
      </c>
    </row>
    <row r="26" spans="1:8">
      <c r="B26" s="193" t="s">
        <v>374</v>
      </c>
      <c r="C26" s="193">
        <v>2023</v>
      </c>
      <c r="D26" s="195">
        <v>1.2633228839999999</v>
      </c>
      <c r="E26" s="193">
        <v>319</v>
      </c>
      <c r="F26" s="195">
        <v>10.57142857</v>
      </c>
      <c r="G26" s="196">
        <v>49</v>
      </c>
      <c r="H26" s="197">
        <f t="shared" si="1"/>
        <v>0.15360501567398119</v>
      </c>
    </row>
    <row r="27" spans="1:8">
      <c r="A27">
        <f>IF(B27=B24, A24, A24+1)</f>
        <v>2</v>
      </c>
      <c r="B27" s="42" t="s">
        <v>375</v>
      </c>
      <c r="C27" s="42">
        <v>2000</v>
      </c>
      <c r="D27" s="65">
        <v>1.538227147</v>
      </c>
      <c r="E27" s="42">
        <v>14440</v>
      </c>
      <c r="F27" s="65">
        <v>7.8871492480000001</v>
      </c>
      <c r="G27" s="66">
        <v>4918</v>
      </c>
      <c r="H27" s="60">
        <f t="shared" si="1"/>
        <v>0.34058171745152355</v>
      </c>
    </row>
    <row r="28" spans="1:8">
      <c r="A28">
        <f t="shared" si="0"/>
        <v>2</v>
      </c>
      <c r="B28" s="42" t="s">
        <v>375</v>
      </c>
      <c r="C28" s="42">
        <v>2001</v>
      </c>
      <c r="D28" s="65">
        <v>1.3796709519999999</v>
      </c>
      <c r="E28" s="42">
        <v>15013</v>
      </c>
      <c r="F28" s="65">
        <v>8.1376720900000006</v>
      </c>
      <c r="G28" s="66">
        <v>4794</v>
      </c>
      <c r="H28" s="60">
        <f t="shared" si="1"/>
        <v>0.31932325318057686</v>
      </c>
    </row>
    <row r="29" spans="1:8">
      <c r="A29">
        <f t="shared" si="0"/>
        <v>2</v>
      </c>
      <c r="B29" s="42" t="s">
        <v>375</v>
      </c>
      <c r="C29" s="42">
        <v>2002</v>
      </c>
      <c r="D29" s="65">
        <v>1.2054494950000001</v>
      </c>
      <c r="E29" s="42">
        <v>16919</v>
      </c>
      <c r="F29" s="65">
        <v>7.6547209340000002</v>
      </c>
      <c r="G29" s="66">
        <v>6683</v>
      </c>
      <c r="H29" s="60">
        <f t="shared" si="1"/>
        <v>0.39499970447425969</v>
      </c>
    </row>
    <row r="30" spans="1:8">
      <c r="A30">
        <f t="shared" si="0"/>
        <v>2</v>
      </c>
      <c r="B30" s="42" t="s">
        <v>375</v>
      </c>
      <c r="C30" s="42">
        <v>2003</v>
      </c>
      <c r="D30" s="65">
        <v>1.164385429</v>
      </c>
      <c r="E30" s="42">
        <v>18338</v>
      </c>
      <c r="F30" s="65">
        <v>8.2849609130000008</v>
      </c>
      <c r="G30" s="66">
        <v>8059</v>
      </c>
      <c r="H30" s="60">
        <f t="shared" si="1"/>
        <v>0.43946995310284653</v>
      </c>
    </row>
    <row r="31" spans="1:8">
      <c r="A31">
        <f t="shared" si="0"/>
        <v>2</v>
      </c>
      <c r="B31" s="42" t="s">
        <v>375</v>
      </c>
      <c r="C31" s="42">
        <v>2004</v>
      </c>
      <c r="D31" s="65">
        <v>1.027972887</v>
      </c>
      <c r="E31" s="42">
        <v>20359</v>
      </c>
      <c r="F31" s="65">
        <v>8.8300363560000008</v>
      </c>
      <c r="G31" s="66">
        <v>9352</v>
      </c>
      <c r="H31" s="60">
        <f t="shared" si="1"/>
        <v>0.45935458519573652</v>
      </c>
    </row>
    <row r="32" spans="1:8">
      <c r="A32">
        <f t="shared" si="0"/>
        <v>2</v>
      </c>
      <c r="B32" s="42" t="s">
        <v>375</v>
      </c>
      <c r="C32" s="42">
        <v>2005</v>
      </c>
      <c r="D32" s="65">
        <v>0.94417698299999997</v>
      </c>
      <c r="E32" s="42">
        <v>21810</v>
      </c>
      <c r="F32" s="65">
        <v>8.7955518020000003</v>
      </c>
      <c r="G32" s="66">
        <v>8880</v>
      </c>
      <c r="H32" s="60">
        <f t="shared" si="1"/>
        <v>0.40715268225584594</v>
      </c>
    </row>
    <row r="33" spans="1:8">
      <c r="A33">
        <f t="shared" si="0"/>
        <v>2</v>
      </c>
      <c r="B33" s="42" t="s">
        <v>375</v>
      </c>
      <c r="C33" s="42">
        <v>2006</v>
      </c>
      <c r="D33" s="65">
        <v>0.98366766400000005</v>
      </c>
      <c r="E33" s="42">
        <v>20389</v>
      </c>
      <c r="F33" s="65">
        <v>9.0057531379999993</v>
      </c>
      <c r="G33" s="66">
        <v>7648</v>
      </c>
      <c r="H33" s="60">
        <f t="shared" si="1"/>
        <v>0.37510422286527051</v>
      </c>
    </row>
    <row r="34" spans="1:8">
      <c r="A34">
        <f t="shared" si="0"/>
        <v>2</v>
      </c>
      <c r="B34" s="42" t="s">
        <v>375</v>
      </c>
      <c r="C34" s="42">
        <v>2007</v>
      </c>
      <c r="D34" s="65">
        <v>1.020713464</v>
      </c>
      <c r="E34" s="42">
        <v>21725</v>
      </c>
      <c r="F34" s="65">
        <v>8.0596713019999999</v>
      </c>
      <c r="G34" s="66">
        <v>7910</v>
      </c>
      <c r="H34" s="60">
        <f t="shared" si="1"/>
        <v>0.36409666283084002</v>
      </c>
    </row>
    <row r="35" spans="1:8">
      <c r="A35">
        <f t="shared" si="0"/>
        <v>2</v>
      </c>
      <c r="B35" s="42" t="s">
        <v>375</v>
      </c>
      <c r="C35" s="42">
        <v>2008</v>
      </c>
      <c r="D35" s="65">
        <v>1.000273306</v>
      </c>
      <c r="E35" s="42">
        <v>20124</v>
      </c>
      <c r="F35" s="65">
        <v>8.2411138570000002</v>
      </c>
      <c r="G35" s="66">
        <v>5261</v>
      </c>
      <c r="H35" s="60">
        <f t="shared" si="1"/>
        <v>0.26142913933611606</v>
      </c>
    </row>
    <row r="36" spans="1:8">
      <c r="A36">
        <f t="shared" si="0"/>
        <v>2</v>
      </c>
      <c r="B36" s="42" t="s">
        <v>375</v>
      </c>
      <c r="C36" s="42">
        <v>2009</v>
      </c>
      <c r="D36" s="65">
        <v>1.2483068319999999</v>
      </c>
      <c r="E36" s="42">
        <v>13584</v>
      </c>
      <c r="F36" s="65">
        <v>9.0895131090000003</v>
      </c>
      <c r="G36" s="66">
        <v>2670</v>
      </c>
      <c r="H36" s="60">
        <f t="shared" si="1"/>
        <v>0.19655477031802121</v>
      </c>
    </row>
    <row r="37" spans="1:8">
      <c r="A37">
        <f t="shared" si="0"/>
        <v>2</v>
      </c>
      <c r="B37" s="42" t="s">
        <v>375</v>
      </c>
      <c r="C37" s="42">
        <v>2010</v>
      </c>
      <c r="D37" s="65">
        <v>1.1853331730000001</v>
      </c>
      <c r="E37" s="42">
        <v>16643</v>
      </c>
      <c r="F37" s="65">
        <v>9.201989288</v>
      </c>
      <c r="G37" s="66">
        <v>2614</v>
      </c>
      <c r="H37" s="60">
        <f t="shared" si="1"/>
        <v>0.15706302950189269</v>
      </c>
    </row>
    <row r="38" spans="1:8">
      <c r="A38">
        <f t="shared" si="0"/>
        <v>2</v>
      </c>
      <c r="B38" s="42" t="s">
        <v>375</v>
      </c>
      <c r="C38" s="42">
        <v>2011</v>
      </c>
      <c r="D38" s="65">
        <v>1.1532704199999999</v>
      </c>
      <c r="E38" s="42">
        <v>18438</v>
      </c>
      <c r="F38" s="65">
        <v>9.5477928970000008</v>
      </c>
      <c r="G38" s="66">
        <v>3013</v>
      </c>
      <c r="H38" s="60">
        <f t="shared" si="1"/>
        <v>0.16341251762664064</v>
      </c>
    </row>
    <row r="39" spans="1:8">
      <c r="A39">
        <f t="shared" si="0"/>
        <v>2</v>
      </c>
      <c r="B39" s="42" t="s">
        <v>375</v>
      </c>
      <c r="C39" s="42">
        <v>2012</v>
      </c>
      <c r="D39" s="65">
        <v>1.134537498</v>
      </c>
      <c r="E39" s="42">
        <v>21481</v>
      </c>
      <c r="F39" s="65">
        <v>9.0295244179999994</v>
      </c>
      <c r="G39" s="66">
        <v>3133</v>
      </c>
      <c r="H39" s="60">
        <f t="shared" si="1"/>
        <v>0.14584982077184488</v>
      </c>
    </row>
    <row r="40" spans="1:8">
      <c r="A40">
        <f t="shared" si="0"/>
        <v>2</v>
      </c>
      <c r="B40" s="42" t="s">
        <v>375</v>
      </c>
      <c r="C40" s="42">
        <v>2013</v>
      </c>
      <c r="D40" s="65">
        <v>0.98505177200000005</v>
      </c>
      <c r="E40" s="42">
        <v>27428</v>
      </c>
      <c r="F40" s="65">
        <v>7.7766673070000003</v>
      </c>
      <c r="G40" s="66">
        <v>5203</v>
      </c>
      <c r="H40" s="60">
        <f t="shared" si="1"/>
        <v>0.18969666034709057</v>
      </c>
    </row>
    <row r="41" spans="1:8">
      <c r="A41">
        <f t="shared" si="0"/>
        <v>2</v>
      </c>
      <c r="B41" s="42" t="s">
        <v>375</v>
      </c>
      <c r="C41" s="42">
        <v>2014</v>
      </c>
      <c r="D41" s="65">
        <v>0.87670196700000003</v>
      </c>
      <c r="E41" s="42">
        <v>32389</v>
      </c>
      <c r="F41" s="65">
        <v>7.7491271460000002</v>
      </c>
      <c r="G41" s="66">
        <v>6874</v>
      </c>
      <c r="H41" s="60">
        <f t="shared" si="1"/>
        <v>0.21223254808731359</v>
      </c>
    </row>
    <row r="42" spans="1:8">
      <c r="A42">
        <f t="shared" si="0"/>
        <v>2</v>
      </c>
      <c r="B42" s="42" t="s">
        <v>375</v>
      </c>
      <c r="C42" s="42">
        <v>2015</v>
      </c>
      <c r="D42" s="65">
        <v>0.89618637999999995</v>
      </c>
      <c r="E42" s="42">
        <v>34875</v>
      </c>
      <c r="F42" s="65">
        <v>8.0989555440000007</v>
      </c>
      <c r="G42" s="66">
        <v>7468</v>
      </c>
      <c r="H42" s="60">
        <f t="shared" si="1"/>
        <v>0.21413620071684589</v>
      </c>
    </row>
    <row r="43" spans="1:8">
      <c r="A43">
        <f t="shared" si="0"/>
        <v>2</v>
      </c>
      <c r="B43" s="42" t="s">
        <v>375</v>
      </c>
      <c r="C43" s="42">
        <v>2016</v>
      </c>
      <c r="D43" s="65">
        <v>0.87325995499999998</v>
      </c>
      <c r="E43" s="42">
        <v>40157</v>
      </c>
      <c r="F43" s="65">
        <v>8.1935417309999998</v>
      </c>
      <c r="G43" s="66">
        <v>9693</v>
      </c>
      <c r="H43" s="60">
        <f t="shared" si="1"/>
        <v>0.24137759294768035</v>
      </c>
    </row>
    <row r="44" spans="1:8">
      <c r="A44">
        <f t="shared" si="0"/>
        <v>2</v>
      </c>
      <c r="B44" s="42" t="s">
        <v>375</v>
      </c>
      <c r="C44" s="42">
        <v>2017</v>
      </c>
      <c r="D44" s="65">
        <v>0.83683470400000004</v>
      </c>
      <c r="E44" s="42">
        <v>46220</v>
      </c>
      <c r="F44" s="65">
        <v>8.4650802089999999</v>
      </c>
      <c r="G44" s="66">
        <v>11283</v>
      </c>
      <c r="H44" s="60">
        <f t="shared" si="1"/>
        <v>0.24411510168758113</v>
      </c>
    </row>
    <row r="45" spans="1:8">
      <c r="A45">
        <f t="shared" si="0"/>
        <v>2</v>
      </c>
      <c r="B45" s="42" t="s">
        <v>375</v>
      </c>
      <c r="C45" s="42">
        <v>2018</v>
      </c>
      <c r="D45" s="65">
        <v>0.82043957000000001</v>
      </c>
      <c r="E45" s="42">
        <v>47956</v>
      </c>
      <c r="F45" s="65">
        <v>8.9512289910000007</v>
      </c>
      <c r="G45" s="66">
        <v>10293</v>
      </c>
      <c r="H45" s="60">
        <f t="shared" si="1"/>
        <v>0.21463424806072232</v>
      </c>
    </row>
    <row r="46" spans="1:8">
      <c r="A46">
        <f t="shared" si="0"/>
        <v>2</v>
      </c>
      <c r="B46" s="42" t="s">
        <v>375</v>
      </c>
      <c r="C46" s="42">
        <v>2019</v>
      </c>
      <c r="D46" s="65">
        <v>0.82874280600000005</v>
      </c>
      <c r="E46" s="42">
        <v>45347</v>
      </c>
      <c r="F46" s="65">
        <v>8.9057012909999997</v>
      </c>
      <c r="G46" s="66">
        <v>9454</v>
      </c>
      <c r="H46" s="60">
        <f t="shared" si="1"/>
        <v>0.20848126667695768</v>
      </c>
    </row>
    <row r="47" spans="1:8">
      <c r="A47">
        <f t="shared" si="0"/>
        <v>2</v>
      </c>
      <c r="B47" s="42" t="s">
        <v>375</v>
      </c>
      <c r="C47" s="42">
        <v>2020</v>
      </c>
      <c r="D47" s="65">
        <v>0.99027010100000001</v>
      </c>
      <c r="E47" s="42">
        <v>35098</v>
      </c>
      <c r="F47" s="65">
        <v>9.3196732289999993</v>
      </c>
      <c r="G47" s="66">
        <v>7467</v>
      </c>
      <c r="H47" s="60">
        <f t="shared" si="1"/>
        <v>0.21274716508063138</v>
      </c>
    </row>
    <row r="48" spans="1:8">
      <c r="A48">
        <f t="shared" si="0"/>
        <v>2</v>
      </c>
      <c r="B48" s="42" t="s">
        <v>375</v>
      </c>
      <c r="C48" s="42">
        <v>2021</v>
      </c>
      <c r="D48" s="65">
        <v>0.87389998999999996</v>
      </c>
      <c r="E48" s="42">
        <v>48295</v>
      </c>
      <c r="F48" s="65">
        <v>9.7006442229999994</v>
      </c>
      <c r="G48" s="66">
        <v>4812</v>
      </c>
      <c r="H48" s="60">
        <f t="shared" si="1"/>
        <v>9.9637643648410809E-2</v>
      </c>
    </row>
    <row r="49" spans="1:8">
      <c r="B49" s="42" t="s">
        <v>375</v>
      </c>
      <c r="C49" s="42">
        <v>2022</v>
      </c>
      <c r="D49" s="65">
        <v>0.98346613599999999</v>
      </c>
      <c r="E49" s="42">
        <v>42670</v>
      </c>
      <c r="F49" s="65">
        <v>8.7480420080000005</v>
      </c>
      <c r="G49" s="66">
        <v>5618</v>
      </c>
      <c r="H49" s="60">
        <f t="shared" si="1"/>
        <v>0.13166158893836419</v>
      </c>
    </row>
    <row r="50" spans="1:8">
      <c r="B50" s="42" t="s">
        <v>375</v>
      </c>
      <c r="C50" s="42">
        <v>2023</v>
      </c>
      <c r="D50" s="65">
        <v>1.1376107019999999</v>
      </c>
      <c r="E50" s="42">
        <v>32294</v>
      </c>
      <c r="F50" s="65">
        <v>7.8590539379999997</v>
      </c>
      <c r="G50" s="66">
        <v>4672</v>
      </c>
      <c r="H50" s="60">
        <f t="shared" si="1"/>
        <v>0.14467083668792965</v>
      </c>
    </row>
    <row r="51" spans="1:8">
      <c r="A51">
        <f>IF(B51=B48, A48, A48+1)</f>
        <v>3</v>
      </c>
      <c r="B51" s="42" t="s">
        <v>376</v>
      </c>
      <c r="C51" s="42">
        <v>2000</v>
      </c>
      <c r="D51" s="65">
        <v>1.396846048</v>
      </c>
      <c r="E51" s="42">
        <v>60337</v>
      </c>
      <c r="F51" s="65">
        <v>7.2975703349999996</v>
      </c>
      <c r="G51" s="66">
        <v>117794</v>
      </c>
      <c r="H51" s="60">
        <f t="shared" si="1"/>
        <v>1.9522680942042197</v>
      </c>
    </row>
    <row r="52" spans="1:8">
      <c r="A52">
        <f t="shared" si="0"/>
        <v>3</v>
      </c>
      <c r="B52" s="42" t="s">
        <v>376</v>
      </c>
      <c r="C52" s="42">
        <v>2001</v>
      </c>
      <c r="D52" s="65">
        <v>1.3420922900000001</v>
      </c>
      <c r="E52" s="42">
        <v>60852</v>
      </c>
      <c r="F52" s="65">
        <v>7.5676539979999999</v>
      </c>
      <c r="G52" s="66">
        <v>130554</v>
      </c>
      <c r="H52" s="60">
        <f t="shared" si="1"/>
        <v>2.1454348254782096</v>
      </c>
    </row>
    <row r="53" spans="1:8">
      <c r="A53">
        <f t="shared" si="0"/>
        <v>3</v>
      </c>
      <c r="B53" s="42" t="s">
        <v>376</v>
      </c>
      <c r="C53" s="42">
        <v>2002</v>
      </c>
      <c r="D53" s="65">
        <v>1.2970640579999999</v>
      </c>
      <c r="E53" s="42">
        <v>66861</v>
      </c>
      <c r="F53" s="65">
        <v>7.1970477150000001</v>
      </c>
      <c r="G53" s="66">
        <v>138469</v>
      </c>
      <c r="H53" s="60">
        <f t="shared" si="1"/>
        <v>2.0709980407113266</v>
      </c>
    </row>
    <row r="54" spans="1:8">
      <c r="A54">
        <f t="shared" si="0"/>
        <v>3</v>
      </c>
      <c r="B54" s="42" t="s">
        <v>376</v>
      </c>
      <c r="C54" s="42">
        <v>2003</v>
      </c>
      <c r="D54" s="65">
        <v>1.171820716</v>
      </c>
      <c r="E54" s="42">
        <v>72823</v>
      </c>
      <c r="F54" s="65">
        <v>7.2862805699999997</v>
      </c>
      <c r="G54" s="66">
        <v>159183</v>
      </c>
      <c r="H54" s="60">
        <f t="shared" si="1"/>
        <v>2.1858890735069965</v>
      </c>
    </row>
    <row r="55" spans="1:8">
      <c r="A55">
        <f t="shared" si="0"/>
        <v>3</v>
      </c>
      <c r="B55" s="42" t="s">
        <v>376</v>
      </c>
      <c r="C55" s="42">
        <v>2004</v>
      </c>
      <c r="D55" s="65">
        <v>1.0815259209999999</v>
      </c>
      <c r="E55" s="42">
        <v>76675</v>
      </c>
      <c r="F55" s="65">
        <v>7.6877839779999997</v>
      </c>
      <c r="G55" s="66">
        <v>156262</v>
      </c>
      <c r="H55" s="60">
        <f t="shared" si="1"/>
        <v>2.0379784805999348</v>
      </c>
    </row>
    <row r="56" spans="1:8">
      <c r="A56">
        <f t="shared" si="0"/>
        <v>3</v>
      </c>
      <c r="B56" s="42" t="s">
        <v>376</v>
      </c>
      <c r="C56" s="42">
        <v>2005</v>
      </c>
      <c r="D56" s="65">
        <v>1.0440467040000001</v>
      </c>
      <c r="E56" s="42">
        <v>79393</v>
      </c>
      <c r="F56" s="65">
        <v>8.1407565470000005</v>
      </c>
      <c r="G56" s="66">
        <v>154888</v>
      </c>
      <c r="H56" s="60">
        <f t="shared" si="1"/>
        <v>1.9509024725101709</v>
      </c>
    </row>
    <row r="57" spans="1:8">
      <c r="A57">
        <f t="shared" si="0"/>
        <v>3</v>
      </c>
      <c r="B57" s="42" t="s">
        <v>376</v>
      </c>
      <c r="C57" s="42">
        <v>2006</v>
      </c>
      <c r="D57" s="65">
        <v>1.0359465459999999</v>
      </c>
      <c r="E57" s="42">
        <v>78422</v>
      </c>
      <c r="F57" s="65">
        <v>8.3696248999999998</v>
      </c>
      <c r="G57" s="66">
        <v>126393</v>
      </c>
      <c r="H57" s="60">
        <f t="shared" si="1"/>
        <v>1.6117033485501517</v>
      </c>
    </row>
    <row r="58" spans="1:8">
      <c r="A58">
        <f t="shared" si="0"/>
        <v>3</v>
      </c>
      <c r="B58" s="42" t="s">
        <v>376</v>
      </c>
      <c r="C58" s="42">
        <v>2007</v>
      </c>
      <c r="D58" s="65">
        <v>1.026160704</v>
      </c>
      <c r="E58" s="42">
        <v>79413</v>
      </c>
      <c r="F58" s="65">
        <v>8.4117889330000004</v>
      </c>
      <c r="G58" s="66">
        <v>123828</v>
      </c>
      <c r="H58" s="60">
        <f t="shared" si="1"/>
        <v>1.5592912999131125</v>
      </c>
    </row>
    <row r="59" spans="1:8">
      <c r="A59">
        <f t="shared" si="0"/>
        <v>3</v>
      </c>
      <c r="B59" s="42" t="s">
        <v>376</v>
      </c>
      <c r="C59" s="42">
        <v>2008</v>
      </c>
      <c r="D59" s="65">
        <v>0.99645898899999996</v>
      </c>
      <c r="E59" s="42">
        <v>75261</v>
      </c>
      <c r="F59" s="65">
        <v>8.5736227809999992</v>
      </c>
      <c r="G59" s="66">
        <v>94502</v>
      </c>
      <c r="H59" s="60">
        <f t="shared" si="1"/>
        <v>1.2556569803749618</v>
      </c>
    </row>
    <row r="60" spans="1:8">
      <c r="A60">
        <f t="shared" si="0"/>
        <v>3</v>
      </c>
      <c r="B60" s="42" t="s">
        <v>376</v>
      </c>
      <c r="C60" s="42">
        <v>2009</v>
      </c>
      <c r="D60" s="65">
        <v>1.2689724469999999</v>
      </c>
      <c r="E60" s="42">
        <v>56727</v>
      </c>
      <c r="F60" s="65">
        <v>8.3165002940000008</v>
      </c>
      <c r="G60" s="66">
        <v>73229</v>
      </c>
      <c r="H60" s="60">
        <f t="shared" si="1"/>
        <v>1.290902039593139</v>
      </c>
    </row>
    <row r="61" spans="1:8">
      <c r="A61">
        <f t="shared" si="0"/>
        <v>3</v>
      </c>
      <c r="B61" s="42" t="s">
        <v>376</v>
      </c>
      <c r="C61" s="42">
        <v>2010</v>
      </c>
      <c r="D61" s="65">
        <v>1.181671176</v>
      </c>
      <c r="E61" s="42">
        <v>64314</v>
      </c>
      <c r="F61" s="65">
        <v>8.2903429580000001</v>
      </c>
      <c r="G61" s="66">
        <v>92606</v>
      </c>
      <c r="H61" s="60">
        <f t="shared" si="1"/>
        <v>1.4399042199210126</v>
      </c>
    </row>
    <row r="62" spans="1:8">
      <c r="A62">
        <f t="shared" si="0"/>
        <v>3</v>
      </c>
      <c r="B62" s="42" t="s">
        <v>376</v>
      </c>
      <c r="C62" s="42">
        <v>2011</v>
      </c>
      <c r="D62" s="65">
        <v>1.1265943439999999</v>
      </c>
      <c r="E62" s="42">
        <v>66093</v>
      </c>
      <c r="F62" s="65">
        <v>8.9583283809999994</v>
      </c>
      <c r="G62" s="66">
        <v>84134</v>
      </c>
      <c r="H62" s="60">
        <f t="shared" si="1"/>
        <v>1.2729638539633548</v>
      </c>
    </row>
    <row r="63" spans="1:8">
      <c r="A63">
        <f t="shared" si="0"/>
        <v>3</v>
      </c>
      <c r="B63" s="42" t="s">
        <v>376</v>
      </c>
      <c r="C63" s="42">
        <v>2012</v>
      </c>
      <c r="D63" s="65">
        <v>1.0475712079999999</v>
      </c>
      <c r="E63" s="42">
        <v>79134</v>
      </c>
      <c r="F63" s="65">
        <v>8.2181798199999996</v>
      </c>
      <c r="G63" s="66">
        <v>81882</v>
      </c>
      <c r="H63" s="60">
        <f t="shared" si="1"/>
        <v>1.0347259079535978</v>
      </c>
    </row>
    <row r="64" spans="1:8">
      <c r="A64">
        <f t="shared" si="0"/>
        <v>3</v>
      </c>
      <c r="B64" s="42" t="s">
        <v>376</v>
      </c>
      <c r="C64" s="42">
        <v>2013</v>
      </c>
      <c r="D64" s="65">
        <v>0.98627585100000004</v>
      </c>
      <c r="E64" s="42">
        <v>84814</v>
      </c>
      <c r="F64" s="65">
        <v>8.0426554889999995</v>
      </c>
      <c r="G64" s="66">
        <v>102226</v>
      </c>
      <c r="H64" s="60">
        <f t="shared" si="1"/>
        <v>1.2052962954229254</v>
      </c>
    </row>
    <row r="65" spans="1:8">
      <c r="A65">
        <f t="shared" si="0"/>
        <v>3</v>
      </c>
      <c r="B65" s="42" t="s">
        <v>376</v>
      </c>
      <c r="C65" s="42">
        <v>2014</v>
      </c>
      <c r="D65" s="65">
        <v>0.93481446400000001</v>
      </c>
      <c r="E65" s="42">
        <v>92812</v>
      </c>
      <c r="F65" s="65">
        <v>8.3863126179999998</v>
      </c>
      <c r="G65" s="66">
        <v>132750</v>
      </c>
      <c r="H65" s="60">
        <f t="shared" si="1"/>
        <v>1.430310735680731</v>
      </c>
    </row>
    <row r="66" spans="1:8">
      <c r="A66">
        <f t="shared" si="0"/>
        <v>3</v>
      </c>
      <c r="B66" s="42" t="s">
        <v>376</v>
      </c>
      <c r="C66" s="42">
        <v>2015</v>
      </c>
      <c r="D66" s="65">
        <v>0.90266122999999998</v>
      </c>
      <c r="E66" s="42">
        <v>97361</v>
      </c>
      <c r="F66" s="65">
        <v>8.8416597199999991</v>
      </c>
      <c r="G66" s="66">
        <v>146362</v>
      </c>
      <c r="H66" s="60">
        <f t="shared" si="1"/>
        <v>1.503291872515689</v>
      </c>
    </row>
    <row r="67" spans="1:8">
      <c r="A67">
        <f t="shared" si="0"/>
        <v>3</v>
      </c>
      <c r="B67" s="42" t="s">
        <v>376</v>
      </c>
      <c r="C67" s="42">
        <v>2016</v>
      </c>
      <c r="D67" s="65">
        <v>0.90991598900000004</v>
      </c>
      <c r="E67" s="42">
        <v>105224</v>
      </c>
      <c r="F67" s="65">
        <v>9.595819273</v>
      </c>
      <c r="G67" s="66">
        <v>152318</v>
      </c>
      <c r="H67" s="60">
        <f t="shared" si="1"/>
        <v>1.4475594921310728</v>
      </c>
    </row>
    <row r="68" spans="1:8">
      <c r="A68">
        <f t="shared" si="0"/>
        <v>3</v>
      </c>
      <c r="B68" s="42" t="s">
        <v>376</v>
      </c>
      <c r="C68" s="42">
        <v>2017</v>
      </c>
      <c r="D68" s="65">
        <v>0.89485304700000001</v>
      </c>
      <c r="E68" s="42">
        <v>111192</v>
      </c>
      <c r="F68" s="65">
        <v>9.8454932310000007</v>
      </c>
      <c r="G68" s="66">
        <v>168258</v>
      </c>
      <c r="H68" s="60">
        <f t="shared" si="1"/>
        <v>1.5132203755665876</v>
      </c>
    </row>
    <row r="69" spans="1:8">
      <c r="A69">
        <f t="shared" si="0"/>
        <v>3</v>
      </c>
      <c r="B69" s="42" t="s">
        <v>376</v>
      </c>
      <c r="C69" s="42">
        <v>2018</v>
      </c>
      <c r="D69" s="65">
        <v>0.86030561299999997</v>
      </c>
      <c r="E69" s="42">
        <v>110663</v>
      </c>
      <c r="F69" s="65">
        <v>10.20260174</v>
      </c>
      <c r="G69" s="66">
        <v>150438</v>
      </c>
      <c r="H69" s="60">
        <f t="shared" si="1"/>
        <v>1.359424559247445</v>
      </c>
    </row>
    <row r="70" spans="1:8">
      <c r="A70">
        <f t="shared" si="0"/>
        <v>3</v>
      </c>
      <c r="B70" s="42" t="s">
        <v>376</v>
      </c>
      <c r="C70" s="42">
        <v>2019</v>
      </c>
      <c r="D70" s="65">
        <v>0.85091517000000005</v>
      </c>
      <c r="E70" s="42">
        <v>106483</v>
      </c>
      <c r="F70" s="65">
        <v>10.232111529999999</v>
      </c>
      <c r="G70" s="66">
        <v>143067</v>
      </c>
      <c r="H70" s="60">
        <f t="shared" ref="H70:H136" si="2">G70/E70</f>
        <v>1.3435665787027038</v>
      </c>
    </row>
    <row r="71" spans="1:8">
      <c r="A71">
        <f t="shared" si="0"/>
        <v>3</v>
      </c>
      <c r="B71" s="42" t="s">
        <v>376</v>
      </c>
      <c r="C71" s="42">
        <v>2020</v>
      </c>
      <c r="D71" s="65">
        <v>0.95845594000000001</v>
      </c>
      <c r="E71" s="42">
        <v>83261</v>
      </c>
      <c r="F71" s="65">
        <v>10.17376608</v>
      </c>
      <c r="G71" s="66">
        <v>115972</v>
      </c>
      <c r="H71" s="60">
        <f t="shared" si="2"/>
        <v>1.3928730137759575</v>
      </c>
    </row>
    <row r="72" spans="1:8">
      <c r="A72">
        <f t="shared" ref="A72:A141" si="3">IF(B72=B71, A71, A71+1)</f>
        <v>3</v>
      </c>
      <c r="B72" s="42" t="s">
        <v>376</v>
      </c>
      <c r="C72" s="42">
        <v>2021</v>
      </c>
      <c r="D72" s="65">
        <v>0.85490428699999998</v>
      </c>
      <c r="E72" s="42">
        <v>114614</v>
      </c>
      <c r="F72" s="65">
        <v>9.8646115390000002</v>
      </c>
      <c r="G72" s="66">
        <v>124826</v>
      </c>
      <c r="H72" s="60">
        <f t="shared" si="2"/>
        <v>1.0890990629416999</v>
      </c>
    </row>
    <row r="73" spans="1:8">
      <c r="B73" s="193" t="s">
        <v>376</v>
      </c>
      <c r="C73" s="193">
        <v>2022</v>
      </c>
      <c r="D73" s="195">
        <v>0.87594608200000001</v>
      </c>
      <c r="E73" s="193">
        <v>119440</v>
      </c>
      <c r="F73" s="195">
        <v>9.9229534650000009</v>
      </c>
      <c r="G73" s="196">
        <v>114645</v>
      </c>
      <c r="H73" s="197">
        <f t="shared" si="2"/>
        <v>0.95985432016075012</v>
      </c>
    </row>
    <row r="74" spans="1:8">
      <c r="B74" s="193" t="s">
        <v>376</v>
      </c>
      <c r="C74" s="193">
        <v>2023</v>
      </c>
      <c r="D74" s="195">
        <v>0.89645032899999999</v>
      </c>
      <c r="E74" s="193">
        <v>113588</v>
      </c>
      <c r="F74" s="195">
        <v>9.3153224590000008</v>
      </c>
      <c r="G74" s="196">
        <v>119178</v>
      </c>
      <c r="H74" s="197">
        <f t="shared" si="2"/>
        <v>1.0492129450294045</v>
      </c>
    </row>
    <row r="75" spans="1:8">
      <c r="A75">
        <f>IF(B75=B72, A72, A72+1)</f>
        <v>4</v>
      </c>
      <c r="B75" s="42" t="s">
        <v>402</v>
      </c>
      <c r="C75" s="42">
        <v>2000</v>
      </c>
      <c r="D75" s="65">
        <v>1.4241478000000001</v>
      </c>
      <c r="E75" s="42">
        <v>74777</v>
      </c>
      <c r="F75" s="65">
        <v>7.3211992309999996</v>
      </c>
      <c r="G75" s="66">
        <v>122712</v>
      </c>
      <c r="H75" s="60">
        <f t="shared" si="2"/>
        <v>1.641039357021544</v>
      </c>
    </row>
    <row r="76" spans="1:8">
      <c r="A76">
        <f t="shared" si="3"/>
        <v>4</v>
      </c>
      <c r="B76" s="42" t="s">
        <v>402</v>
      </c>
      <c r="C76" s="42">
        <v>2001</v>
      </c>
      <c r="D76" s="65">
        <v>1.3495287680000001</v>
      </c>
      <c r="E76" s="42">
        <v>75865</v>
      </c>
      <c r="F76" s="65">
        <v>7.5878439279999998</v>
      </c>
      <c r="G76" s="66">
        <v>135348</v>
      </c>
      <c r="H76" s="60">
        <f t="shared" si="2"/>
        <v>1.7840637975350953</v>
      </c>
    </row>
    <row r="77" spans="1:8">
      <c r="A77">
        <f t="shared" si="3"/>
        <v>4</v>
      </c>
      <c r="B77" s="42" t="s">
        <v>402</v>
      </c>
      <c r="C77" s="42">
        <v>2002</v>
      </c>
      <c r="D77" s="65">
        <v>1.2785629030000001</v>
      </c>
      <c r="E77" s="42">
        <v>83780</v>
      </c>
      <c r="F77" s="65">
        <v>7.218119626</v>
      </c>
      <c r="G77" s="66">
        <v>145152</v>
      </c>
      <c r="H77" s="60">
        <f t="shared" si="2"/>
        <v>1.7325375984721891</v>
      </c>
    </row>
    <row r="78" spans="1:8">
      <c r="A78">
        <f t="shared" si="3"/>
        <v>4</v>
      </c>
      <c r="B78" s="42" t="s">
        <v>402</v>
      </c>
      <c r="C78" s="42">
        <v>2003</v>
      </c>
      <c r="D78" s="65">
        <v>1.170325029</v>
      </c>
      <c r="E78" s="42">
        <v>91161</v>
      </c>
      <c r="F78" s="65">
        <v>7.3344046350000003</v>
      </c>
      <c r="G78" s="66">
        <v>167242</v>
      </c>
      <c r="H78" s="60">
        <f t="shared" si="2"/>
        <v>1.8345783832998761</v>
      </c>
    </row>
    <row r="79" spans="1:8">
      <c r="A79">
        <f t="shared" si="3"/>
        <v>4</v>
      </c>
      <c r="B79" s="42" t="s">
        <v>402</v>
      </c>
      <c r="C79" s="42">
        <v>2004</v>
      </c>
      <c r="D79" s="65">
        <v>1.0702897950000001</v>
      </c>
      <c r="E79" s="42">
        <v>97034</v>
      </c>
      <c r="F79" s="65">
        <v>7.7522854350000001</v>
      </c>
      <c r="G79" s="66">
        <v>165614</v>
      </c>
      <c r="H79" s="60">
        <f t="shared" si="2"/>
        <v>1.7067625780654203</v>
      </c>
    </row>
    <row r="80" spans="1:8">
      <c r="A80">
        <f t="shared" si="3"/>
        <v>4</v>
      </c>
      <c r="B80" s="42" t="s">
        <v>402</v>
      </c>
      <c r="C80" s="42">
        <v>2005</v>
      </c>
      <c r="D80" s="65">
        <v>1.0225240360000001</v>
      </c>
      <c r="E80" s="42">
        <v>101203</v>
      </c>
      <c r="F80" s="65">
        <v>8.1762615410000006</v>
      </c>
      <c r="G80" s="66">
        <v>163768</v>
      </c>
      <c r="H80" s="60">
        <f t="shared" si="2"/>
        <v>1.6182128988271098</v>
      </c>
    </row>
    <row r="81" spans="1:8">
      <c r="A81">
        <f t="shared" si="3"/>
        <v>4</v>
      </c>
      <c r="B81" s="42" t="s">
        <v>402</v>
      </c>
      <c r="C81" s="42">
        <v>2006</v>
      </c>
      <c r="D81" s="65">
        <v>1.0251591419999999</v>
      </c>
      <c r="E81" s="42">
        <v>98811</v>
      </c>
      <c r="F81" s="65">
        <v>8.4059205769999998</v>
      </c>
      <c r="G81" s="66">
        <v>134041</v>
      </c>
      <c r="H81" s="60">
        <f t="shared" si="2"/>
        <v>1.3565392517027457</v>
      </c>
    </row>
    <row r="82" spans="1:8">
      <c r="A82">
        <f t="shared" si="3"/>
        <v>4</v>
      </c>
      <c r="B82" s="42" t="s">
        <v>402</v>
      </c>
      <c r="C82" s="42">
        <v>2007</v>
      </c>
      <c r="D82" s="65">
        <v>1.0249906070000001</v>
      </c>
      <c r="E82" s="42">
        <v>101138</v>
      </c>
      <c r="F82" s="65">
        <v>8.3906465860000008</v>
      </c>
      <c r="G82" s="66">
        <v>131738</v>
      </c>
      <c r="H82" s="60">
        <f t="shared" si="2"/>
        <v>1.3025569024501176</v>
      </c>
    </row>
    <row r="83" spans="1:8">
      <c r="A83">
        <f t="shared" si="3"/>
        <v>4</v>
      </c>
      <c r="B83" s="42" t="s">
        <v>402</v>
      </c>
      <c r="C83" s="42">
        <v>2008</v>
      </c>
      <c r="D83" s="65">
        <v>0.99726372100000005</v>
      </c>
      <c r="E83" s="42">
        <v>95385</v>
      </c>
      <c r="F83" s="65">
        <v>8.5560879280000002</v>
      </c>
      <c r="G83" s="66">
        <v>99763</v>
      </c>
      <c r="H83" s="60">
        <f t="shared" si="2"/>
        <v>1.0458982020233789</v>
      </c>
    </row>
    <row r="84" spans="1:8">
      <c r="A84">
        <f t="shared" si="3"/>
        <v>4</v>
      </c>
      <c r="B84" s="42" t="s">
        <v>402</v>
      </c>
      <c r="C84" s="42">
        <v>2009</v>
      </c>
      <c r="D84" s="65">
        <v>1.2649798750000001</v>
      </c>
      <c r="E84" s="42">
        <v>70311</v>
      </c>
      <c r="F84" s="65">
        <v>8.3436935929999994</v>
      </c>
      <c r="G84" s="66">
        <v>75899</v>
      </c>
      <c r="H84" s="60">
        <f t="shared" si="2"/>
        <v>1.0794754732545406</v>
      </c>
    </row>
    <row r="85" spans="1:8">
      <c r="A85">
        <f t="shared" si="3"/>
        <v>4</v>
      </c>
      <c r="B85" s="42" t="s">
        <v>402</v>
      </c>
      <c r="C85" s="42">
        <v>2010</v>
      </c>
      <c r="D85" s="65">
        <v>1.1824240029999999</v>
      </c>
      <c r="E85" s="42">
        <v>80957</v>
      </c>
      <c r="F85" s="65">
        <v>8.3153696700000008</v>
      </c>
      <c r="G85" s="66">
        <v>95220</v>
      </c>
      <c r="H85" s="60">
        <f t="shared" si="2"/>
        <v>1.176179947379473</v>
      </c>
    </row>
    <row r="86" spans="1:8">
      <c r="A86">
        <f t="shared" si="3"/>
        <v>4</v>
      </c>
      <c r="B86" s="42" t="s">
        <v>402</v>
      </c>
      <c r="C86" s="42">
        <v>2011</v>
      </c>
      <c r="D86" s="65">
        <v>1.132412961</v>
      </c>
      <c r="E86" s="42">
        <v>84531</v>
      </c>
      <c r="F86" s="65">
        <v>8.9787083889999995</v>
      </c>
      <c r="G86" s="66">
        <v>87147</v>
      </c>
      <c r="H86" s="60">
        <f t="shared" si="2"/>
        <v>1.0309472264612982</v>
      </c>
    </row>
    <row r="87" spans="1:8">
      <c r="A87">
        <f t="shared" si="3"/>
        <v>4</v>
      </c>
      <c r="B87" s="42" t="s">
        <v>402</v>
      </c>
      <c r="C87" s="42">
        <v>2012</v>
      </c>
      <c r="D87" s="65">
        <v>1.0661382500000001</v>
      </c>
      <c r="E87" s="42">
        <v>100615</v>
      </c>
      <c r="F87" s="65">
        <v>8.2480797510000006</v>
      </c>
      <c r="G87" s="66">
        <v>85015</v>
      </c>
      <c r="H87" s="60">
        <f t="shared" si="2"/>
        <v>0.84495353575510612</v>
      </c>
    </row>
    <row r="88" spans="1:8">
      <c r="A88">
        <f t="shared" si="3"/>
        <v>4</v>
      </c>
      <c r="B88" s="42" t="s">
        <v>402</v>
      </c>
      <c r="C88" s="42">
        <v>2013</v>
      </c>
      <c r="D88" s="65">
        <v>0.985976729</v>
      </c>
      <c r="E88" s="42">
        <v>112242</v>
      </c>
      <c r="F88" s="65">
        <v>8.0297731530000007</v>
      </c>
      <c r="G88" s="66">
        <v>107429</v>
      </c>
      <c r="H88" s="60">
        <f t="shared" si="2"/>
        <v>0.95711943835640845</v>
      </c>
    </row>
    <row r="89" spans="1:8">
      <c r="A89">
        <f t="shared" si="3"/>
        <v>4</v>
      </c>
      <c r="B89" s="42" t="s">
        <v>402</v>
      </c>
      <c r="C89" s="42">
        <v>2014</v>
      </c>
      <c r="D89" s="65">
        <v>0.91978099199999996</v>
      </c>
      <c r="E89" s="42">
        <v>125201</v>
      </c>
      <c r="F89" s="65">
        <v>8.3549425599999996</v>
      </c>
      <c r="G89" s="66">
        <v>139624</v>
      </c>
      <c r="H89" s="60">
        <f t="shared" si="2"/>
        <v>1.1151987603932876</v>
      </c>
    </row>
    <row r="90" spans="1:8">
      <c r="A90">
        <f t="shared" si="3"/>
        <v>4</v>
      </c>
      <c r="B90" s="42" t="s">
        <v>402</v>
      </c>
      <c r="C90" s="42">
        <v>2015</v>
      </c>
      <c r="D90" s="65">
        <v>0.90095359799999997</v>
      </c>
      <c r="E90" s="42">
        <v>132236</v>
      </c>
      <c r="F90" s="65">
        <v>8.8056035880000003</v>
      </c>
      <c r="G90" s="66">
        <v>153830</v>
      </c>
      <c r="H90" s="60">
        <f t="shared" si="2"/>
        <v>1.163298950361475</v>
      </c>
    </row>
    <row r="91" spans="1:8">
      <c r="A91">
        <f t="shared" si="3"/>
        <v>4</v>
      </c>
      <c r="B91" s="42" t="s">
        <v>402</v>
      </c>
      <c r="C91" s="42">
        <v>2016</v>
      </c>
      <c r="D91" s="65">
        <v>0.89979089400000001</v>
      </c>
      <c r="E91" s="42">
        <v>145381</v>
      </c>
      <c r="F91" s="65">
        <v>9.5119220299999991</v>
      </c>
      <c r="G91" s="66">
        <v>162011</v>
      </c>
      <c r="H91" s="60">
        <f t="shared" si="2"/>
        <v>1.1143890879826113</v>
      </c>
    </row>
    <row r="92" spans="1:8">
      <c r="A92">
        <f t="shared" si="3"/>
        <v>4</v>
      </c>
      <c r="B92" s="42" t="s">
        <v>402</v>
      </c>
      <c r="C92" s="42">
        <v>2017</v>
      </c>
      <c r="D92" s="65">
        <v>0.87781744699999997</v>
      </c>
      <c r="E92" s="42">
        <v>157412</v>
      </c>
      <c r="F92" s="65">
        <v>9.7587431280000008</v>
      </c>
      <c r="G92" s="66">
        <v>179541</v>
      </c>
      <c r="H92" s="60">
        <f t="shared" si="2"/>
        <v>1.1405801336619825</v>
      </c>
    </row>
    <row r="93" spans="1:8">
      <c r="A93">
        <f t="shared" si="3"/>
        <v>4</v>
      </c>
      <c r="B93" s="42" t="s">
        <v>402</v>
      </c>
      <c r="C93" s="42">
        <v>2018</v>
      </c>
      <c r="D93" s="65">
        <v>0.84825273099999998</v>
      </c>
      <c r="E93" s="42">
        <v>158619</v>
      </c>
      <c r="F93" s="65">
        <v>10.12246549</v>
      </c>
      <c r="G93" s="66">
        <v>160731</v>
      </c>
      <c r="H93" s="60">
        <f t="shared" si="2"/>
        <v>1.0133149244415864</v>
      </c>
    </row>
    <row r="94" spans="1:8">
      <c r="A94">
        <f t="shared" si="3"/>
        <v>4</v>
      </c>
      <c r="B94" s="42" t="s">
        <v>402</v>
      </c>
      <c r="C94" s="42">
        <v>2019</v>
      </c>
      <c r="D94" s="65">
        <v>0.84429295900000001</v>
      </c>
      <c r="E94" s="42">
        <v>151830</v>
      </c>
      <c r="F94" s="65">
        <v>10.14989411</v>
      </c>
      <c r="G94" s="66">
        <v>152521</v>
      </c>
      <c r="H94" s="60">
        <f t="shared" si="2"/>
        <v>1.0045511427254166</v>
      </c>
    </row>
    <row r="95" spans="1:8">
      <c r="A95">
        <f t="shared" si="3"/>
        <v>4</v>
      </c>
      <c r="B95" s="42" t="s">
        <v>402</v>
      </c>
      <c r="C95" s="42">
        <v>2020</v>
      </c>
      <c r="D95" s="65">
        <v>0.96789006300000002</v>
      </c>
      <c r="E95" s="42">
        <v>118359</v>
      </c>
      <c r="F95" s="65">
        <v>10.1221008</v>
      </c>
      <c r="G95" s="66">
        <v>123439</v>
      </c>
      <c r="H95" s="60">
        <f t="shared" si="2"/>
        <v>1.0429202679982088</v>
      </c>
    </row>
    <row r="96" spans="1:8">
      <c r="A96">
        <f t="shared" si="3"/>
        <v>4</v>
      </c>
      <c r="B96" s="42" t="s">
        <v>402</v>
      </c>
      <c r="C96" s="42">
        <v>2021</v>
      </c>
      <c r="D96" s="65">
        <v>0.86053563700000002</v>
      </c>
      <c r="E96" s="42">
        <v>162909</v>
      </c>
      <c r="F96" s="65">
        <v>9.8585252780000001</v>
      </c>
      <c r="G96" s="66">
        <v>129638</v>
      </c>
      <c r="H96" s="60">
        <f t="shared" si="2"/>
        <v>0.79576941728204087</v>
      </c>
    </row>
    <row r="97" spans="1:8">
      <c r="B97" s="42" t="s">
        <v>402</v>
      </c>
      <c r="C97" s="42">
        <v>2022</v>
      </c>
      <c r="D97" s="65">
        <v>0.90424711599999996</v>
      </c>
      <c r="E97" s="42">
        <v>162110</v>
      </c>
      <c r="F97" s="65">
        <v>9.8680683170000005</v>
      </c>
      <c r="G97" s="66">
        <v>120263</v>
      </c>
      <c r="H97" s="60">
        <f t="shared" si="2"/>
        <v>0.74186046511627912</v>
      </c>
    </row>
    <row r="98" spans="1:8">
      <c r="B98" s="42" t="s">
        <v>402</v>
      </c>
      <c r="C98" s="42">
        <v>2023</v>
      </c>
      <c r="D98" s="65">
        <v>0.94983616900000001</v>
      </c>
      <c r="E98" s="42">
        <v>145882</v>
      </c>
      <c r="F98" s="65">
        <v>9.2603875660000003</v>
      </c>
      <c r="G98" s="66">
        <v>123850</v>
      </c>
      <c r="H98" s="60">
        <f t="shared" si="2"/>
        <v>0.84897382816248745</v>
      </c>
    </row>
    <row r="99" spans="1:8">
      <c r="A99">
        <f>IF(B99=B96, A96, A96+1)</f>
        <v>5</v>
      </c>
      <c r="B99" s="42" t="s">
        <v>403</v>
      </c>
      <c r="C99" s="42">
        <v>2000</v>
      </c>
      <c r="D99" s="65">
        <v>5.1349587909999999</v>
      </c>
      <c r="E99" s="42">
        <v>4368</v>
      </c>
      <c r="F99" s="65">
        <v>14.62547771</v>
      </c>
      <c r="G99" s="66">
        <v>2355</v>
      </c>
      <c r="H99" s="60">
        <f t="shared" si="2"/>
        <v>0.53914835164835162</v>
      </c>
    </row>
    <row r="100" spans="1:8">
      <c r="A100">
        <f t="shared" si="3"/>
        <v>5</v>
      </c>
      <c r="B100" s="42" t="s">
        <v>403</v>
      </c>
      <c r="C100" s="42">
        <v>2001</v>
      </c>
      <c r="D100" s="65">
        <v>5.2479619570000002</v>
      </c>
      <c r="E100" s="42">
        <v>4416</v>
      </c>
      <c r="F100" s="65">
        <v>14.32774714</v>
      </c>
      <c r="G100" s="66">
        <v>2357</v>
      </c>
      <c r="H100" s="60">
        <f t="shared" si="2"/>
        <v>0.53374094202898548</v>
      </c>
    </row>
    <row r="101" spans="1:8">
      <c r="A101">
        <f t="shared" si="3"/>
        <v>5</v>
      </c>
      <c r="B101" s="42" t="s">
        <v>403</v>
      </c>
      <c r="C101" s="42">
        <v>2002</v>
      </c>
      <c r="D101" s="65">
        <v>4.1738699009999998</v>
      </c>
      <c r="E101" s="42">
        <v>4535</v>
      </c>
      <c r="F101" s="65">
        <v>13.854409009999999</v>
      </c>
      <c r="G101" s="66">
        <v>2665</v>
      </c>
      <c r="H101" s="60">
        <f t="shared" si="2"/>
        <v>0.58765159867695704</v>
      </c>
    </row>
    <row r="102" spans="1:8">
      <c r="A102">
        <f t="shared" si="3"/>
        <v>5</v>
      </c>
      <c r="B102" s="42" t="s">
        <v>403</v>
      </c>
      <c r="C102" s="42">
        <v>2003</v>
      </c>
      <c r="D102" s="65">
        <v>3.3835128719999998</v>
      </c>
      <c r="E102" s="42">
        <v>5477</v>
      </c>
      <c r="F102" s="65">
        <v>13.118102289999999</v>
      </c>
      <c r="G102" s="66">
        <v>2972</v>
      </c>
      <c r="H102" s="60">
        <f t="shared" si="2"/>
        <v>0.54263282819061531</v>
      </c>
    </row>
    <row r="103" spans="1:8">
      <c r="A103">
        <f t="shared" si="3"/>
        <v>5</v>
      </c>
      <c r="B103" s="42" t="s">
        <v>403</v>
      </c>
      <c r="C103" s="42">
        <v>2004</v>
      </c>
      <c r="D103" s="65">
        <v>2.706558486</v>
      </c>
      <c r="E103" s="42">
        <v>7395</v>
      </c>
      <c r="F103" s="65">
        <v>12.55575307</v>
      </c>
      <c r="G103" s="66">
        <v>3094</v>
      </c>
      <c r="H103" s="60">
        <f t="shared" si="2"/>
        <v>0.41839080459770117</v>
      </c>
    </row>
    <row r="104" spans="1:8">
      <c r="A104">
        <f t="shared" si="3"/>
        <v>5</v>
      </c>
      <c r="B104" s="42" t="s">
        <v>403</v>
      </c>
      <c r="C104" s="42">
        <v>2005</v>
      </c>
      <c r="D104" s="65">
        <v>2.0053999629999999</v>
      </c>
      <c r="E104" s="42">
        <v>10926</v>
      </c>
      <c r="F104" s="65">
        <v>12.66918589</v>
      </c>
      <c r="G104" s="66">
        <v>3771</v>
      </c>
      <c r="H104" s="60">
        <f t="shared" si="2"/>
        <v>0.34514003294892914</v>
      </c>
    </row>
    <row r="105" spans="1:8">
      <c r="A105">
        <f t="shared" si="3"/>
        <v>5</v>
      </c>
      <c r="B105" s="42" t="s">
        <v>403</v>
      </c>
      <c r="C105" s="42">
        <v>2006</v>
      </c>
      <c r="D105" s="65">
        <v>1.9804632660000001</v>
      </c>
      <c r="E105" s="42">
        <v>12822</v>
      </c>
      <c r="F105" s="65">
        <v>12.77104072</v>
      </c>
      <c r="G105" s="66">
        <v>4420</v>
      </c>
      <c r="H105" s="60">
        <f t="shared" si="2"/>
        <v>0.3447200124785525</v>
      </c>
    </row>
    <row r="106" spans="1:8">
      <c r="A106">
        <f t="shared" si="3"/>
        <v>5</v>
      </c>
      <c r="B106" s="42" t="s">
        <v>403</v>
      </c>
      <c r="C106" s="42">
        <v>2007</v>
      </c>
      <c r="D106" s="65">
        <v>1.635995992</v>
      </c>
      <c r="E106" s="42">
        <v>13971</v>
      </c>
      <c r="F106" s="65">
        <v>11.78583545</v>
      </c>
      <c r="G106" s="66">
        <v>4716</v>
      </c>
      <c r="H106" s="60">
        <f t="shared" si="2"/>
        <v>0.33755636675971656</v>
      </c>
    </row>
    <row r="107" spans="1:8">
      <c r="A107">
        <f t="shared" si="3"/>
        <v>5</v>
      </c>
      <c r="B107" s="42" t="s">
        <v>403</v>
      </c>
      <c r="C107" s="42">
        <v>2008</v>
      </c>
      <c r="D107" s="65">
        <v>1.5237438919999999</v>
      </c>
      <c r="E107" s="42">
        <v>15962</v>
      </c>
      <c r="F107" s="65">
        <v>12.03663875</v>
      </c>
      <c r="G107" s="66">
        <v>5254</v>
      </c>
      <c r="H107" s="60">
        <f t="shared" si="2"/>
        <v>0.32915674727477762</v>
      </c>
    </row>
    <row r="108" spans="1:8">
      <c r="A108">
        <f t="shared" si="3"/>
        <v>5</v>
      </c>
      <c r="B108" s="42" t="s">
        <v>403</v>
      </c>
      <c r="C108" s="42">
        <v>2009</v>
      </c>
      <c r="D108" s="65">
        <v>2.159790509</v>
      </c>
      <c r="E108" s="42">
        <v>9356</v>
      </c>
      <c r="F108" s="65">
        <v>14.16787265</v>
      </c>
      <c r="G108" s="66">
        <v>3455</v>
      </c>
      <c r="H108" s="60">
        <f t="shared" si="2"/>
        <v>0.36928174433518596</v>
      </c>
    </row>
    <row r="109" spans="1:8">
      <c r="A109">
        <f t="shared" si="3"/>
        <v>5</v>
      </c>
      <c r="B109" s="42" t="s">
        <v>403</v>
      </c>
      <c r="C109" s="42">
        <v>2010</v>
      </c>
      <c r="D109" s="65">
        <v>2.5229220510000001</v>
      </c>
      <c r="E109" s="42">
        <v>7351</v>
      </c>
      <c r="F109" s="65">
        <v>14.31671652</v>
      </c>
      <c r="G109" s="66">
        <v>3009</v>
      </c>
      <c r="H109" s="60">
        <f t="shared" si="2"/>
        <v>0.40933206366480751</v>
      </c>
    </row>
    <row r="110" spans="1:8">
      <c r="A110">
        <f t="shared" si="3"/>
        <v>5</v>
      </c>
      <c r="B110" s="42" t="s">
        <v>403</v>
      </c>
      <c r="C110" s="42">
        <v>2011</v>
      </c>
      <c r="D110" s="65">
        <v>2.44392779</v>
      </c>
      <c r="E110" s="42">
        <v>7312</v>
      </c>
      <c r="F110" s="65">
        <v>14.716548639999999</v>
      </c>
      <c r="G110" s="66">
        <v>2683</v>
      </c>
      <c r="H110" s="60">
        <f t="shared" si="2"/>
        <v>0.36693107221006566</v>
      </c>
    </row>
    <row r="111" spans="1:8">
      <c r="A111">
        <f t="shared" si="3"/>
        <v>5</v>
      </c>
      <c r="B111" s="42" t="s">
        <v>403</v>
      </c>
      <c r="C111" s="42">
        <v>2012</v>
      </c>
      <c r="D111" s="65">
        <v>2.8856804380000001</v>
      </c>
      <c r="E111" s="42">
        <v>6753</v>
      </c>
      <c r="F111" s="65">
        <v>13.739872549999999</v>
      </c>
      <c r="G111" s="66">
        <v>2197</v>
      </c>
      <c r="H111" s="60">
        <f t="shared" si="2"/>
        <v>0.32533688730934401</v>
      </c>
    </row>
    <row r="112" spans="1:8">
      <c r="A112">
        <f t="shared" si="3"/>
        <v>5</v>
      </c>
      <c r="B112" s="42" t="s">
        <v>403</v>
      </c>
      <c r="C112" s="42">
        <v>2013</v>
      </c>
      <c r="D112" s="65">
        <v>2.6702578149999998</v>
      </c>
      <c r="E112" s="42">
        <v>8029</v>
      </c>
      <c r="F112" s="65">
        <v>13.672380950000001</v>
      </c>
      <c r="G112" s="66">
        <v>2625</v>
      </c>
      <c r="H112" s="60">
        <f t="shared" si="2"/>
        <v>0.3269398430688753</v>
      </c>
    </row>
    <row r="113" spans="1:8">
      <c r="A113">
        <f t="shared" si="3"/>
        <v>5</v>
      </c>
      <c r="B113" s="42" t="s">
        <v>403</v>
      </c>
      <c r="C113" s="42">
        <v>2014</v>
      </c>
      <c r="D113" s="65">
        <v>2.7203936010000001</v>
      </c>
      <c r="E113" s="42">
        <v>8689</v>
      </c>
      <c r="F113" s="65">
        <v>14.07503255</v>
      </c>
      <c r="G113" s="66">
        <v>3072</v>
      </c>
      <c r="H113" s="60">
        <f t="shared" si="2"/>
        <v>0.35355046610657154</v>
      </c>
    </row>
    <row r="114" spans="1:8">
      <c r="A114">
        <f t="shared" si="3"/>
        <v>5</v>
      </c>
      <c r="B114" s="42" t="s">
        <v>403</v>
      </c>
      <c r="C114" s="42">
        <v>2015</v>
      </c>
      <c r="D114" s="65">
        <v>2.5205254520000002</v>
      </c>
      <c r="E114" s="42">
        <v>9744</v>
      </c>
      <c r="F114" s="65">
        <v>14.36046172</v>
      </c>
      <c r="G114" s="66">
        <v>3422</v>
      </c>
      <c r="H114" s="60">
        <f t="shared" si="2"/>
        <v>0.35119047619047616</v>
      </c>
    </row>
    <row r="115" spans="1:8">
      <c r="A115">
        <f t="shared" si="3"/>
        <v>5</v>
      </c>
      <c r="B115" s="42" t="s">
        <v>403</v>
      </c>
      <c r="C115" s="42">
        <v>2016</v>
      </c>
      <c r="D115" s="65">
        <v>2.7206562889999999</v>
      </c>
      <c r="E115" s="42">
        <v>9508</v>
      </c>
      <c r="F115" s="65">
        <v>15.01222057</v>
      </c>
      <c r="G115" s="66">
        <v>3355</v>
      </c>
      <c r="H115" s="60">
        <f t="shared" si="2"/>
        <v>0.3528607488430795</v>
      </c>
    </row>
    <row r="116" spans="1:8">
      <c r="A116">
        <f t="shared" si="3"/>
        <v>5</v>
      </c>
      <c r="B116" s="42" t="s">
        <v>403</v>
      </c>
      <c r="C116" s="42">
        <v>2017</v>
      </c>
      <c r="D116" s="65">
        <v>2.5780878550000002</v>
      </c>
      <c r="E116" s="42">
        <v>9675</v>
      </c>
      <c r="F116" s="65">
        <v>14.084656089999999</v>
      </c>
      <c r="G116" s="66">
        <v>3780</v>
      </c>
      <c r="H116" s="60">
        <f t="shared" si="2"/>
        <v>0.39069767441860465</v>
      </c>
    </row>
    <row r="117" spans="1:8">
      <c r="A117">
        <f t="shared" si="3"/>
        <v>5</v>
      </c>
      <c r="B117" s="42" t="s">
        <v>403</v>
      </c>
      <c r="C117" s="42">
        <v>2018</v>
      </c>
      <c r="D117" s="65">
        <v>2.626976886</v>
      </c>
      <c r="E117" s="42">
        <v>9864</v>
      </c>
      <c r="F117" s="65">
        <v>15.71027799</v>
      </c>
      <c r="G117" s="66">
        <v>3921</v>
      </c>
      <c r="H117" s="60">
        <f t="shared" si="2"/>
        <v>0.39750608272506083</v>
      </c>
    </row>
    <row r="118" spans="1:8">
      <c r="A118">
        <f t="shared" si="3"/>
        <v>5</v>
      </c>
      <c r="B118" s="42" t="s">
        <v>403</v>
      </c>
      <c r="C118" s="42">
        <v>2019</v>
      </c>
      <c r="D118" s="65">
        <v>2.6412484570000001</v>
      </c>
      <c r="E118" s="42">
        <v>9724</v>
      </c>
      <c r="F118" s="65">
        <v>16.017251129999998</v>
      </c>
      <c r="G118" s="66">
        <v>3536</v>
      </c>
      <c r="H118" s="60">
        <f t="shared" si="2"/>
        <v>0.36363636363636365</v>
      </c>
    </row>
    <row r="119" spans="1:8">
      <c r="A119">
        <f t="shared" si="3"/>
        <v>5</v>
      </c>
      <c r="B119" s="42" t="s">
        <v>403</v>
      </c>
      <c r="C119" s="42">
        <v>2020</v>
      </c>
      <c r="D119" s="65">
        <v>2.613651811</v>
      </c>
      <c r="E119" s="42">
        <v>10299</v>
      </c>
      <c r="F119" s="65">
        <v>16.840042700000001</v>
      </c>
      <c r="G119" s="66">
        <v>3279</v>
      </c>
      <c r="H119" s="60">
        <f t="shared" si="2"/>
        <v>0.31838042528400817</v>
      </c>
    </row>
    <row r="120" spans="1:8">
      <c r="A120">
        <f t="shared" si="3"/>
        <v>5</v>
      </c>
      <c r="B120" s="42" t="s">
        <v>403</v>
      </c>
      <c r="C120" s="42">
        <v>2021</v>
      </c>
      <c r="D120" s="65">
        <v>2.3051348200000001</v>
      </c>
      <c r="E120" s="42">
        <v>12016</v>
      </c>
      <c r="F120" s="65">
        <v>18.765554399999999</v>
      </c>
      <c r="G120" s="66">
        <v>2877</v>
      </c>
      <c r="H120" s="60">
        <f t="shared" si="2"/>
        <v>0.23943075898801597</v>
      </c>
    </row>
    <row r="121" spans="1:8">
      <c r="B121" s="193" t="s">
        <v>403</v>
      </c>
      <c r="C121" s="193">
        <v>2022</v>
      </c>
      <c r="D121" s="195">
        <v>2.4654984029999998</v>
      </c>
      <c r="E121" s="193">
        <v>11898</v>
      </c>
      <c r="F121" s="195">
        <v>21.55294602</v>
      </c>
      <c r="G121" s="196">
        <v>2427</v>
      </c>
      <c r="H121" s="197">
        <f t="shared" si="2"/>
        <v>0.20398386283408976</v>
      </c>
    </row>
    <row r="122" spans="1:8">
      <c r="B122" s="193" t="s">
        <v>403</v>
      </c>
      <c r="C122" s="193">
        <v>2023</v>
      </c>
      <c r="D122" s="195">
        <v>2.5281595389999998</v>
      </c>
      <c r="E122" s="193">
        <v>10405</v>
      </c>
      <c r="F122" s="195">
        <v>21.940197000000001</v>
      </c>
      <c r="G122" s="196">
        <v>2132</v>
      </c>
      <c r="H122" s="197">
        <f t="shared" si="2"/>
        <v>0.20490148966842864</v>
      </c>
    </row>
    <row r="123" spans="1:8">
      <c r="A123">
        <f>IF(B123=B120, A120, A120+1)</f>
        <v>6</v>
      </c>
      <c r="B123" s="42" t="s">
        <v>404</v>
      </c>
      <c r="C123" s="42">
        <v>2000</v>
      </c>
      <c r="D123" s="65">
        <v>3.7980720450000001</v>
      </c>
      <c r="E123" s="42">
        <v>1971</v>
      </c>
      <c r="F123" s="65">
        <v>17.242837959999999</v>
      </c>
      <c r="G123" s="66">
        <v>2234</v>
      </c>
      <c r="H123" s="60">
        <f t="shared" si="2"/>
        <v>1.1334348046676814</v>
      </c>
    </row>
    <row r="124" spans="1:8">
      <c r="A124">
        <f t="shared" si="3"/>
        <v>6</v>
      </c>
      <c r="B124" s="42" t="s">
        <v>404</v>
      </c>
      <c r="C124" s="42">
        <v>2001</v>
      </c>
      <c r="D124" s="65">
        <v>3.2605786619999999</v>
      </c>
      <c r="E124" s="42">
        <v>2765</v>
      </c>
      <c r="F124" s="65">
        <v>17.665803109999999</v>
      </c>
      <c r="G124" s="66">
        <v>2316</v>
      </c>
      <c r="H124" s="60">
        <f t="shared" si="2"/>
        <v>0.83761301989150094</v>
      </c>
    </row>
    <row r="125" spans="1:8">
      <c r="A125">
        <f t="shared" si="3"/>
        <v>6</v>
      </c>
      <c r="B125" s="42" t="s">
        <v>404</v>
      </c>
      <c r="C125" s="42">
        <v>2002</v>
      </c>
      <c r="D125" s="65">
        <v>2.8103241300000001</v>
      </c>
      <c r="E125" s="42">
        <v>3332</v>
      </c>
      <c r="F125" s="65">
        <v>17.546803180000001</v>
      </c>
      <c r="G125" s="66">
        <v>2393</v>
      </c>
      <c r="H125" s="60">
        <f t="shared" si="2"/>
        <v>0.71818727490996404</v>
      </c>
    </row>
    <row r="126" spans="1:8">
      <c r="A126">
        <f t="shared" si="3"/>
        <v>6</v>
      </c>
      <c r="B126" s="42" t="s">
        <v>404</v>
      </c>
      <c r="C126" s="42">
        <v>2003</v>
      </c>
      <c r="D126" s="65">
        <v>3.0859446300000002</v>
      </c>
      <c r="E126" s="42">
        <v>3287</v>
      </c>
      <c r="F126" s="65">
        <v>17.567722239999998</v>
      </c>
      <c r="G126" s="66">
        <v>2621</v>
      </c>
      <c r="H126" s="60">
        <f t="shared" si="2"/>
        <v>0.79738363249163369</v>
      </c>
    </row>
    <row r="127" spans="1:8">
      <c r="A127">
        <f t="shared" si="3"/>
        <v>6</v>
      </c>
      <c r="B127" s="42" t="s">
        <v>404</v>
      </c>
      <c r="C127" s="42">
        <v>2004</v>
      </c>
      <c r="D127" s="65">
        <v>3.0402082730000002</v>
      </c>
      <c r="E127" s="42">
        <v>3457</v>
      </c>
      <c r="F127" s="65">
        <v>17.16520307</v>
      </c>
      <c r="G127" s="66">
        <v>2733</v>
      </c>
      <c r="H127" s="60">
        <f t="shared" si="2"/>
        <v>0.79056985825860571</v>
      </c>
    </row>
    <row r="128" spans="1:8">
      <c r="A128">
        <f t="shared" si="3"/>
        <v>6</v>
      </c>
      <c r="B128" s="42" t="s">
        <v>404</v>
      </c>
      <c r="C128" s="42">
        <v>2005</v>
      </c>
      <c r="D128" s="65">
        <v>2.5155691679999999</v>
      </c>
      <c r="E128" s="42">
        <v>3918</v>
      </c>
      <c r="F128" s="65">
        <v>16.320976160000001</v>
      </c>
      <c r="G128" s="66">
        <v>2684</v>
      </c>
      <c r="H128" s="60">
        <f t="shared" si="2"/>
        <v>0.68504338948443089</v>
      </c>
    </row>
    <row r="129" spans="1:8">
      <c r="A129">
        <f t="shared" si="3"/>
        <v>6</v>
      </c>
      <c r="B129" s="42" t="s">
        <v>404</v>
      </c>
      <c r="C129" s="42">
        <v>2006</v>
      </c>
      <c r="D129" s="65">
        <v>2.79302926</v>
      </c>
      <c r="E129" s="42">
        <v>3486</v>
      </c>
      <c r="F129" s="65">
        <v>17.314590299999999</v>
      </c>
      <c r="G129" s="66">
        <v>2392</v>
      </c>
      <c r="H129" s="60">
        <f t="shared" si="2"/>
        <v>0.6861732644865175</v>
      </c>
    </row>
    <row r="130" spans="1:8">
      <c r="A130">
        <f t="shared" si="3"/>
        <v>6</v>
      </c>
      <c r="B130" s="42" t="s">
        <v>404</v>
      </c>
      <c r="C130" s="42">
        <v>2007</v>
      </c>
      <c r="D130" s="65">
        <v>0.62307484499999999</v>
      </c>
      <c r="E130" s="42">
        <v>3701</v>
      </c>
      <c r="F130" s="65">
        <v>19.214866430000001</v>
      </c>
      <c r="G130" s="66">
        <v>1722</v>
      </c>
      <c r="H130" s="60">
        <f t="shared" si="2"/>
        <v>0.4652796541475277</v>
      </c>
    </row>
    <row r="131" spans="1:8">
      <c r="A131">
        <f t="shared" si="3"/>
        <v>6</v>
      </c>
      <c r="B131" s="42" t="s">
        <v>404</v>
      </c>
      <c r="C131" s="42">
        <v>2008</v>
      </c>
      <c r="D131" s="65">
        <v>0.60502172899999995</v>
      </c>
      <c r="E131" s="42">
        <v>4142</v>
      </c>
      <c r="F131" s="65">
        <v>18.60137065</v>
      </c>
      <c r="G131" s="66">
        <v>1751</v>
      </c>
      <c r="H131" s="60">
        <f t="shared" si="2"/>
        <v>0.42274263640753257</v>
      </c>
    </row>
    <row r="132" spans="1:8">
      <c r="A132">
        <f t="shared" si="3"/>
        <v>6</v>
      </c>
      <c r="B132" s="42" t="s">
        <v>404</v>
      </c>
      <c r="C132" s="42">
        <v>2009</v>
      </c>
      <c r="D132" s="65">
        <v>0.62895853700000004</v>
      </c>
      <c r="E132" s="42">
        <v>3063</v>
      </c>
      <c r="F132" s="65">
        <v>18.920859799999999</v>
      </c>
      <c r="G132" s="66">
        <v>2047</v>
      </c>
      <c r="H132" s="60">
        <f t="shared" si="2"/>
        <v>0.66829905321580152</v>
      </c>
    </row>
    <row r="133" spans="1:8">
      <c r="A133">
        <f t="shared" si="3"/>
        <v>6</v>
      </c>
      <c r="B133" s="42" t="s">
        <v>404</v>
      </c>
      <c r="C133" s="42">
        <v>2010</v>
      </c>
      <c r="D133" s="65">
        <v>0.53031496099999997</v>
      </c>
      <c r="E133" s="42">
        <v>2540</v>
      </c>
      <c r="F133" s="65">
        <v>18.618556699999999</v>
      </c>
      <c r="G133" s="66">
        <v>2231</v>
      </c>
      <c r="H133" s="60">
        <f t="shared" si="2"/>
        <v>0.87834645669291334</v>
      </c>
    </row>
    <row r="134" spans="1:8">
      <c r="A134">
        <f t="shared" si="3"/>
        <v>6</v>
      </c>
      <c r="B134" s="42" t="s">
        <v>404</v>
      </c>
      <c r="C134" s="42">
        <v>2011</v>
      </c>
      <c r="D134" s="65">
        <v>0.52759259300000005</v>
      </c>
      <c r="E134" s="42">
        <v>2700</v>
      </c>
      <c r="F134" s="65">
        <v>16.679638369999999</v>
      </c>
      <c r="G134" s="66">
        <v>2544</v>
      </c>
      <c r="H134" s="60">
        <f t="shared" si="2"/>
        <v>0.94222222222222218</v>
      </c>
    </row>
    <row r="135" spans="1:8">
      <c r="A135">
        <f t="shared" si="3"/>
        <v>6</v>
      </c>
      <c r="B135" s="42" t="s">
        <v>404</v>
      </c>
      <c r="C135" s="42">
        <v>2012</v>
      </c>
      <c r="D135" s="65">
        <v>0.56171085899999995</v>
      </c>
      <c r="E135" s="42">
        <v>3168</v>
      </c>
      <c r="F135" s="65">
        <v>17.5096691</v>
      </c>
      <c r="G135" s="66">
        <v>2327</v>
      </c>
      <c r="H135" s="60">
        <f t="shared" si="2"/>
        <v>0.73453282828282829</v>
      </c>
    </row>
    <row r="136" spans="1:8">
      <c r="A136">
        <f t="shared" si="3"/>
        <v>6</v>
      </c>
      <c r="B136" s="42" t="s">
        <v>404</v>
      </c>
      <c r="C136" s="42">
        <v>2013</v>
      </c>
      <c r="D136" s="65">
        <v>0.52875153799999997</v>
      </c>
      <c r="E136" s="42">
        <v>3252</v>
      </c>
      <c r="F136" s="65">
        <v>17.677294270000001</v>
      </c>
      <c r="G136" s="66">
        <v>2321</v>
      </c>
      <c r="H136" s="60">
        <f t="shared" si="2"/>
        <v>0.71371463714637151</v>
      </c>
    </row>
    <row r="137" spans="1:8">
      <c r="A137">
        <f t="shared" si="3"/>
        <v>6</v>
      </c>
      <c r="B137" s="42" t="s">
        <v>404</v>
      </c>
      <c r="C137" s="42">
        <v>2014</v>
      </c>
      <c r="D137" s="65">
        <v>0.50126710600000002</v>
      </c>
      <c r="E137" s="42">
        <v>3946</v>
      </c>
      <c r="F137" s="65">
        <v>16.312719470000001</v>
      </c>
      <c r="G137" s="66">
        <v>2563</v>
      </c>
      <c r="H137" s="60">
        <f t="shared" ref="H137:H169" si="4">G137/E137</f>
        <v>0.64951849974657883</v>
      </c>
    </row>
    <row r="138" spans="1:8">
      <c r="A138">
        <f t="shared" si="3"/>
        <v>6</v>
      </c>
      <c r="B138" s="42" t="s">
        <v>404</v>
      </c>
      <c r="C138" s="42">
        <v>2015</v>
      </c>
      <c r="D138" s="65">
        <v>0.5</v>
      </c>
      <c r="E138" s="42">
        <v>3745</v>
      </c>
      <c r="F138" s="65">
        <v>17.314046439999998</v>
      </c>
      <c r="G138" s="66">
        <v>2627</v>
      </c>
      <c r="H138" s="60">
        <f t="shared" si="4"/>
        <v>0.70146862483311079</v>
      </c>
    </row>
    <row r="139" spans="1:8">
      <c r="A139">
        <f t="shared" si="3"/>
        <v>6</v>
      </c>
      <c r="B139" s="42" t="s">
        <v>404</v>
      </c>
      <c r="C139" s="42">
        <v>2016</v>
      </c>
      <c r="D139" s="65">
        <v>0.53770102799999997</v>
      </c>
      <c r="E139" s="42">
        <v>3793</v>
      </c>
      <c r="F139" s="65">
        <v>17.474503309999999</v>
      </c>
      <c r="G139" s="66">
        <v>3020</v>
      </c>
      <c r="H139" s="60">
        <f t="shared" si="4"/>
        <v>0.79620353282362244</v>
      </c>
    </row>
    <row r="140" spans="1:8">
      <c r="A140">
        <f t="shared" si="3"/>
        <v>6</v>
      </c>
      <c r="B140" s="42" t="s">
        <v>404</v>
      </c>
      <c r="C140" s="42">
        <v>2017</v>
      </c>
      <c r="D140" s="65">
        <v>0.53898226000000005</v>
      </c>
      <c r="E140" s="42">
        <v>4284</v>
      </c>
      <c r="F140" s="65">
        <v>14.97625747</v>
      </c>
      <c r="G140" s="66">
        <v>2843</v>
      </c>
      <c r="H140" s="60">
        <f t="shared" si="4"/>
        <v>0.66363211951447243</v>
      </c>
    </row>
    <row r="141" spans="1:8">
      <c r="A141">
        <f t="shared" si="3"/>
        <v>6</v>
      </c>
      <c r="B141" s="42" t="s">
        <v>404</v>
      </c>
      <c r="C141" s="42">
        <v>2018</v>
      </c>
      <c r="D141" s="65">
        <v>0.51212728100000005</v>
      </c>
      <c r="E141" s="42">
        <v>4494</v>
      </c>
      <c r="F141" s="65">
        <v>16.119552420000002</v>
      </c>
      <c r="G141" s="66">
        <v>2547</v>
      </c>
      <c r="H141" s="60">
        <f t="shared" si="4"/>
        <v>0.56675567423230977</v>
      </c>
    </row>
    <row r="142" spans="1:8">
      <c r="A142">
        <f t="shared" ref="A142:A207" si="5">IF(B142=B141, A141, A141+1)</f>
        <v>6</v>
      </c>
      <c r="B142" s="42" t="s">
        <v>404</v>
      </c>
      <c r="C142" s="42">
        <v>2019</v>
      </c>
      <c r="D142" s="65">
        <v>0.527472528</v>
      </c>
      <c r="E142" s="42">
        <v>4459</v>
      </c>
      <c r="F142" s="65">
        <v>15.292200230000001</v>
      </c>
      <c r="G142" s="66">
        <v>2577</v>
      </c>
      <c r="H142" s="60">
        <f t="shared" si="4"/>
        <v>0.57793227180982287</v>
      </c>
    </row>
    <row r="143" spans="1:8">
      <c r="A143">
        <f t="shared" si="5"/>
        <v>6</v>
      </c>
      <c r="B143" s="42" t="s">
        <v>404</v>
      </c>
      <c r="C143" s="42">
        <v>2020</v>
      </c>
      <c r="D143" s="65">
        <v>0.51542952500000006</v>
      </c>
      <c r="E143" s="42">
        <v>3597</v>
      </c>
      <c r="F143" s="65">
        <v>15.08142606</v>
      </c>
      <c r="G143" s="66">
        <v>2272</v>
      </c>
      <c r="H143" s="60">
        <f t="shared" si="4"/>
        <v>0.63163747567417294</v>
      </c>
    </row>
    <row r="144" spans="1:8">
      <c r="A144">
        <f t="shared" si="5"/>
        <v>6</v>
      </c>
      <c r="B144" s="42" t="s">
        <v>404</v>
      </c>
      <c r="C144" s="42">
        <v>2021</v>
      </c>
      <c r="D144" s="65">
        <v>0.50738396600000002</v>
      </c>
      <c r="E144" s="42">
        <v>4740</v>
      </c>
      <c r="F144" s="65">
        <v>14.44507428</v>
      </c>
      <c r="G144" s="66">
        <v>2558</v>
      </c>
      <c r="H144" s="60">
        <f t="shared" si="4"/>
        <v>0.53966244725738399</v>
      </c>
    </row>
    <row r="145" spans="1:8">
      <c r="B145" s="42" t="s">
        <v>404</v>
      </c>
      <c r="C145" s="42">
        <v>2022</v>
      </c>
      <c r="D145" s="65">
        <v>0.52285770799999998</v>
      </c>
      <c r="E145" s="42">
        <v>5053</v>
      </c>
      <c r="F145" s="65">
        <v>14.73509934</v>
      </c>
      <c r="G145" s="66">
        <v>2265</v>
      </c>
      <c r="H145" s="60">
        <f t="shared" si="4"/>
        <v>0.44824856520878686</v>
      </c>
    </row>
    <row r="146" spans="1:8">
      <c r="B146" s="42" t="s">
        <v>404</v>
      </c>
      <c r="C146" s="42">
        <v>2023</v>
      </c>
      <c r="D146" s="65">
        <v>0.53001071799999999</v>
      </c>
      <c r="E146" s="42">
        <v>4665</v>
      </c>
      <c r="F146" s="65">
        <v>14.59990706</v>
      </c>
      <c r="G146" s="66">
        <v>2152</v>
      </c>
      <c r="H146" s="60">
        <f t="shared" si="4"/>
        <v>0.46130760986066455</v>
      </c>
    </row>
    <row r="147" spans="1:8">
      <c r="A147">
        <f>IF(B147=B144, A144, A144+1)</f>
        <v>7</v>
      </c>
      <c r="B147" s="42" t="s">
        <v>405</v>
      </c>
      <c r="C147" s="42">
        <v>2000</v>
      </c>
      <c r="D147" s="65">
        <v>2.624583055</v>
      </c>
      <c r="E147" s="42">
        <v>2998</v>
      </c>
      <c r="F147" s="65">
        <v>8.8129432619999992</v>
      </c>
      <c r="G147" s="66">
        <v>2820</v>
      </c>
      <c r="H147" s="60">
        <f t="shared" si="4"/>
        <v>0.94062708472314882</v>
      </c>
    </row>
    <row r="148" spans="1:8">
      <c r="A148">
        <f t="shared" si="5"/>
        <v>7</v>
      </c>
      <c r="B148" s="42" t="s">
        <v>405</v>
      </c>
      <c r="C148" s="42">
        <v>2001</v>
      </c>
      <c r="D148" s="65">
        <v>2.5607180569999999</v>
      </c>
      <c r="E148" s="42">
        <v>2841</v>
      </c>
      <c r="F148" s="65">
        <v>9.2094046009999992</v>
      </c>
      <c r="G148" s="66">
        <v>2956</v>
      </c>
      <c r="H148" s="60">
        <f t="shared" si="4"/>
        <v>1.0404787046814501</v>
      </c>
    </row>
    <row r="149" spans="1:8">
      <c r="A149">
        <f t="shared" si="5"/>
        <v>7</v>
      </c>
      <c r="B149" s="42" t="s">
        <v>405</v>
      </c>
      <c r="C149" s="42">
        <v>2002</v>
      </c>
      <c r="D149" s="65">
        <v>2.0702370499999998</v>
      </c>
      <c r="E149" s="42">
        <v>3417</v>
      </c>
      <c r="F149" s="65">
        <v>9.1938499389999997</v>
      </c>
      <c r="G149" s="66">
        <v>4065</v>
      </c>
      <c r="H149" s="60">
        <f t="shared" si="4"/>
        <v>1.189640035118525</v>
      </c>
    </row>
    <row r="150" spans="1:8">
      <c r="A150">
        <f t="shared" si="5"/>
        <v>7</v>
      </c>
      <c r="B150" s="42" t="s">
        <v>405</v>
      </c>
      <c r="C150" s="42">
        <v>2003</v>
      </c>
      <c r="D150" s="65">
        <v>1.710887815</v>
      </c>
      <c r="E150" s="42">
        <v>3931</v>
      </c>
      <c r="F150" s="65">
        <v>9.6954159260000008</v>
      </c>
      <c r="G150" s="66">
        <v>5061</v>
      </c>
      <c r="H150" s="60">
        <f t="shared" si="4"/>
        <v>1.287458661918087</v>
      </c>
    </row>
    <row r="151" spans="1:8">
      <c r="A151">
        <f t="shared" si="5"/>
        <v>7</v>
      </c>
      <c r="B151" s="42" t="s">
        <v>405</v>
      </c>
      <c r="C151" s="42">
        <v>2004</v>
      </c>
      <c r="D151" s="65">
        <v>1.639937805</v>
      </c>
      <c r="E151" s="42">
        <v>4502</v>
      </c>
      <c r="F151" s="65">
        <v>10.18979495</v>
      </c>
      <c r="G151" s="66">
        <v>6291</v>
      </c>
      <c r="H151" s="60">
        <f t="shared" si="4"/>
        <v>1.3973789426921368</v>
      </c>
    </row>
    <row r="152" spans="1:8">
      <c r="A152">
        <f t="shared" si="5"/>
        <v>7</v>
      </c>
      <c r="B152" s="42" t="s">
        <v>405</v>
      </c>
      <c r="C152" s="42">
        <v>2005</v>
      </c>
      <c r="D152" s="65">
        <v>1.320302648</v>
      </c>
      <c r="E152" s="42">
        <v>4758</v>
      </c>
      <c r="F152" s="65">
        <v>10.486700669999999</v>
      </c>
      <c r="G152" s="66">
        <v>5489</v>
      </c>
      <c r="H152" s="60">
        <f t="shared" si="4"/>
        <v>1.153635981504834</v>
      </c>
    </row>
    <row r="153" spans="1:8">
      <c r="A153">
        <f t="shared" si="5"/>
        <v>7</v>
      </c>
      <c r="B153" s="42" t="s">
        <v>405</v>
      </c>
      <c r="C153" s="42">
        <v>2006</v>
      </c>
      <c r="D153" s="65">
        <v>1.358915324</v>
      </c>
      <c r="E153" s="42">
        <v>3909</v>
      </c>
      <c r="F153" s="65">
        <v>10.631557709999999</v>
      </c>
      <c r="G153" s="66">
        <v>4956</v>
      </c>
      <c r="H153" s="60">
        <f t="shared" si="4"/>
        <v>1.2678434382194934</v>
      </c>
    </row>
    <row r="154" spans="1:8">
      <c r="A154">
        <f t="shared" si="5"/>
        <v>7</v>
      </c>
      <c r="B154" s="42" t="s">
        <v>405</v>
      </c>
      <c r="C154" s="42">
        <v>2007</v>
      </c>
      <c r="D154" s="65">
        <v>1.45006046</v>
      </c>
      <c r="E154" s="42">
        <v>4135</v>
      </c>
      <c r="F154" s="65">
        <v>10.463774129999999</v>
      </c>
      <c r="G154" s="66">
        <v>4817</v>
      </c>
      <c r="H154" s="60">
        <f t="shared" si="4"/>
        <v>1.1649334945586458</v>
      </c>
    </row>
    <row r="155" spans="1:8">
      <c r="A155">
        <f t="shared" si="5"/>
        <v>7</v>
      </c>
      <c r="B155" s="42" t="s">
        <v>405</v>
      </c>
      <c r="C155" s="42">
        <v>2008</v>
      </c>
      <c r="D155" s="65">
        <v>1.244274809</v>
      </c>
      <c r="E155" s="42">
        <v>4323</v>
      </c>
      <c r="F155" s="65">
        <v>10.697223749999999</v>
      </c>
      <c r="G155" s="66">
        <v>3638</v>
      </c>
      <c r="H155" s="60">
        <f t="shared" si="4"/>
        <v>0.84154522322461256</v>
      </c>
    </row>
    <row r="156" spans="1:8">
      <c r="A156">
        <f t="shared" si="5"/>
        <v>7</v>
      </c>
      <c r="B156" s="42" t="s">
        <v>405</v>
      </c>
      <c r="C156" s="42">
        <v>2009</v>
      </c>
      <c r="D156" s="65">
        <v>1.7561026070000001</v>
      </c>
      <c r="E156" s="42">
        <v>2417</v>
      </c>
      <c r="F156" s="65">
        <v>7.4084745759999997</v>
      </c>
      <c r="G156" s="66">
        <v>885</v>
      </c>
      <c r="H156" s="60">
        <f t="shared" si="4"/>
        <v>0.36615639222176249</v>
      </c>
    </row>
    <row r="157" spans="1:8">
      <c r="A157">
        <f t="shared" si="5"/>
        <v>7</v>
      </c>
      <c r="B157" s="42" t="s">
        <v>405</v>
      </c>
      <c r="C157" s="42">
        <v>2010</v>
      </c>
      <c r="D157" s="65">
        <v>1.928807264</v>
      </c>
      <c r="E157" s="42">
        <v>2423</v>
      </c>
      <c r="F157" s="65">
        <v>10.050561800000001</v>
      </c>
      <c r="G157" s="66">
        <v>712</v>
      </c>
      <c r="H157" s="60">
        <f t="shared" si="4"/>
        <v>0.29385059843169625</v>
      </c>
    </row>
    <row r="158" spans="1:8">
      <c r="A158">
        <f t="shared" si="5"/>
        <v>7</v>
      </c>
      <c r="B158" s="42" t="s">
        <v>405</v>
      </c>
      <c r="C158" s="42">
        <v>2011</v>
      </c>
      <c r="D158" s="65">
        <v>1.47053696</v>
      </c>
      <c r="E158" s="42">
        <v>2868</v>
      </c>
      <c r="F158" s="65">
        <v>10.12905501</v>
      </c>
      <c r="G158" s="66">
        <v>709</v>
      </c>
      <c r="H158" s="60">
        <f t="shared" si="4"/>
        <v>0.24721059972105996</v>
      </c>
    </row>
    <row r="159" spans="1:8">
      <c r="A159">
        <f t="shared" si="5"/>
        <v>7</v>
      </c>
      <c r="B159" s="42" t="s">
        <v>405</v>
      </c>
      <c r="C159" s="42">
        <v>2012</v>
      </c>
      <c r="D159" s="65">
        <v>1.5320228279999999</v>
      </c>
      <c r="E159" s="42">
        <v>3154</v>
      </c>
      <c r="F159" s="65">
        <v>8.4527665320000001</v>
      </c>
      <c r="G159" s="66">
        <v>741</v>
      </c>
      <c r="H159" s="60">
        <f t="shared" si="4"/>
        <v>0.23493975903614459</v>
      </c>
    </row>
    <row r="160" spans="1:8">
      <c r="A160">
        <f t="shared" si="5"/>
        <v>7</v>
      </c>
      <c r="B160" s="42" t="s">
        <v>405</v>
      </c>
      <c r="C160" s="42">
        <v>2013</v>
      </c>
      <c r="D160" s="65">
        <v>1.278605113</v>
      </c>
      <c r="E160" s="42">
        <v>4029</v>
      </c>
      <c r="F160" s="65">
        <v>7.7257401320000003</v>
      </c>
      <c r="G160" s="66">
        <v>1216</v>
      </c>
      <c r="H160" s="60">
        <f t="shared" si="4"/>
        <v>0.30181186398610077</v>
      </c>
    </row>
    <row r="161" spans="1:8">
      <c r="A161">
        <f t="shared" si="5"/>
        <v>7</v>
      </c>
      <c r="B161" s="42" t="s">
        <v>405</v>
      </c>
      <c r="C161" s="42">
        <v>2014</v>
      </c>
      <c r="D161" s="65">
        <v>1.0908722930000001</v>
      </c>
      <c r="E161" s="42">
        <v>4941</v>
      </c>
      <c r="F161" s="65">
        <v>7.4951048949999999</v>
      </c>
      <c r="G161" s="66">
        <v>1430</v>
      </c>
      <c r="H161" s="60">
        <f t="shared" si="4"/>
        <v>0.28941509815826755</v>
      </c>
    </row>
    <row r="162" spans="1:8">
      <c r="A162">
        <f t="shared" si="5"/>
        <v>7</v>
      </c>
      <c r="B162" s="173" t="s">
        <v>405</v>
      </c>
      <c r="C162" s="173">
        <v>2015</v>
      </c>
      <c r="D162" s="174">
        <v>1.2465178210000001</v>
      </c>
      <c r="E162" s="173">
        <v>4882</v>
      </c>
      <c r="F162" s="174">
        <v>7.6418539330000002</v>
      </c>
      <c r="G162" s="175">
        <v>1780</v>
      </c>
      <c r="H162" s="60">
        <f t="shared" si="4"/>
        <v>0.36460467021712412</v>
      </c>
    </row>
    <row r="163" spans="1:8">
      <c r="A163">
        <f t="shared" si="5"/>
        <v>7</v>
      </c>
      <c r="B163" s="173" t="s">
        <v>405</v>
      </c>
      <c r="C163" s="173">
        <v>2016</v>
      </c>
      <c r="D163" s="174">
        <v>1.205456936</v>
      </c>
      <c r="E163" s="173">
        <v>4563</v>
      </c>
      <c r="F163" s="174">
        <v>8.0079495610000002</v>
      </c>
      <c r="G163" s="175">
        <v>1824</v>
      </c>
      <c r="H163" s="60">
        <f t="shared" si="4"/>
        <v>0.39973701512163051</v>
      </c>
    </row>
    <row r="164" spans="1:8">
      <c r="A164">
        <f t="shared" si="5"/>
        <v>7</v>
      </c>
      <c r="B164" s="173" t="s">
        <v>405</v>
      </c>
      <c r="C164" s="173">
        <v>2017</v>
      </c>
      <c r="D164" s="174">
        <v>1.1620941140000001</v>
      </c>
      <c r="E164" s="173">
        <v>5759</v>
      </c>
      <c r="F164" s="174">
        <v>7.61196319</v>
      </c>
      <c r="G164" s="175">
        <v>2282</v>
      </c>
      <c r="H164" s="60">
        <f t="shared" si="4"/>
        <v>0.39624934884528562</v>
      </c>
    </row>
    <row r="165" spans="1:8">
      <c r="A165">
        <f t="shared" si="5"/>
        <v>7</v>
      </c>
      <c r="B165" s="173" t="s">
        <v>405</v>
      </c>
      <c r="C165" s="173">
        <v>2018</v>
      </c>
      <c r="D165" s="174">
        <v>1.0963541670000001</v>
      </c>
      <c r="E165" s="173">
        <v>5952</v>
      </c>
      <c r="F165" s="174">
        <v>8.5501506670000005</v>
      </c>
      <c r="G165" s="175">
        <v>2323</v>
      </c>
      <c r="H165" s="60">
        <f t="shared" si="4"/>
        <v>0.39028897849462363</v>
      </c>
    </row>
    <row r="166" spans="1:8">
      <c r="A166">
        <f t="shared" si="5"/>
        <v>7</v>
      </c>
      <c r="B166" s="173" t="s">
        <v>405</v>
      </c>
      <c r="C166" s="173">
        <v>2019</v>
      </c>
      <c r="D166" s="174">
        <v>1.000420098</v>
      </c>
      <c r="E166" s="173">
        <v>5951</v>
      </c>
      <c r="F166" s="174">
        <v>8.8399209489999997</v>
      </c>
      <c r="G166" s="175">
        <v>2277</v>
      </c>
      <c r="H166" s="60">
        <f t="shared" si="4"/>
        <v>0.38262476894639558</v>
      </c>
    </row>
    <row r="167" spans="1:8">
      <c r="A167">
        <f t="shared" si="5"/>
        <v>7</v>
      </c>
      <c r="B167" s="173" t="s">
        <v>405</v>
      </c>
      <c r="C167" s="173">
        <v>2020</v>
      </c>
      <c r="D167" s="174">
        <v>1.27549121</v>
      </c>
      <c r="E167" s="173">
        <v>4835</v>
      </c>
      <c r="F167" s="174">
        <v>9.4026134119999991</v>
      </c>
      <c r="G167" s="175">
        <v>2028</v>
      </c>
      <c r="H167" s="60">
        <f t="shared" si="4"/>
        <v>0.41944157187176834</v>
      </c>
    </row>
    <row r="168" spans="1:8">
      <c r="A168">
        <f t="shared" si="5"/>
        <v>7</v>
      </c>
      <c r="B168" s="173" t="s">
        <v>405</v>
      </c>
      <c r="C168" s="173">
        <v>2021</v>
      </c>
      <c r="D168" s="174">
        <v>1.016965742</v>
      </c>
      <c r="E168" s="173">
        <v>6130</v>
      </c>
      <c r="F168" s="174">
        <v>9.3776595749999991</v>
      </c>
      <c r="G168" s="175">
        <v>2726</v>
      </c>
      <c r="H168" s="60">
        <f t="shared" si="4"/>
        <v>0.44469820554649264</v>
      </c>
    </row>
    <row r="169" spans="1:8">
      <c r="A169">
        <f t="shared" si="5"/>
        <v>7</v>
      </c>
      <c r="B169" s="42" t="s">
        <v>405</v>
      </c>
      <c r="C169" s="42">
        <v>2022</v>
      </c>
      <c r="D169" s="174">
        <v>1.0382027199999999</v>
      </c>
      <c r="E169" s="173">
        <v>7133</v>
      </c>
      <c r="F169" s="174">
        <v>10.132824429999999</v>
      </c>
      <c r="G169" s="175">
        <v>2620</v>
      </c>
      <c r="H169" s="60">
        <f t="shared" si="4"/>
        <v>0.36730688349922891</v>
      </c>
    </row>
    <row r="170" spans="1:8">
      <c r="A170">
        <f t="shared" si="5"/>
        <v>7</v>
      </c>
      <c r="B170" s="42" t="s">
        <v>405</v>
      </c>
      <c r="C170" s="42">
        <v>2023</v>
      </c>
      <c r="D170" s="174">
        <v>1.106160061</v>
      </c>
      <c r="E170" s="173">
        <v>7922</v>
      </c>
      <c r="F170" s="174">
        <v>10.33115866</v>
      </c>
      <c r="G170" s="175">
        <v>1916</v>
      </c>
      <c r="H170" s="60">
        <f t="shared" ref="H170" si="6">G170/E170</f>
        <v>0.24185811663721282</v>
      </c>
    </row>
    <row r="171" spans="1:8">
      <c r="A171">
        <f t="shared" si="5"/>
        <v>8</v>
      </c>
      <c r="H171" s="60"/>
    </row>
    <row r="172" spans="1:8">
      <c r="A172">
        <f t="shared" si="5"/>
        <v>8</v>
      </c>
      <c r="H172" s="60"/>
    </row>
    <row r="173" spans="1:8">
      <c r="A173">
        <f t="shared" si="5"/>
        <v>8</v>
      </c>
      <c r="H173" s="60"/>
    </row>
    <row r="174" spans="1:8">
      <c r="A174">
        <f t="shared" si="5"/>
        <v>8</v>
      </c>
      <c r="H174" s="60"/>
    </row>
    <row r="175" spans="1:8">
      <c r="A175">
        <f t="shared" si="5"/>
        <v>8</v>
      </c>
      <c r="H175" s="60"/>
    </row>
    <row r="176" spans="1:8">
      <c r="A176">
        <f t="shared" si="5"/>
        <v>8</v>
      </c>
      <c r="H176" s="60"/>
    </row>
    <row r="177" spans="1:8">
      <c r="A177">
        <f t="shared" si="5"/>
        <v>8</v>
      </c>
      <c r="H177" s="60"/>
    </row>
    <row r="178" spans="1:8">
      <c r="A178">
        <f t="shared" si="5"/>
        <v>8</v>
      </c>
      <c r="H178" s="60"/>
    </row>
    <row r="179" spans="1:8">
      <c r="A179">
        <f t="shared" si="5"/>
        <v>8</v>
      </c>
      <c r="H179" s="60"/>
    </row>
    <row r="180" spans="1:8">
      <c r="A180">
        <f t="shared" si="5"/>
        <v>8</v>
      </c>
      <c r="H180" s="60"/>
    </row>
    <row r="181" spans="1:8">
      <c r="A181">
        <f t="shared" si="5"/>
        <v>8</v>
      </c>
      <c r="H181" s="60"/>
    </row>
    <row r="182" spans="1:8">
      <c r="A182">
        <f t="shared" si="5"/>
        <v>8</v>
      </c>
      <c r="H182" s="60"/>
    </row>
    <row r="183" spans="1:8">
      <c r="A183">
        <f t="shared" si="5"/>
        <v>8</v>
      </c>
      <c r="H183" s="60"/>
    </row>
    <row r="184" spans="1:8">
      <c r="A184">
        <f t="shared" si="5"/>
        <v>8</v>
      </c>
      <c r="H184" s="60"/>
    </row>
    <row r="185" spans="1:8">
      <c r="A185">
        <f t="shared" si="5"/>
        <v>8</v>
      </c>
      <c r="H185" s="60"/>
    </row>
    <row r="186" spans="1:8">
      <c r="A186">
        <f t="shared" si="5"/>
        <v>8</v>
      </c>
      <c r="H186" s="60"/>
    </row>
    <row r="187" spans="1:8">
      <c r="A187">
        <f t="shared" si="5"/>
        <v>8</v>
      </c>
      <c r="H187" s="60"/>
    </row>
    <row r="188" spans="1:8">
      <c r="A188">
        <f t="shared" si="5"/>
        <v>8</v>
      </c>
      <c r="H188" s="60"/>
    </row>
    <row r="189" spans="1:8">
      <c r="A189">
        <f t="shared" si="5"/>
        <v>8</v>
      </c>
      <c r="H189" s="60"/>
    </row>
    <row r="190" spans="1:8">
      <c r="A190">
        <f t="shared" si="5"/>
        <v>8</v>
      </c>
      <c r="H190" s="60"/>
    </row>
    <row r="191" spans="1:8">
      <c r="A191">
        <f t="shared" si="5"/>
        <v>8</v>
      </c>
      <c r="H191" s="60"/>
    </row>
    <row r="192" spans="1:8">
      <c r="A192">
        <f t="shared" si="5"/>
        <v>8</v>
      </c>
      <c r="H192" s="60"/>
    </row>
    <row r="193" spans="1:8">
      <c r="A193">
        <f t="shared" si="5"/>
        <v>8</v>
      </c>
      <c r="H193" s="60"/>
    </row>
    <row r="194" spans="1:8">
      <c r="A194">
        <f t="shared" si="5"/>
        <v>8</v>
      </c>
      <c r="H194" s="60"/>
    </row>
    <row r="195" spans="1:8">
      <c r="A195">
        <f t="shared" si="5"/>
        <v>8</v>
      </c>
      <c r="H195" s="60"/>
    </row>
    <row r="196" spans="1:8">
      <c r="A196">
        <f t="shared" si="5"/>
        <v>8</v>
      </c>
      <c r="H196" s="60"/>
    </row>
    <row r="197" spans="1:8">
      <c r="A197">
        <f t="shared" si="5"/>
        <v>8</v>
      </c>
      <c r="H197" s="60"/>
    </row>
    <row r="198" spans="1:8">
      <c r="A198">
        <f t="shared" si="5"/>
        <v>8</v>
      </c>
      <c r="H198" s="60"/>
    </row>
    <row r="199" spans="1:8">
      <c r="A199">
        <f t="shared" si="5"/>
        <v>8</v>
      </c>
      <c r="H199" s="60"/>
    </row>
    <row r="200" spans="1:8">
      <c r="A200">
        <f t="shared" si="5"/>
        <v>8</v>
      </c>
      <c r="H200" s="60"/>
    </row>
    <row r="201" spans="1:8">
      <c r="A201">
        <f t="shared" si="5"/>
        <v>8</v>
      </c>
      <c r="H201" s="60"/>
    </row>
    <row r="202" spans="1:8">
      <c r="A202">
        <f t="shared" si="5"/>
        <v>8</v>
      </c>
      <c r="H202" s="60"/>
    </row>
    <row r="203" spans="1:8">
      <c r="A203">
        <f t="shared" si="5"/>
        <v>8</v>
      </c>
      <c r="H203" s="60"/>
    </row>
    <row r="204" spans="1:8">
      <c r="A204">
        <f t="shared" si="5"/>
        <v>8</v>
      </c>
      <c r="H204" s="60"/>
    </row>
    <row r="205" spans="1:8">
      <c r="A205">
        <f t="shared" si="5"/>
        <v>8</v>
      </c>
      <c r="H205" s="60"/>
    </row>
    <row r="206" spans="1:8">
      <c r="A206">
        <f t="shared" si="5"/>
        <v>8</v>
      </c>
      <c r="H206" s="60"/>
    </row>
    <row r="207" spans="1:8">
      <c r="A207">
        <f t="shared" si="5"/>
        <v>8</v>
      </c>
      <c r="H207" s="60"/>
    </row>
    <row r="208" spans="1:8">
      <c r="A208">
        <f t="shared" ref="A208:A271" si="7">IF(B208=B207, A207, A207+1)</f>
        <v>8</v>
      </c>
      <c r="H208" s="60"/>
    </row>
    <row r="209" spans="1:8">
      <c r="A209">
        <f t="shared" si="7"/>
        <v>8</v>
      </c>
      <c r="H209" s="60"/>
    </row>
    <row r="210" spans="1:8">
      <c r="A210">
        <f t="shared" si="7"/>
        <v>8</v>
      </c>
      <c r="H210" s="60"/>
    </row>
    <row r="211" spans="1:8">
      <c r="A211">
        <f t="shared" si="7"/>
        <v>8</v>
      </c>
      <c r="H211" s="60"/>
    </row>
    <row r="212" spans="1:8">
      <c r="A212">
        <f t="shared" si="7"/>
        <v>8</v>
      </c>
      <c r="H212" s="60"/>
    </row>
    <row r="213" spans="1:8">
      <c r="A213">
        <f t="shared" si="7"/>
        <v>8</v>
      </c>
      <c r="H213" s="60"/>
    </row>
    <row r="214" spans="1:8">
      <c r="A214">
        <f t="shared" si="7"/>
        <v>8</v>
      </c>
      <c r="H214" s="60"/>
    </row>
    <row r="215" spans="1:8">
      <c r="A215">
        <f t="shared" si="7"/>
        <v>8</v>
      </c>
      <c r="H215" s="60"/>
    </row>
    <row r="216" spans="1:8">
      <c r="A216">
        <f t="shared" si="7"/>
        <v>8</v>
      </c>
      <c r="H216" s="60"/>
    </row>
    <row r="217" spans="1:8">
      <c r="A217">
        <f t="shared" si="7"/>
        <v>8</v>
      </c>
      <c r="H217" s="60"/>
    </row>
    <row r="218" spans="1:8">
      <c r="A218">
        <f t="shared" si="7"/>
        <v>8</v>
      </c>
      <c r="H218" s="60"/>
    </row>
    <row r="219" spans="1:8">
      <c r="A219">
        <f t="shared" si="7"/>
        <v>8</v>
      </c>
      <c r="H219" s="60"/>
    </row>
    <row r="220" spans="1:8">
      <c r="A220">
        <f t="shared" si="7"/>
        <v>8</v>
      </c>
      <c r="H220" s="60"/>
    </row>
    <row r="221" spans="1:8">
      <c r="A221">
        <f t="shared" si="7"/>
        <v>8</v>
      </c>
      <c r="H221" s="60"/>
    </row>
    <row r="222" spans="1:8">
      <c r="A222">
        <f t="shared" si="7"/>
        <v>8</v>
      </c>
      <c r="H222" s="60"/>
    </row>
    <row r="223" spans="1:8">
      <c r="A223">
        <f t="shared" si="7"/>
        <v>8</v>
      </c>
      <c r="H223" s="60"/>
    </row>
    <row r="224" spans="1:8">
      <c r="A224">
        <f t="shared" si="7"/>
        <v>8</v>
      </c>
      <c r="H224" s="60"/>
    </row>
    <row r="225" spans="1:8">
      <c r="A225">
        <f t="shared" si="7"/>
        <v>8</v>
      </c>
      <c r="H225" s="60"/>
    </row>
    <row r="226" spans="1:8">
      <c r="A226">
        <f t="shared" si="7"/>
        <v>8</v>
      </c>
      <c r="H226" s="60"/>
    </row>
    <row r="227" spans="1:8">
      <c r="A227">
        <f t="shared" si="7"/>
        <v>8</v>
      </c>
      <c r="H227" s="60"/>
    </row>
    <row r="228" spans="1:8">
      <c r="A228">
        <f t="shared" si="7"/>
        <v>8</v>
      </c>
      <c r="H228" s="60"/>
    </row>
    <row r="229" spans="1:8">
      <c r="A229">
        <f t="shared" si="7"/>
        <v>8</v>
      </c>
      <c r="H229" s="60"/>
    </row>
    <row r="230" spans="1:8">
      <c r="A230">
        <f t="shared" si="7"/>
        <v>8</v>
      </c>
      <c r="H230" s="60"/>
    </row>
    <row r="231" spans="1:8">
      <c r="A231">
        <f t="shared" si="7"/>
        <v>8</v>
      </c>
      <c r="H231" s="60"/>
    </row>
    <row r="232" spans="1:8">
      <c r="A232">
        <f t="shared" si="7"/>
        <v>8</v>
      </c>
      <c r="H232" s="60"/>
    </row>
    <row r="233" spans="1:8">
      <c r="A233">
        <f t="shared" si="7"/>
        <v>8</v>
      </c>
      <c r="H233" s="60"/>
    </row>
    <row r="234" spans="1:8">
      <c r="A234">
        <f t="shared" si="7"/>
        <v>8</v>
      </c>
      <c r="H234" s="60"/>
    </row>
    <row r="235" spans="1:8">
      <c r="A235">
        <f t="shared" si="7"/>
        <v>8</v>
      </c>
      <c r="H235" s="60"/>
    </row>
    <row r="236" spans="1:8">
      <c r="A236">
        <f t="shared" si="7"/>
        <v>8</v>
      </c>
      <c r="H236" s="60"/>
    </row>
    <row r="237" spans="1:8">
      <c r="A237">
        <f t="shared" si="7"/>
        <v>8</v>
      </c>
      <c r="H237" s="60"/>
    </row>
    <row r="238" spans="1:8">
      <c r="A238">
        <f t="shared" si="7"/>
        <v>8</v>
      </c>
      <c r="H238" s="60"/>
    </row>
    <row r="239" spans="1:8">
      <c r="A239">
        <f t="shared" si="7"/>
        <v>8</v>
      </c>
      <c r="H239" s="60"/>
    </row>
    <row r="240" spans="1:8">
      <c r="A240">
        <f t="shared" si="7"/>
        <v>8</v>
      </c>
      <c r="H240" s="60"/>
    </row>
    <row r="241" spans="1:8">
      <c r="A241">
        <f t="shared" si="7"/>
        <v>8</v>
      </c>
      <c r="H241" s="60"/>
    </row>
    <row r="242" spans="1:8">
      <c r="A242">
        <f t="shared" si="7"/>
        <v>8</v>
      </c>
      <c r="H242" s="60"/>
    </row>
    <row r="243" spans="1:8">
      <c r="A243">
        <f t="shared" si="7"/>
        <v>8</v>
      </c>
      <c r="H243" s="60"/>
    </row>
    <row r="244" spans="1:8">
      <c r="A244">
        <f t="shared" si="7"/>
        <v>8</v>
      </c>
      <c r="H244" s="60"/>
    </row>
    <row r="245" spans="1:8">
      <c r="A245">
        <f t="shared" si="7"/>
        <v>8</v>
      </c>
      <c r="H245" s="60"/>
    </row>
    <row r="246" spans="1:8">
      <c r="A246">
        <f t="shared" si="7"/>
        <v>8</v>
      </c>
      <c r="H246" s="60"/>
    </row>
    <row r="247" spans="1:8">
      <c r="A247">
        <f t="shared" si="7"/>
        <v>8</v>
      </c>
      <c r="H247" s="60"/>
    </row>
    <row r="248" spans="1:8">
      <c r="A248">
        <f t="shared" si="7"/>
        <v>8</v>
      </c>
      <c r="H248" s="60"/>
    </row>
    <row r="249" spans="1:8">
      <c r="A249">
        <f t="shared" si="7"/>
        <v>8</v>
      </c>
      <c r="H249" s="60"/>
    </row>
    <row r="250" spans="1:8">
      <c r="A250">
        <f t="shared" si="7"/>
        <v>8</v>
      </c>
      <c r="H250" s="60"/>
    </row>
    <row r="251" spans="1:8">
      <c r="A251">
        <f t="shared" si="7"/>
        <v>8</v>
      </c>
      <c r="H251" s="60"/>
    </row>
    <row r="252" spans="1:8">
      <c r="A252">
        <f t="shared" si="7"/>
        <v>8</v>
      </c>
      <c r="H252" s="60"/>
    </row>
    <row r="253" spans="1:8">
      <c r="A253">
        <f t="shared" si="7"/>
        <v>8</v>
      </c>
      <c r="H253" s="60"/>
    </row>
    <row r="254" spans="1:8">
      <c r="A254">
        <f t="shared" si="7"/>
        <v>8</v>
      </c>
      <c r="H254" s="60"/>
    </row>
    <row r="255" spans="1:8">
      <c r="A255">
        <f t="shared" si="7"/>
        <v>8</v>
      </c>
      <c r="H255" s="60"/>
    </row>
    <row r="256" spans="1:8">
      <c r="A256">
        <f t="shared" si="7"/>
        <v>8</v>
      </c>
      <c r="H256" s="60"/>
    </row>
    <row r="257" spans="1:8">
      <c r="A257">
        <f t="shared" si="7"/>
        <v>8</v>
      </c>
      <c r="H257" s="60"/>
    </row>
    <row r="258" spans="1:8">
      <c r="A258">
        <f t="shared" si="7"/>
        <v>8</v>
      </c>
      <c r="H258" s="60"/>
    </row>
    <row r="259" spans="1:8">
      <c r="A259">
        <f t="shared" si="7"/>
        <v>8</v>
      </c>
      <c r="H259" s="60"/>
    </row>
    <row r="260" spans="1:8">
      <c r="A260">
        <f t="shared" si="7"/>
        <v>8</v>
      </c>
      <c r="H260" s="60"/>
    </row>
    <row r="261" spans="1:8">
      <c r="A261">
        <f t="shared" si="7"/>
        <v>8</v>
      </c>
      <c r="H261" s="60"/>
    </row>
    <row r="262" spans="1:8">
      <c r="A262">
        <f t="shared" si="7"/>
        <v>8</v>
      </c>
      <c r="H262" s="60"/>
    </row>
    <row r="263" spans="1:8">
      <c r="A263">
        <f t="shared" si="7"/>
        <v>8</v>
      </c>
      <c r="H263" s="60"/>
    </row>
    <row r="264" spans="1:8">
      <c r="A264">
        <f t="shared" si="7"/>
        <v>8</v>
      </c>
      <c r="H264" s="60"/>
    </row>
    <row r="265" spans="1:8">
      <c r="A265">
        <f t="shared" si="7"/>
        <v>8</v>
      </c>
      <c r="H265" s="60"/>
    </row>
    <row r="266" spans="1:8">
      <c r="A266">
        <f t="shared" si="7"/>
        <v>8</v>
      </c>
      <c r="H266" s="60"/>
    </row>
    <row r="267" spans="1:8">
      <c r="A267">
        <f t="shared" si="7"/>
        <v>8</v>
      </c>
      <c r="H267" s="60"/>
    </row>
    <row r="268" spans="1:8">
      <c r="A268">
        <f t="shared" si="7"/>
        <v>8</v>
      </c>
      <c r="H268" s="60"/>
    </row>
    <row r="269" spans="1:8">
      <c r="A269">
        <f t="shared" si="7"/>
        <v>8</v>
      </c>
      <c r="H269" s="60"/>
    </row>
    <row r="270" spans="1:8">
      <c r="A270">
        <f t="shared" si="7"/>
        <v>8</v>
      </c>
      <c r="H270" s="60"/>
    </row>
    <row r="271" spans="1:8">
      <c r="A271">
        <f t="shared" si="7"/>
        <v>8</v>
      </c>
      <c r="H271" s="60"/>
    </row>
    <row r="272" spans="1:8">
      <c r="A272">
        <f t="shared" ref="A272:A335" si="8">IF(B272=B271, A271, A271+1)</f>
        <v>8</v>
      </c>
      <c r="H272" s="60"/>
    </row>
    <row r="273" spans="1:8">
      <c r="A273">
        <f t="shared" si="8"/>
        <v>8</v>
      </c>
      <c r="H273" s="60"/>
    </row>
    <row r="274" spans="1:8">
      <c r="A274">
        <f t="shared" si="8"/>
        <v>8</v>
      </c>
      <c r="H274" s="60"/>
    </row>
    <row r="275" spans="1:8">
      <c r="A275">
        <f t="shared" si="8"/>
        <v>8</v>
      </c>
      <c r="H275" s="60"/>
    </row>
    <row r="276" spans="1:8">
      <c r="A276">
        <f t="shared" si="8"/>
        <v>8</v>
      </c>
      <c r="H276" s="60"/>
    </row>
    <row r="277" spans="1:8">
      <c r="A277">
        <f t="shared" si="8"/>
        <v>8</v>
      </c>
      <c r="H277" s="60"/>
    </row>
    <row r="278" spans="1:8">
      <c r="A278">
        <f t="shared" si="8"/>
        <v>8</v>
      </c>
      <c r="H278" s="60"/>
    </row>
    <row r="279" spans="1:8">
      <c r="A279">
        <f t="shared" si="8"/>
        <v>8</v>
      </c>
      <c r="H279" s="60"/>
    </row>
    <row r="280" spans="1:8">
      <c r="A280">
        <f t="shared" si="8"/>
        <v>8</v>
      </c>
      <c r="H280" s="60"/>
    </row>
    <row r="281" spans="1:8">
      <c r="A281">
        <f t="shared" si="8"/>
        <v>8</v>
      </c>
      <c r="H281" s="60"/>
    </row>
    <row r="282" spans="1:8">
      <c r="A282">
        <f t="shared" si="8"/>
        <v>8</v>
      </c>
      <c r="H282" s="60"/>
    </row>
    <row r="283" spans="1:8">
      <c r="A283">
        <f t="shared" si="8"/>
        <v>8</v>
      </c>
      <c r="H283" s="60"/>
    </row>
    <row r="284" spans="1:8">
      <c r="A284">
        <f t="shared" si="8"/>
        <v>8</v>
      </c>
      <c r="H284" s="60"/>
    </row>
    <row r="285" spans="1:8">
      <c r="A285">
        <f t="shared" si="8"/>
        <v>8</v>
      </c>
      <c r="H285" s="60"/>
    </row>
    <row r="286" spans="1:8">
      <c r="A286">
        <f t="shared" si="8"/>
        <v>8</v>
      </c>
      <c r="H286" s="60"/>
    </row>
    <row r="287" spans="1:8">
      <c r="A287">
        <f t="shared" si="8"/>
        <v>8</v>
      </c>
      <c r="H287" s="60"/>
    </row>
    <row r="288" spans="1:8">
      <c r="A288">
        <f t="shared" si="8"/>
        <v>8</v>
      </c>
      <c r="H288" s="60"/>
    </row>
    <row r="289" spans="1:8">
      <c r="A289">
        <f t="shared" si="8"/>
        <v>8</v>
      </c>
      <c r="H289" s="60"/>
    </row>
    <row r="290" spans="1:8">
      <c r="A290">
        <f t="shared" si="8"/>
        <v>8</v>
      </c>
      <c r="H290" s="60"/>
    </row>
    <row r="291" spans="1:8">
      <c r="A291">
        <f t="shared" si="8"/>
        <v>8</v>
      </c>
      <c r="H291" s="60"/>
    </row>
    <row r="292" spans="1:8">
      <c r="A292">
        <f t="shared" si="8"/>
        <v>8</v>
      </c>
      <c r="H292" s="60"/>
    </row>
    <row r="293" spans="1:8">
      <c r="A293">
        <f t="shared" si="8"/>
        <v>8</v>
      </c>
      <c r="H293" s="60"/>
    </row>
    <row r="294" spans="1:8">
      <c r="A294">
        <f t="shared" si="8"/>
        <v>8</v>
      </c>
      <c r="H294" s="60"/>
    </row>
    <row r="295" spans="1:8">
      <c r="A295">
        <f t="shared" si="8"/>
        <v>8</v>
      </c>
      <c r="H295" s="60"/>
    </row>
    <row r="296" spans="1:8">
      <c r="A296">
        <f t="shared" si="8"/>
        <v>8</v>
      </c>
      <c r="H296" s="60"/>
    </row>
    <row r="297" spans="1:8">
      <c r="A297">
        <f t="shared" si="8"/>
        <v>8</v>
      </c>
      <c r="H297" s="60"/>
    </row>
    <row r="298" spans="1:8">
      <c r="A298">
        <f t="shared" si="8"/>
        <v>8</v>
      </c>
      <c r="H298" s="60"/>
    </row>
    <row r="299" spans="1:8">
      <c r="A299">
        <f t="shared" si="8"/>
        <v>8</v>
      </c>
      <c r="H299" s="60"/>
    </row>
    <row r="300" spans="1:8">
      <c r="A300">
        <f t="shared" si="8"/>
        <v>8</v>
      </c>
      <c r="H300" s="60"/>
    </row>
    <row r="301" spans="1:8">
      <c r="A301">
        <f t="shared" si="8"/>
        <v>8</v>
      </c>
      <c r="H301" s="60"/>
    </row>
    <row r="302" spans="1:8">
      <c r="A302">
        <f t="shared" si="8"/>
        <v>8</v>
      </c>
      <c r="H302" s="60"/>
    </row>
    <row r="303" spans="1:8">
      <c r="A303">
        <f t="shared" si="8"/>
        <v>8</v>
      </c>
      <c r="H303" s="60"/>
    </row>
    <row r="304" spans="1:8">
      <c r="A304">
        <f t="shared" si="8"/>
        <v>8</v>
      </c>
      <c r="H304" s="60"/>
    </row>
    <row r="305" spans="1:8">
      <c r="A305">
        <f t="shared" si="8"/>
        <v>8</v>
      </c>
      <c r="H305" s="60"/>
    </row>
    <row r="306" spans="1:8">
      <c r="A306">
        <f t="shared" si="8"/>
        <v>8</v>
      </c>
      <c r="H306" s="60"/>
    </row>
    <row r="307" spans="1:8">
      <c r="A307">
        <f t="shared" si="8"/>
        <v>8</v>
      </c>
      <c r="H307" s="60"/>
    </row>
    <row r="308" spans="1:8">
      <c r="A308">
        <f t="shared" si="8"/>
        <v>8</v>
      </c>
      <c r="H308" s="60"/>
    </row>
    <row r="309" spans="1:8">
      <c r="A309">
        <f t="shared" si="8"/>
        <v>8</v>
      </c>
      <c r="H309" s="60"/>
    </row>
    <row r="310" spans="1:8">
      <c r="A310">
        <f t="shared" si="8"/>
        <v>8</v>
      </c>
      <c r="H310" s="60"/>
    </row>
    <row r="311" spans="1:8">
      <c r="A311">
        <f t="shared" si="8"/>
        <v>8</v>
      </c>
      <c r="H311" s="60"/>
    </row>
    <row r="312" spans="1:8">
      <c r="A312">
        <f t="shared" si="8"/>
        <v>8</v>
      </c>
      <c r="H312" s="60"/>
    </row>
    <row r="313" spans="1:8">
      <c r="A313">
        <f t="shared" si="8"/>
        <v>8</v>
      </c>
      <c r="H313" s="60"/>
    </row>
    <row r="314" spans="1:8">
      <c r="A314">
        <f t="shared" si="8"/>
        <v>8</v>
      </c>
      <c r="H314" s="60"/>
    </row>
    <row r="315" spans="1:8">
      <c r="A315">
        <f t="shared" si="8"/>
        <v>8</v>
      </c>
      <c r="H315" s="60"/>
    </row>
    <row r="316" spans="1:8">
      <c r="A316">
        <f t="shared" si="8"/>
        <v>8</v>
      </c>
      <c r="H316" s="60"/>
    </row>
    <row r="317" spans="1:8">
      <c r="A317">
        <f t="shared" si="8"/>
        <v>8</v>
      </c>
      <c r="H317" s="60"/>
    </row>
    <row r="318" spans="1:8">
      <c r="A318">
        <f t="shared" si="8"/>
        <v>8</v>
      </c>
      <c r="H318" s="60"/>
    </row>
    <row r="319" spans="1:8">
      <c r="A319">
        <f t="shared" si="8"/>
        <v>8</v>
      </c>
      <c r="H319" s="60"/>
    </row>
    <row r="320" spans="1:8">
      <c r="A320">
        <f t="shared" si="8"/>
        <v>8</v>
      </c>
      <c r="H320" s="60"/>
    </row>
    <row r="321" spans="1:8">
      <c r="A321">
        <f t="shared" si="8"/>
        <v>8</v>
      </c>
      <c r="H321" s="60"/>
    </row>
    <row r="322" spans="1:8">
      <c r="A322">
        <f t="shared" si="8"/>
        <v>8</v>
      </c>
      <c r="H322" s="60"/>
    </row>
    <row r="323" spans="1:8">
      <c r="A323">
        <f t="shared" si="8"/>
        <v>8</v>
      </c>
      <c r="H323" s="60"/>
    </row>
    <row r="324" spans="1:8">
      <c r="A324">
        <f t="shared" si="8"/>
        <v>8</v>
      </c>
      <c r="H324" s="60"/>
    </row>
    <row r="325" spans="1:8">
      <c r="A325">
        <f t="shared" si="8"/>
        <v>8</v>
      </c>
      <c r="H325" s="60"/>
    </row>
    <row r="326" spans="1:8">
      <c r="A326">
        <f t="shared" si="8"/>
        <v>8</v>
      </c>
      <c r="H326" s="60"/>
    </row>
    <row r="327" spans="1:8">
      <c r="A327">
        <f t="shared" si="8"/>
        <v>8</v>
      </c>
      <c r="H327" s="60"/>
    </row>
    <row r="328" spans="1:8">
      <c r="A328">
        <f t="shared" si="8"/>
        <v>8</v>
      </c>
      <c r="H328" s="60"/>
    </row>
    <row r="329" spans="1:8">
      <c r="A329">
        <f t="shared" si="8"/>
        <v>8</v>
      </c>
      <c r="H329" s="60"/>
    </row>
    <row r="330" spans="1:8">
      <c r="A330">
        <f t="shared" si="8"/>
        <v>8</v>
      </c>
      <c r="H330" s="60"/>
    </row>
    <row r="331" spans="1:8">
      <c r="A331">
        <f t="shared" si="8"/>
        <v>8</v>
      </c>
      <c r="H331" s="60"/>
    </row>
    <row r="332" spans="1:8">
      <c r="A332">
        <f t="shared" si="8"/>
        <v>8</v>
      </c>
      <c r="H332" s="60"/>
    </row>
    <row r="333" spans="1:8">
      <c r="A333">
        <f t="shared" si="8"/>
        <v>8</v>
      </c>
      <c r="H333" s="60"/>
    </row>
    <row r="334" spans="1:8">
      <c r="A334">
        <f t="shared" si="8"/>
        <v>8</v>
      </c>
      <c r="H334" s="60"/>
    </row>
    <row r="335" spans="1:8">
      <c r="A335">
        <f t="shared" si="8"/>
        <v>8</v>
      </c>
      <c r="H335" s="60"/>
    </row>
    <row r="336" spans="1:8">
      <c r="A336">
        <f t="shared" ref="A336:A399" si="9">IF(B336=B335, A335, A335+1)</f>
        <v>8</v>
      </c>
      <c r="H336" s="60"/>
    </row>
    <row r="337" spans="1:8">
      <c r="A337">
        <f t="shared" si="9"/>
        <v>8</v>
      </c>
      <c r="H337" s="60"/>
    </row>
    <row r="338" spans="1:8">
      <c r="A338">
        <f t="shared" si="9"/>
        <v>8</v>
      </c>
      <c r="H338" s="60"/>
    </row>
    <row r="339" spans="1:8">
      <c r="A339">
        <f t="shared" si="9"/>
        <v>8</v>
      </c>
      <c r="H339" s="60"/>
    </row>
    <row r="340" spans="1:8">
      <c r="A340">
        <f t="shared" si="9"/>
        <v>8</v>
      </c>
      <c r="H340" s="60"/>
    </row>
    <row r="341" spans="1:8">
      <c r="A341">
        <f t="shared" si="9"/>
        <v>8</v>
      </c>
      <c r="H341" s="60"/>
    </row>
    <row r="342" spans="1:8">
      <c r="A342">
        <f t="shared" si="9"/>
        <v>8</v>
      </c>
      <c r="H342" s="60"/>
    </row>
    <row r="343" spans="1:8">
      <c r="A343">
        <f t="shared" si="9"/>
        <v>8</v>
      </c>
      <c r="H343" s="60"/>
    </row>
    <row r="344" spans="1:8">
      <c r="A344">
        <f t="shared" si="9"/>
        <v>8</v>
      </c>
      <c r="H344" s="60"/>
    </row>
    <row r="345" spans="1:8">
      <c r="A345">
        <f t="shared" si="9"/>
        <v>8</v>
      </c>
      <c r="H345" s="60"/>
    </row>
    <row r="346" spans="1:8">
      <c r="A346">
        <f t="shared" si="9"/>
        <v>8</v>
      </c>
      <c r="H346" s="60"/>
    </row>
    <row r="347" spans="1:8">
      <c r="A347">
        <f t="shared" si="9"/>
        <v>8</v>
      </c>
      <c r="H347" s="60"/>
    </row>
    <row r="348" spans="1:8">
      <c r="A348">
        <f t="shared" si="9"/>
        <v>8</v>
      </c>
      <c r="H348" s="60"/>
    </row>
    <row r="349" spans="1:8">
      <c r="A349">
        <f t="shared" si="9"/>
        <v>8</v>
      </c>
      <c r="H349" s="60"/>
    </row>
    <row r="350" spans="1:8">
      <c r="A350">
        <f t="shared" si="9"/>
        <v>8</v>
      </c>
      <c r="H350" s="60"/>
    </row>
    <row r="351" spans="1:8">
      <c r="A351">
        <f t="shared" si="9"/>
        <v>8</v>
      </c>
      <c r="H351" s="60"/>
    </row>
    <row r="352" spans="1:8">
      <c r="A352">
        <f t="shared" si="9"/>
        <v>8</v>
      </c>
      <c r="H352" s="60"/>
    </row>
    <row r="353" spans="1:8">
      <c r="A353">
        <f t="shared" si="9"/>
        <v>8</v>
      </c>
      <c r="H353" s="60"/>
    </row>
    <row r="354" spans="1:8">
      <c r="A354">
        <f t="shared" si="9"/>
        <v>8</v>
      </c>
      <c r="H354" s="60"/>
    </row>
    <row r="355" spans="1:8">
      <c r="A355">
        <f t="shared" si="9"/>
        <v>8</v>
      </c>
      <c r="H355" s="60"/>
    </row>
    <row r="356" spans="1:8">
      <c r="A356">
        <f t="shared" si="9"/>
        <v>8</v>
      </c>
      <c r="H356" s="60"/>
    </row>
    <row r="357" spans="1:8">
      <c r="A357">
        <f t="shared" si="9"/>
        <v>8</v>
      </c>
      <c r="H357" s="60"/>
    </row>
    <row r="358" spans="1:8">
      <c r="A358">
        <f t="shared" si="9"/>
        <v>8</v>
      </c>
      <c r="H358" s="60"/>
    </row>
    <row r="359" spans="1:8">
      <c r="A359">
        <f t="shared" si="9"/>
        <v>8</v>
      </c>
      <c r="H359" s="60"/>
    </row>
    <row r="360" spans="1:8">
      <c r="A360">
        <f t="shared" si="9"/>
        <v>8</v>
      </c>
      <c r="H360" s="60"/>
    </row>
    <row r="361" spans="1:8">
      <c r="A361">
        <f t="shared" si="9"/>
        <v>8</v>
      </c>
      <c r="H361" s="60"/>
    </row>
    <row r="362" spans="1:8">
      <c r="A362">
        <f t="shared" si="9"/>
        <v>8</v>
      </c>
      <c r="H362" s="60"/>
    </row>
    <row r="363" spans="1:8">
      <c r="A363">
        <f t="shared" si="9"/>
        <v>8</v>
      </c>
      <c r="H363" s="60"/>
    </row>
    <row r="364" spans="1:8">
      <c r="A364">
        <f t="shared" si="9"/>
        <v>8</v>
      </c>
      <c r="H364" s="60"/>
    </row>
    <row r="365" spans="1:8">
      <c r="A365">
        <f t="shared" si="9"/>
        <v>8</v>
      </c>
      <c r="H365" s="60"/>
    </row>
    <row r="366" spans="1:8">
      <c r="A366">
        <f t="shared" si="9"/>
        <v>8</v>
      </c>
      <c r="H366" s="60"/>
    </row>
    <row r="367" spans="1:8">
      <c r="A367">
        <f t="shared" si="9"/>
        <v>8</v>
      </c>
      <c r="H367" s="60"/>
    </row>
    <row r="368" spans="1:8">
      <c r="A368">
        <f t="shared" si="9"/>
        <v>8</v>
      </c>
      <c r="H368" s="60"/>
    </row>
    <row r="369" spans="1:8">
      <c r="A369">
        <f t="shared" si="9"/>
        <v>8</v>
      </c>
      <c r="H369" s="60"/>
    </row>
    <row r="370" spans="1:8">
      <c r="A370">
        <f t="shared" si="9"/>
        <v>8</v>
      </c>
      <c r="H370" s="60"/>
    </row>
    <row r="371" spans="1:8">
      <c r="A371">
        <f t="shared" si="9"/>
        <v>8</v>
      </c>
      <c r="H371" s="60"/>
    </row>
    <row r="372" spans="1:8">
      <c r="A372">
        <f t="shared" si="9"/>
        <v>8</v>
      </c>
      <c r="H372" s="60"/>
    </row>
    <row r="373" spans="1:8">
      <c r="A373">
        <f t="shared" si="9"/>
        <v>8</v>
      </c>
      <c r="H373" s="60"/>
    </row>
    <row r="374" spans="1:8">
      <c r="A374">
        <f t="shared" si="9"/>
        <v>8</v>
      </c>
      <c r="H374" s="60"/>
    </row>
    <row r="375" spans="1:8">
      <c r="A375">
        <f t="shared" si="9"/>
        <v>8</v>
      </c>
      <c r="H375" s="60"/>
    </row>
    <row r="376" spans="1:8">
      <c r="A376">
        <f t="shared" si="9"/>
        <v>8</v>
      </c>
      <c r="H376" s="60"/>
    </row>
    <row r="377" spans="1:8">
      <c r="A377">
        <f t="shared" si="9"/>
        <v>8</v>
      </c>
      <c r="H377" s="60"/>
    </row>
    <row r="378" spans="1:8">
      <c r="A378">
        <f t="shared" si="9"/>
        <v>8</v>
      </c>
      <c r="H378" s="60"/>
    </row>
    <row r="379" spans="1:8">
      <c r="A379">
        <f t="shared" si="9"/>
        <v>8</v>
      </c>
      <c r="H379" s="60"/>
    </row>
    <row r="380" spans="1:8">
      <c r="A380">
        <f t="shared" si="9"/>
        <v>8</v>
      </c>
      <c r="H380" s="60"/>
    </row>
    <row r="381" spans="1:8">
      <c r="A381">
        <f t="shared" si="9"/>
        <v>8</v>
      </c>
      <c r="H381" s="60"/>
    </row>
    <row r="382" spans="1:8">
      <c r="A382">
        <f t="shared" si="9"/>
        <v>8</v>
      </c>
      <c r="H382" s="60"/>
    </row>
    <row r="383" spans="1:8">
      <c r="A383">
        <f t="shared" si="9"/>
        <v>8</v>
      </c>
      <c r="H383" s="60"/>
    </row>
    <row r="384" spans="1:8">
      <c r="A384">
        <f t="shared" si="9"/>
        <v>8</v>
      </c>
      <c r="H384" s="60"/>
    </row>
    <row r="385" spans="1:8">
      <c r="A385">
        <f t="shared" si="9"/>
        <v>8</v>
      </c>
      <c r="H385" s="60"/>
    </row>
    <row r="386" spans="1:8">
      <c r="A386">
        <f t="shared" si="9"/>
        <v>8</v>
      </c>
      <c r="H386" s="60"/>
    </row>
    <row r="387" spans="1:8">
      <c r="A387">
        <f t="shared" si="9"/>
        <v>8</v>
      </c>
      <c r="H387" s="60"/>
    </row>
    <row r="388" spans="1:8">
      <c r="A388">
        <f t="shared" si="9"/>
        <v>8</v>
      </c>
      <c r="H388" s="60"/>
    </row>
    <row r="389" spans="1:8">
      <c r="A389">
        <f t="shared" si="9"/>
        <v>8</v>
      </c>
      <c r="H389" s="60"/>
    </row>
    <row r="390" spans="1:8">
      <c r="A390">
        <f t="shared" si="9"/>
        <v>8</v>
      </c>
      <c r="H390" s="60"/>
    </row>
    <row r="391" spans="1:8">
      <c r="A391">
        <f t="shared" si="9"/>
        <v>8</v>
      </c>
      <c r="H391" s="60"/>
    </row>
    <row r="392" spans="1:8">
      <c r="A392">
        <f t="shared" si="9"/>
        <v>8</v>
      </c>
      <c r="H392" s="60"/>
    </row>
    <row r="393" spans="1:8">
      <c r="A393">
        <f t="shared" si="9"/>
        <v>8</v>
      </c>
      <c r="H393" s="60"/>
    </row>
    <row r="394" spans="1:8">
      <c r="A394">
        <f t="shared" si="9"/>
        <v>8</v>
      </c>
      <c r="H394" s="60"/>
    </row>
    <row r="395" spans="1:8">
      <c r="A395">
        <f t="shared" si="9"/>
        <v>8</v>
      </c>
      <c r="H395" s="60"/>
    </row>
    <row r="396" spans="1:8">
      <c r="A396">
        <f t="shared" si="9"/>
        <v>8</v>
      </c>
      <c r="H396" s="60"/>
    </row>
    <row r="397" spans="1:8">
      <c r="A397">
        <f t="shared" si="9"/>
        <v>8</v>
      </c>
      <c r="H397" s="60"/>
    </row>
    <row r="398" spans="1:8">
      <c r="A398">
        <f t="shared" si="9"/>
        <v>8</v>
      </c>
      <c r="H398" s="60"/>
    </row>
    <row r="399" spans="1:8">
      <c r="A399">
        <f t="shared" si="9"/>
        <v>8</v>
      </c>
      <c r="H399" s="60"/>
    </row>
    <row r="400" spans="1:8">
      <c r="A400">
        <f t="shared" ref="A400:A463" si="10">IF(B400=B399, A399, A399+1)</f>
        <v>8</v>
      </c>
      <c r="H400" s="60"/>
    </row>
    <row r="401" spans="1:8">
      <c r="A401">
        <f t="shared" si="10"/>
        <v>8</v>
      </c>
      <c r="H401" s="60"/>
    </row>
    <row r="402" spans="1:8">
      <c r="A402">
        <f t="shared" si="10"/>
        <v>8</v>
      </c>
      <c r="H402" s="60"/>
    </row>
    <row r="403" spans="1:8">
      <c r="A403">
        <f t="shared" si="10"/>
        <v>8</v>
      </c>
      <c r="H403" s="60"/>
    </row>
    <row r="404" spans="1:8">
      <c r="A404">
        <f t="shared" si="10"/>
        <v>8</v>
      </c>
      <c r="H404" s="60"/>
    </row>
    <row r="405" spans="1:8">
      <c r="A405">
        <f t="shared" si="10"/>
        <v>8</v>
      </c>
      <c r="H405" s="60"/>
    </row>
    <row r="406" spans="1:8">
      <c r="A406">
        <f t="shared" si="10"/>
        <v>8</v>
      </c>
      <c r="H406" s="60"/>
    </row>
    <row r="407" spans="1:8">
      <c r="A407">
        <f t="shared" si="10"/>
        <v>8</v>
      </c>
      <c r="H407" s="60"/>
    </row>
    <row r="408" spans="1:8">
      <c r="A408">
        <f t="shared" si="10"/>
        <v>8</v>
      </c>
      <c r="H408" s="60"/>
    </row>
    <row r="409" spans="1:8">
      <c r="A409">
        <f t="shared" si="10"/>
        <v>8</v>
      </c>
      <c r="H409" s="60"/>
    </row>
    <row r="410" spans="1:8">
      <c r="A410">
        <f t="shared" si="10"/>
        <v>8</v>
      </c>
      <c r="H410" s="60"/>
    </row>
    <row r="411" spans="1:8">
      <c r="A411">
        <f t="shared" si="10"/>
        <v>8</v>
      </c>
      <c r="H411" s="60"/>
    </row>
    <row r="412" spans="1:8">
      <c r="A412">
        <f t="shared" si="10"/>
        <v>8</v>
      </c>
      <c r="H412" s="60"/>
    </row>
    <row r="413" spans="1:8">
      <c r="A413">
        <f t="shared" si="10"/>
        <v>8</v>
      </c>
      <c r="H413" s="60"/>
    </row>
    <row r="414" spans="1:8">
      <c r="A414">
        <f t="shared" si="10"/>
        <v>8</v>
      </c>
      <c r="H414" s="60"/>
    </row>
    <row r="415" spans="1:8">
      <c r="A415">
        <f t="shared" si="10"/>
        <v>8</v>
      </c>
      <c r="H415" s="60"/>
    </row>
    <row r="416" spans="1:8">
      <c r="A416">
        <f t="shared" si="10"/>
        <v>8</v>
      </c>
      <c r="H416" s="60"/>
    </row>
    <row r="417" spans="1:8">
      <c r="A417">
        <f t="shared" si="10"/>
        <v>8</v>
      </c>
      <c r="H417" s="60"/>
    </row>
    <row r="418" spans="1:8">
      <c r="A418">
        <f t="shared" si="10"/>
        <v>8</v>
      </c>
      <c r="H418" s="60"/>
    </row>
    <row r="419" spans="1:8">
      <c r="A419">
        <f t="shared" si="10"/>
        <v>8</v>
      </c>
      <c r="H419" s="60"/>
    </row>
    <row r="420" spans="1:8">
      <c r="A420">
        <f t="shared" si="10"/>
        <v>8</v>
      </c>
      <c r="H420" s="60"/>
    </row>
    <row r="421" spans="1:8">
      <c r="A421">
        <f t="shared" si="10"/>
        <v>8</v>
      </c>
      <c r="H421" s="60"/>
    </row>
    <row r="422" spans="1:8">
      <c r="A422">
        <f t="shared" si="10"/>
        <v>8</v>
      </c>
      <c r="H422" s="60"/>
    </row>
    <row r="423" spans="1:8">
      <c r="A423">
        <f t="shared" si="10"/>
        <v>8</v>
      </c>
      <c r="H423" s="60"/>
    </row>
    <row r="424" spans="1:8">
      <c r="A424">
        <f t="shared" si="10"/>
        <v>8</v>
      </c>
      <c r="H424" s="60"/>
    </row>
    <row r="425" spans="1:8">
      <c r="A425">
        <f t="shared" si="10"/>
        <v>8</v>
      </c>
      <c r="H425" s="60"/>
    </row>
    <row r="426" spans="1:8">
      <c r="A426">
        <f t="shared" si="10"/>
        <v>8</v>
      </c>
      <c r="H426" s="60"/>
    </row>
    <row r="427" spans="1:8">
      <c r="A427">
        <f t="shared" si="10"/>
        <v>8</v>
      </c>
      <c r="H427" s="60"/>
    </row>
    <row r="428" spans="1:8">
      <c r="A428">
        <f t="shared" si="10"/>
        <v>8</v>
      </c>
      <c r="H428" s="60"/>
    </row>
    <row r="429" spans="1:8">
      <c r="A429">
        <f t="shared" si="10"/>
        <v>8</v>
      </c>
      <c r="H429" s="60"/>
    </row>
    <row r="430" spans="1:8">
      <c r="A430">
        <f t="shared" si="10"/>
        <v>8</v>
      </c>
      <c r="H430" s="60"/>
    </row>
    <row r="431" spans="1:8">
      <c r="A431">
        <f t="shared" si="10"/>
        <v>8</v>
      </c>
      <c r="H431" s="60"/>
    </row>
    <row r="432" spans="1:8">
      <c r="A432">
        <f t="shared" si="10"/>
        <v>8</v>
      </c>
      <c r="H432" s="60"/>
    </row>
    <row r="433" spans="1:8">
      <c r="A433">
        <f t="shared" si="10"/>
        <v>8</v>
      </c>
      <c r="H433" s="60"/>
    </row>
    <row r="434" spans="1:8">
      <c r="A434">
        <f t="shared" si="10"/>
        <v>8</v>
      </c>
      <c r="H434" s="60"/>
    </row>
    <row r="435" spans="1:8">
      <c r="A435">
        <f t="shared" si="10"/>
        <v>8</v>
      </c>
      <c r="H435" s="60"/>
    </row>
    <row r="436" spans="1:8">
      <c r="A436">
        <f t="shared" si="10"/>
        <v>8</v>
      </c>
      <c r="H436" s="60"/>
    </row>
    <row r="437" spans="1:8">
      <c r="A437">
        <f t="shared" si="10"/>
        <v>8</v>
      </c>
      <c r="H437" s="60"/>
    </row>
    <row r="438" spans="1:8">
      <c r="A438">
        <f t="shared" si="10"/>
        <v>8</v>
      </c>
      <c r="H438" s="60"/>
    </row>
    <row r="439" spans="1:8">
      <c r="A439">
        <f t="shared" si="10"/>
        <v>8</v>
      </c>
      <c r="H439" s="60"/>
    </row>
    <row r="440" spans="1:8">
      <c r="A440">
        <f t="shared" si="10"/>
        <v>8</v>
      </c>
      <c r="H440" s="60"/>
    </row>
    <row r="441" spans="1:8">
      <c r="A441">
        <f t="shared" si="10"/>
        <v>8</v>
      </c>
      <c r="H441" s="60"/>
    </row>
    <row r="442" spans="1:8">
      <c r="A442">
        <f t="shared" si="10"/>
        <v>8</v>
      </c>
      <c r="H442" s="60"/>
    </row>
    <row r="443" spans="1:8">
      <c r="A443">
        <f t="shared" si="10"/>
        <v>8</v>
      </c>
      <c r="H443" s="60"/>
    </row>
    <row r="444" spans="1:8">
      <c r="A444">
        <f t="shared" si="10"/>
        <v>8</v>
      </c>
      <c r="H444" s="60"/>
    </row>
    <row r="445" spans="1:8">
      <c r="A445">
        <f t="shared" si="10"/>
        <v>8</v>
      </c>
      <c r="H445" s="60"/>
    </row>
    <row r="446" spans="1:8">
      <c r="A446">
        <f t="shared" si="10"/>
        <v>8</v>
      </c>
      <c r="H446" s="60"/>
    </row>
    <row r="447" spans="1:8">
      <c r="A447">
        <f t="shared" si="10"/>
        <v>8</v>
      </c>
      <c r="H447" s="60"/>
    </row>
    <row r="448" spans="1:8">
      <c r="A448">
        <f t="shared" si="10"/>
        <v>8</v>
      </c>
      <c r="H448" s="60"/>
    </row>
    <row r="449" spans="1:8">
      <c r="A449">
        <f t="shared" si="10"/>
        <v>8</v>
      </c>
      <c r="H449" s="60"/>
    </row>
    <row r="450" spans="1:8">
      <c r="A450">
        <f t="shared" si="10"/>
        <v>8</v>
      </c>
      <c r="H450" s="60"/>
    </row>
    <row r="451" spans="1:8">
      <c r="A451">
        <f t="shared" si="10"/>
        <v>8</v>
      </c>
      <c r="H451" s="60"/>
    </row>
    <row r="452" spans="1:8">
      <c r="A452">
        <f t="shared" si="10"/>
        <v>8</v>
      </c>
      <c r="H452" s="60"/>
    </row>
    <row r="453" spans="1:8">
      <c r="A453">
        <f t="shared" si="10"/>
        <v>8</v>
      </c>
      <c r="H453" s="60"/>
    </row>
    <row r="454" spans="1:8">
      <c r="A454">
        <f t="shared" si="10"/>
        <v>8</v>
      </c>
      <c r="H454" s="60"/>
    </row>
    <row r="455" spans="1:8">
      <c r="A455">
        <f t="shared" si="10"/>
        <v>8</v>
      </c>
      <c r="H455" s="60"/>
    </row>
    <row r="456" spans="1:8">
      <c r="A456">
        <f t="shared" si="10"/>
        <v>8</v>
      </c>
      <c r="H456" s="60"/>
    </row>
    <row r="457" spans="1:8">
      <c r="A457">
        <f t="shared" si="10"/>
        <v>8</v>
      </c>
      <c r="H457" s="60"/>
    </row>
    <row r="458" spans="1:8">
      <c r="A458">
        <f t="shared" si="10"/>
        <v>8</v>
      </c>
      <c r="H458" s="60"/>
    </row>
    <row r="459" spans="1:8">
      <c r="A459">
        <f t="shared" si="10"/>
        <v>8</v>
      </c>
      <c r="H459" s="60"/>
    </row>
    <row r="460" spans="1:8">
      <c r="A460">
        <f t="shared" si="10"/>
        <v>8</v>
      </c>
      <c r="H460" s="60"/>
    </row>
    <row r="461" spans="1:8">
      <c r="A461">
        <f t="shared" si="10"/>
        <v>8</v>
      </c>
      <c r="H461" s="60"/>
    </row>
    <row r="462" spans="1:8">
      <c r="A462">
        <f t="shared" si="10"/>
        <v>8</v>
      </c>
      <c r="H462" s="60"/>
    </row>
    <row r="463" spans="1:8">
      <c r="A463">
        <f t="shared" si="10"/>
        <v>8</v>
      </c>
      <c r="H463" s="60"/>
    </row>
    <row r="464" spans="1:8">
      <c r="A464">
        <f t="shared" ref="A464:A527" si="11">IF(B464=B463, A463, A463+1)</f>
        <v>8</v>
      </c>
      <c r="H464" s="60"/>
    </row>
    <row r="465" spans="1:8">
      <c r="A465">
        <f t="shared" si="11"/>
        <v>8</v>
      </c>
      <c r="H465" s="60"/>
    </row>
    <row r="466" spans="1:8">
      <c r="A466">
        <f t="shared" si="11"/>
        <v>8</v>
      </c>
      <c r="H466" s="60"/>
    </row>
    <row r="467" spans="1:8">
      <c r="A467">
        <f t="shared" si="11"/>
        <v>8</v>
      </c>
      <c r="H467" s="60"/>
    </row>
    <row r="468" spans="1:8">
      <c r="A468">
        <f t="shared" si="11"/>
        <v>8</v>
      </c>
      <c r="H468" s="60"/>
    </row>
    <row r="469" spans="1:8">
      <c r="A469">
        <f t="shared" si="11"/>
        <v>8</v>
      </c>
      <c r="H469" s="60"/>
    </row>
    <row r="470" spans="1:8">
      <c r="A470">
        <f t="shared" si="11"/>
        <v>8</v>
      </c>
      <c r="H470" s="60"/>
    </row>
    <row r="471" spans="1:8">
      <c r="A471">
        <f t="shared" si="11"/>
        <v>8</v>
      </c>
      <c r="H471" s="60"/>
    </row>
    <row r="472" spans="1:8">
      <c r="A472">
        <f t="shared" si="11"/>
        <v>8</v>
      </c>
      <c r="H472" s="60"/>
    </row>
    <row r="473" spans="1:8">
      <c r="A473">
        <f t="shared" si="11"/>
        <v>8</v>
      </c>
      <c r="H473" s="60"/>
    </row>
    <row r="474" spans="1:8">
      <c r="A474">
        <f t="shared" si="11"/>
        <v>8</v>
      </c>
      <c r="H474" s="60"/>
    </row>
    <row r="475" spans="1:8">
      <c r="A475">
        <f t="shared" si="11"/>
        <v>8</v>
      </c>
      <c r="H475" s="60"/>
    </row>
    <row r="476" spans="1:8">
      <c r="A476">
        <f t="shared" si="11"/>
        <v>8</v>
      </c>
      <c r="H476" s="60"/>
    </row>
    <row r="477" spans="1:8">
      <c r="A477">
        <f t="shared" si="11"/>
        <v>8</v>
      </c>
      <c r="H477" s="60"/>
    </row>
    <row r="478" spans="1:8">
      <c r="A478">
        <f t="shared" si="11"/>
        <v>8</v>
      </c>
      <c r="H478" s="60"/>
    </row>
    <row r="479" spans="1:8">
      <c r="A479">
        <f t="shared" si="11"/>
        <v>8</v>
      </c>
      <c r="H479" s="60"/>
    </row>
    <row r="480" spans="1:8">
      <c r="A480">
        <f t="shared" si="11"/>
        <v>8</v>
      </c>
      <c r="H480" s="60"/>
    </row>
    <row r="481" spans="1:8">
      <c r="A481">
        <f t="shared" si="11"/>
        <v>8</v>
      </c>
      <c r="H481" s="60"/>
    </row>
    <row r="482" spans="1:8">
      <c r="A482">
        <f t="shared" si="11"/>
        <v>8</v>
      </c>
      <c r="H482" s="60"/>
    </row>
    <row r="483" spans="1:8">
      <c r="A483">
        <f t="shared" si="11"/>
        <v>8</v>
      </c>
      <c r="H483" s="60"/>
    </row>
    <row r="484" spans="1:8">
      <c r="A484">
        <f t="shared" si="11"/>
        <v>8</v>
      </c>
      <c r="H484" s="60"/>
    </row>
    <row r="485" spans="1:8">
      <c r="A485">
        <f t="shared" si="11"/>
        <v>8</v>
      </c>
      <c r="H485" s="60"/>
    </row>
    <row r="486" spans="1:8">
      <c r="A486">
        <f t="shared" si="11"/>
        <v>8</v>
      </c>
      <c r="H486" s="60"/>
    </row>
    <row r="487" spans="1:8">
      <c r="A487">
        <f t="shared" si="11"/>
        <v>8</v>
      </c>
      <c r="H487" s="60"/>
    </row>
    <row r="488" spans="1:8">
      <c r="A488">
        <f t="shared" si="11"/>
        <v>8</v>
      </c>
      <c r="H488" s="60"/>
    </row>
    <row r="489" spans="1:8">
      <c r="A489">
        <f t="shared" si="11"/>
        <v>8</v>
      </c>
      <c r="H489" s="60"/>
    </row>
    <row r="490" spans="1:8">
      <c r="A490">
        <f t="shared" si="11"/>
        <v>8</v>
      </c>
      <c r="H490" s="60"/>
    </row>
    <row r="491" spans="1:8">
      <c r="A491">
        <f t="shared" si="11"/>
        <v>8</v>
      </c>
      <c r="H491" s="60"/>
    </row>
    <row r="492" spans="1:8">
      <c r="A492">
        <f t="shared" si="11"/>
        <v>8</v>
      </c>
      <c r="H492" s="60"/>
    </row>
    <row r="493" spans="1:8">
      <c r="A493">
        <f t="shared" si="11"/>
        <v>8</v>
      </c>
      <c r="H493" s="60"/>
    </row>
    <row r="494" spans="1:8">
      <c r="A494">
        <f t="shared" si="11"/>
        <v>8</v>
      </c>
      <c r="H494" s="60"/>
    </row>
    <row r="495" spans="1:8">
      <c r="A495">
        <f t="shared" si="11"/>
        <v>8</v>
      </c>
      <c r="H495" s="60"/>
    </row>
    <row r="496" spans="1:8">
      <c r="A496">
        <f t="shared" si="11"/>
        <v>8</v>
      </c>
      <c r="H496" s="60"/>
    </row>
    <row r="497" spans="1:8">
      <c r="A497">
        <f t="shared" si="11"/>
        <v>8</v>
      </c>
      <c r="H497" s="60"/>
    </row>
    <row r="498" spans="1:8">
      <c r="A498">
        <f t="shared" si="11"/>
        <v>8</v>
      </c>
      <c r="H498" s="60"/>
    </row>
    <row r="499" spans="1:8">
      <c r="A499">
        <f t="shared" si="11"/>
        <v>8</v>
      </c>
      <c r="H499" s="60"/>
    </row>
    <row r="500" spans="1:8">
      <c r="A500">
        <f t="shared" si="11"/>
        <v>8</v>
      </c>
      <c r="H500" s="60"/>
    </row>
    <row r="501" spans="1:8">
      <c r="A501">
        <f t="shared" si="11"/>
        <v>8</v>
      </c>
      <c r="H501" s="60"/>
    </row>
    <row r="502" spans="1:8">
      <c r="A502">
        <f t="shared" si="11"/>
        <v>8</v>
      </c>
      <c r="H502" s="60"/>
    </row>
    <row r="503" spans="1:8">
      <c r="A503">
        <f t="shared" si="11"/>
        <v>8</v>
      </c>
      <c r="H503" s="60"/>
    </row>
    <row r="504" spans="1:8">
      <c r="A504">
        <f t="shared" si="11"/>
        <v>8</v>
      </c>
      <c r="H504" s="60"/>
    </row>
    <row r="505" spans="1:8">
      <c r="A505">
        <f t="shared" si="11"/>
        <v>8</v>
      </c>
      <c r="H505" s="60"/>
    </row>
    <row r="506" spans="1:8">
      <c r="A506">
        <f t="shared" si="11"/>
        <v>8</v>
      </c>
      <c r="H506" s="60"/>
    </row>
    <row r="507" spans="1:8">
      <c r="A507">
        <f t="shared" si="11"/>
        <v>8</v>
      </c>
      <c r="H507" s="60"/>
    </row>
    <row r="508" spans="1:8">
      <c r="A508">
        <f t="shared" si="11"/>
        <v>8</v>
      </c>
      <c r="H508" s="60"/>
    </row>
    <row r="509" spans="1:8">
      <c r="A509">
        <f t="shared" si="11"/>
        <v>8</v>
      </c>
      <c r="H509" s="60"/>
    </row>
    <row r="510" spans="1:8">
      <c r="A510">
        <f t="shared" si="11"/>
        <v>8</v>
      </c>
      <c r="H510" s="60"/>
    </row>
    <row r="511" spans="1:8">
      <c r="A511">
        <f t="shared" si="11"/>
        <v>8</v>
      </c>
      <c r="H511" s="60"/>
    </row>
    <row r="512" spans="1:8">
      <c r="A512">
        <f t="shared" si="11"/>
        <v>8</v>
      </c>
      <c r="H512" s="60"/>
    </row>
    <row r="513" spans="1:8">
      <c r="A513">
        <f t="shared" si="11"/>
        <v>8</v>
      </c>
      <c r="H513" s="60"/>
    </row>
    <row r="514" spans="1:8">
      <c r="A514">
        <f t="shared" si="11"/>
        <v>8</v>
      </c>
      <c r="H514" s="60"/>
    </row>
    <row r="515" spans="1:8">
      <c r="A515">
        <f t="shared" si="11"/>
        <v>8</v>
      </c>
      <c r="H515" s="60"/>
    </row>
    <row r="516" spans="1:8">
      <c r="A516">
        <f t="shared" si="11"/>
        <v>8</v>
      </c>
      <c r="H516" s="60"/>
    </row>
    <row r="517" spans="1:8">
      <c r="A517">
        <f t="shared" si="11"/>
        <v>8</v>
      </c>
      <c r="H517" s="60"/>
    </row>
    <row r="518" spans="1:8">
      <c r="A518">
        <f t="shared" si="11"/>
        <v>8</v>
      </c>
      <c r="H518" s="60"/>
    </row>
    <row r="519" spans="1:8">
      <c r="A519">
        <f t="shared" si="11"/>
        <v>8</v>
      </c>
      <c r="H519" s="60"/>
    </row>
    <row r="520" spans="1:8">
      <c r="A520">
        <f t="shared" si="11"/>
        <v>8</v>
      </c>
      <c r="H520" s="60"/>
    </row>
    <row r="521" spans="1:8">
      <c r="A521">
        <f t="shared" si="11"/>
        <v>8</v>
      </c>
      <c r="H521" s="60"/>
    </row>
    <row r="522" spans="1:8">
      <c r="A522">
        <f t="shared" si="11"/>
        <v>8</v>
      </c>
      <c r="H522" s="60"/>
    </row>
    <row r="523" spans="1:8">
      <c r="A523">
        <f t="shared" si="11"/>
        <v>8</v>
      </c>
      <c r="H523" s="60"/>
    </row>
    <row r="524" spans="1:8">
      <c r="A524">
        <f t="shared" si="11"/>
        <v>8</v>
      </c>
      <c r="H524" s="60"/>
    </row>
    <row r="525" spans="1:8">
      <c r="A525">
        <f t="shared" si="11"/>
        <v>8</v>
      </c>
      <c r="H525" s="60"/>
    </row>
    <row r="526" spans="1:8">
      <c r="A526">
        <f t="shared" si="11"/>
        <v>8</v>
      </c>
      <c r="H526" s="60"/>
    </row>
    <row r="527" spans="1:8">
      <c r="A527">
        <f t="shared" si="11"/>
        <v>8</v>
      </c>
      <c r="H527" s="60"/>
    </row>
    <row r="528" spans="1:8">
      <c r="A528">
        <f t="shared" ref="A528:A591" si="12">IF(B528=B527, A527, A527+1)</f>
        <v>8</v>
      </c>
      <c r="H528" s="60"/>
    </row>
    <row r="529" spans="1:8">
      <c r="A529">
        <f t="shared" si="12"/>
        <v>8</v>
      </c>
      <c r="H529" s="60"/>
    </row>
    <row r="530" spans="1:8">
      <c r="A530">
        <f t="shared" si="12"/>
        <v>8</v>
      </c>
      <c r="H530" s="60"/>
    </row>
    <row r="531" spans="1:8">
      <c r="A531">
        <f t="shared" si="12"/>
        <v>8</v>
      </c>
      <c r="H531" s="60"/>
    </row>
    <row r="532" spans="1:8">
      <c r="A532">
        <f t="shared" si="12"/>
        <v>8</v>
      </c>
      <c r="H532" s="60"/>
    </row>
    <row r="533" spans="1:8">
      <c r="A533">
        <f t="shared" si="12"/>
        <v>8</v>
      </c>
      <c r="H533" s="60"/>
    </row>
    <row r="534" spans="1:8">
      <c r="A534">
        <f t="shared" si="12"/>
        <v>8</v>
      </c>
      <c r="H534" s="60"/>
    </row>
    <row r="535" spans="1:8">
      <c r="A535">
        <f t="shared" si="12"/>
        <v>8</v>
      </c>
      <c r="H535" s="60"/>
    </row>
    <row r="536" spans="1:8">
      <c r="A536">
        <f t="shared" si="12"/>
        <v>8</v>
      </c>
      <c r="H536" s="60"/>
    </row>
    <row r="537" spans="1:8">
      <c r="A537">
        <f t="shared" si="12"/>
        <v>8</v>
      </c>
      <c r="H537" s="60"/>
    </row>
    <row r="538" spans="1:8">
      <c r="A538">
        <f t="shared" si="12"/>
        <v>8</v>
      </c>
      <c r="H538" s="60"/>
    </row>
    <row r="539" spans="1:8">
      <c r="A539">
        <f t="shared" si="12"/>
        <v>8</v>
      </c>
      <c r="H539" s="60"/>
    </row>
    <row r="540" spans="1:8">
      <c r="A540">
        <f t="shared" si="12"/>
        <v>8</v>
      </c>
      <c r="H540" s="60"/>
    </row>
    <row r="541" spans="1:8">
      <c r="A541">
        <f t="shared" si="12"/>
        <v>8</v>
      </c>
      <c r="H541" s="60"/>
    </row>
    <row r="542" spans="1:8">
      <c r="A542">
        <f t="shared" si="12"/>
        <v>8</v>
      </c>
      <c r="H542" s="60"/>
    </row>
    <row r="543" spans="1:8">
      <c r="A543">
        <f t="shared" si="12"/>
        <v>8</v>
      </c>
      <c r="H543" s="60"/>
    </row>
    <row r="544" spans="1:8">
      <c r="A544">
        <f t="shared" si="12"/>
        <v>8</v>
      </c>
      <c r="H544" s="60"/>
    </row>
    <row r="545" spans="1:8">
      <c r="A545">
        <f t="shared" si="12"/>
        <v>8</v>
      </c>
      <c r="H545" s="60"/>
    </row>
    <row r="546" spans="1:8">
      <c r="A546">
        <f t="shared" si="12"/>
        <v>8</v>
      </c>
      <c r="H546" s="60"/>
    </row>
    <row r="547" spans="1:8">
      <c r="A547">
        <f t="shared" si="12"/>
        <v>8</v>
      </c>
      <c r="H547" s="60"/>
    </row>
    <row r="548" spans="1:8">
      <c r="A548">
        <f t="shared" si="12"/>
        <v>8</v>
      </c>
      <c r="H548" s="60"/>
    </row>
    <row r="549" spans="1:8">
      <c r="A549">
        <f t="shared" si="12"/>
        <v>8</v>
      </c>
      <c r="H549" s="60"/>
    </row>
    <row r="550" spans="1:8">
      <c r="A550">
        <f t="shared" si="12"/>
        <v>8</v>
      </c>
      <c r="H550" s="60"/>
    </row>
    <row r="551" spans="1:8">
      <c r="A551">
        <f t="shared" si="12"/>
        <v>8</v>
      </c>
      <c r="H551" s="60"/>
    </row>
    <row r="552" spans="1:8">
      <c r="A552">
        <f t="shared" si="12"/>
        <v>8</v>
      </c>
      <c r="H552" s="60"/>
    </row>
    <row r="553" spans="1:8">
      <c r="A553">
        <f t="shared" si="12"/>
        <v>8</v>
      </c>
      <c r="H553" s="60"/>
    </row>
    <row r="554" spans="1:8">
      <c r="A554">
        <f t="shared" si="12"/>
        <v>8</v>
      </c>
      <c r="H554" s="60"/>
    </row>
    <row r="555" spans="1:8">
      <c r="A555">
        <f t="shared" si="12"/>
        <v>8</v>
      </c>
      <c r="H555" s="60"/>
    </row>
    <row r="556" spans="1:8">
      <c r="A556">
        <f t="shared" si="12"/>
        <v>8</v>
      </c>
      <c r="H556" s="60"/>
    </row>
    <row r="557" spans="1:8">
      <c r="A557">
        <f t="shared" si="12"/>
        <v>8</v>
      </c>
      <c r="H557" s="60"/>
    </row>
    <row r="558" spans="1:8">
      <c r="A558">
        <f t="shared" si="12"/>
        <v>8</v>
      </c>
      <c r="H558" s="60"/>
    </row>
    <row r="559" spans="1:8">
      <c r="A559">
        <f t="shared" si="12"/>
        <v>8</v>
      </c>
      <c r="H559" s="60"/>
    </row>
    <row r="560" spans="1:8">
      <c r="A560">
        <f t="shared" si="12"/>
        <v>8</v>
      </c>
      <c r="H560" s="60"/>
    </row>
    <row r="561" spans="1:8">
      <c r="A561">
        <f t="shared" si="12"/>
        <v>8</v>
      </c>
      <c r="H561" s="60"/>
    </row>
    <row r="562" spans="1:8">
      <c r="A562">
        <f t="shared" si="12"/>
        <v>8</v>
      </c>
      <c r="H562" s="60"/>
    </row>
    <row r="563" spans="1:8">
      <c r="A563">
        <f t="shared" si="12"/>
        <v>8</v>
      </c>
      <c r="H563" s="60"/>
    </row>
    <row r="564" spans="1:8">
      <c r="A564">
        <f t="shared" si="12"/>
        <v>8</v>
      </c>
      <c r="H564" s="60"/>
    </row>
    <row r="565" spans="1:8">
      <c r="A565">
        <f t="shared" si="12"/>
        <v>8</v>
      </c>
      <c r="H565" s="60"/>
    </row>
    <row r="566" spans="1:8">
      <c r="A566">
        <f t="shared" si="12"/>
        <v>8</v>
      </c>
      <c r="H566" s="60"/>
    </row>
    <row r="567" spans="1:8">
      <c r="A567">
        <f t="shared" si="12"/>
        <v>8</v>
      </c>
      <c r="H567" s="60"/>
    </row>
    <row r="568" spans="1:8">
      <c r="A568">
        <f t="shared" si="12"/>
        <v>8</v>
      </c>
      <c r="H568" s="60"/>
    </row>
    <row r="569" spans="1:8">
      <c r="A569">
        <f t="shared" si="12"/>
        <v>8</v>
      </c>
      <c r="H569" s="60"/>
    </row>
    <row r="570" spans="1:8">
      <c r="A570">
        <f t="shared" si="12"/>
        <v>8</v>
      </c>
      <c r="H570" s="60"/>
    </row>
    <row r="571" spans="1:8">
      <c r="A571">
        <f t="shared" si="12"/>
        <v>8</v>
      </c>
      <c r="H571" s="60"/>
    </row>
    <row r="572" spans="1:8">
      <c r="A572">
        <f t="shared" si="12"/>
        <v>8</v>
      </c>
      <c r="H572" s="60"/>
    </row>
    <row r="573" spans="1:8">
      <c r="A573">
        <f t="shared" si="12"/>
        <v>8</v>
      </c>
      <c r="H573" s="60"/>
    </row>
    <row r="574" spans="1:8">
      <c r="A574">
        <f t="shared" si="12"/>
        <v>8</v>
      </c>
      <c r="H574" s="60"/>
    </row>
    <row r="575" spans="1:8">
      <c r="A575">
        <f t="shared" si="12"/>
        <v>8</v>
      </c>
      <c r="H575" s="60"/>
    </row>
    <row r="576" spans="1:8">
      <c r="A576">
        <f t="shared" si="12"/>
        <v>8</v>
      </c>
      <c r="H576" s="60"/>
    </row>
    <row r="577" spans="1:8">
      <c r="A577">
        <f t="shared" si="12"/>
        <v>8</v>
      </c>
      <c r="H577" s="60"/>
    </row>
    <row r="578" spans="1:8">
      <c r="A578">
        <f t="shared" si="12"/>
        <v>8</v>
      </c>
      <c r="H578" s="60"/>
    </row>
    <row r="579" spans="1:8">
      <c r="A579">
        <f t="shared" si="12"/>
        <v>8</v>
      </c>
      <c r="H579" s="60"/>
    </row>
    <row r="580" spans="1:8">
      <c r="A580">
        <f t="shared" si="12"/>
        <v>8</v>
      </c>
      <c r="H580" s="60"/>
    </row>
    <row r="581" spans="1:8">
      <c r="A581">
        <f t="shared" si="12"/>
        <v>8</v>
      </c>
      <c r="H581" s="60"/>
    </row>
    <row r="582" spans="1:8">
      <c r="A582">
        <f t="shared" si="12"/>
        <v>8</v>
      </c>
      <c r="H582" s="60"/>
    </row>
    <row r="583" spans="1:8">
      <c r="A583">
        <f t="shared" si="12"/>
        <v>8</v>
      </c>
      <c r="H583" s="60"/>
    </row>
    <row r="584" spans="1:8">
      <c r="A584">
        <f t="shared" si="12"/>
        <v>8</v>
      </c>
      <c r="H584" s="60"/>
    </row>
    <row r="585" spans="1:8">
      <c r="A585">
        <f t="shared" si="12"/>
        <v>8</v>
      </c>
      <c r="H585" s="60"/>
    </row>
    <row r="586" spans="1:8">
      <c r="A586">
        <f t="shared" si="12"/>
        <v>8</v>
      </c>
      <c r="H586" s="60"/>
    </row>
    <row r="587" spans="1:8">
      <c r="A587">
        <f t="shared" si="12"/>
        <v>8</v>
      </c>
      <c r="H587" s="60"/>
    </row>
    <row r="588" spans="1:8">
      <c r="A588">
        <f t="shared" si="12"/>
        <v>8</v>
      </c>
      <c r="H588" s="60"/>
    </row>
    <row r="589" spans="1:8">
      <c r="A589">
        <f t="shared" si="12"/>
        <v>8</v>
      </c>
      <c r="H589" s="60"/>
    </row>
    <row r="590" spans="1:8">
      <c r="A590">
        <f t="shared" si="12"/>
        <v>8</v>
      </c>
      <c r="H590" s="60"/>
    </row>
    <row r="591" spans="1:8">
      <c r="A591">
        <f t="shared" si="12"/>
        <v>8</v>
      </c>
      <c r="H591" s="60"/>
    </row>
    <row r="592" spans="1:8">
      <c r="A592">
        <f t="shared" ref="A592:A655" si="13">IF(B592=B591, A591, A591+1)</f>
        <v>8</v>
      </c>
      <c r="H592" s="60"/>
    </row>
    <row r="593" spans="1:8">
      <c r="A593">
        <f t="shared" si="13"/>
        <v>8</v>
      </c>
      <c r="H593" s="60"/>
    </row>
    <row r="594" spans="1:8">
      <c r="A594">
        <f t="shared" si="13"/>
        <v>8</v>
      </c>
      <c r="H594" s="60"/>
    </row>
    <row r="595" spans="1:8">
      <c r="A595">
        <f t="shared" si="13"/>
        <v>8</v>
      </c>
      <c r="H595" s="60"/>
    </row>
    <row r="596" spans="1:8">
      <c r="A596">
        <f t="shared" si="13"/>
        <v>8</v>
      </c>
      <c r="H596" s="60"/>
    </row>
    <row r="597" spans="1:8">
      <c r="A597">
        <f t="shared" si="13"/>
        <v>8</v>
      </c>
      <c r="H597" s="60"/>
    </row>
    <row r="598" spans="1:8">
      <c r="A598">
        <f t="shared" si="13"/>
        <v>8</v>
      </c>
      <c r="H598" s="60"/>
    </row>
    <row r="599" spans="1:8">
      <c r="A599">
        <f t="shared" si="13"/>
        <v>8</v>
      </c>
      <c r="H599" s="60"/>
    </row>
    <row r="600" spans="1:8">
      <c r="A600">
        <f t="shared" si="13"/>
        <v>8</v>
      </c>
      <c r="H600" s="60"/>
    </row>
    <row r="601" spans="1:8">
      <c r="A601">
        <f t="shared" si="13"/>
        <v>8</v>
      </c>
      <c r="H601" s="60"/>
    </row>
    <row r="602" spans="1:8">
      <c r="A602">
        <f t="shared" si="13"/>
        <v>8</v>
      </c>
      <c r="H602" s="60"/>
    </row>
    <row r="603" spans="1:8">
      <c r="A603">
        <f t="shared" si="13"/>
        <v>8</v>
      </c>
      <c r="H603" s="60"/>
    </row>
    <row r="604" spans="1:8">
      <c r="A604">
        <f t="shared" si="13"/>
        <v>8</v>
      </c>
      <c r="H604" s="60"/>
    </row>
    <row r="605" spans="1:8">
      <c r="A605">
        <f t="shared" si="13"/>
        <v>8</v>
      </c>
      <c r="H605" s="60"/>
    </row>
    <row r="606" spans="1:8">
      <c r="A606">
        <f t="shared" si="13"/>
        <v>8</v>
      </c>
      <c r="H606" s="60"/>
    </row>
    <row r="607" spans="1:8">
      <c r="A607">
        <f t="shared" si="13"/>
        <v>8</v>
      </c>
      <c r="H607" s="60"/>
    </row>
    <row r="608" spans="1:8">
      <c r="A608">
        <f t="shared" si="13"/>
        <v>8</v>
      </c>
      <c r="H608" s="60"/>
    </row>
    <row r="609" spans="1:8">
      <c r="A609">
        <f t="shared" si="13"/>
        <v>8</v>
      </c>
      <c r="H609" s="60"/>
    </row>
    <row r="610" spans="1:8">
      <c r="A610">
        <f t="shared" si="13"/>
        <v>8</v>
      </c>
      <c r="H610" s="60"/>
    </row>
    <row r="611" spans="1:8">
      <c r="A611">
        <f t="shared" si="13"/>
        <v>8</v>
      </c>
      <c r="H611" s="60"/>
    </row>
    <row r="612" spans="1:8">
      <c r="A612">
        <f t="shared" si="13"/>
        <v>8</v>
      </c>
      <c r="H612" s="60"/>
    </row>
    <row r="613" spans="1:8">
      <c r="A613">
        <f t="shared" si="13"/>
        <v>8</v>
      </c>
      <c r="H613" s="60"/>
    </row>
    <row r="614" spans="1:8">
      <c r="A614">
        <f t="shared" si="13"/>
        <v>8</v>
      </c>
      <c r="H614" s="60"/>
    </row>
    <row r="615" spans="1:8">
      <c r="A615">
        <f t="shared" si="13"/>
        <v>8</v>
      </c>
      <c r="H615" s="60"/>
    </row>
    <row r="616" spans="1:8">
      <c r="A616">
        <f t="shared" si="13"/>
        <v>8</v>
      </c>
      <c r="H616" s="60"/>
    </row>
    <row r="617" spans="1:8">
      <c r="A617">
        <f t="shared" si="13"/>
        <v>8</v>
      </c>
      <c r="H617" s="60"/>
    </row>
    <row r="618" spans="1:8">
      <c r="A618">
        <f t="shared" si="13"/>
        <v>8</v>
      </c>
      <c r="H618" s="60"/>
    </row>
    <row r="619" spans="1:8">
      <c r="A619">
        <f t="shared" si="13"/>
        <v>8</v>
      </c>
      <c r="H619" s="60"/>
    </row>
    <row r="620" spans="1:8">
      <c r="A620">
        <f t="shared" si="13"/>
        <v>8</v>
      </c>
      <c r="H620" s="60"/>
    </row>
    <row r="621" spans="1:8">
      <c r="A621">
        <f t="shared" si="13"/>
        <v>8</v>
      </c>
      <c r="H621" s="60"/>
    </row>
    <row r="622" spans="1:8">
      <c r="A622">
        <f t="shared" si="13"/>
        <v>8</v>
      </c>
      <c r="H622" s="60"/>
    </row>
    <row r="623" spans="1:8">
      <c r="A623">
        <f t="shared" si="13"/>
        <v>8</v>
      </c>
      <c r="H623" s="60"/>
    </row>
    <row r="624" spans="1:8">
      <c r="A624">
        <f t="shared" si="13"/>
        <v>8</v>
      </c>
      <c r="H624" s="60"/>
    </row>
    <row r="625" spans="1:8">
      <c r="A625">
        <f t="shared" si="13"/>
        <v>8</v>
      </c>
      <c r="H625" s="60"/>
    </row>
    <row r="626" spans="1:8">
      <c r="A626">
        <f t="shared" si="13"/>
        <v>8</v>
      </c>
      <c r="H626" s="60"/>
    </row>
    <row r="627" spans="1:8">
      <c r="A627">
        <f t="shared" si="13"/>
        <v>8</v>
      </c>
      <c r="H627" s="60"/>
    </row>
    <row r="628" spans="1:8">
      <c r="A628">
        <f t="shared" si="13"/>
        <v>8</v>
      </c>
      <c r="H628" s="60"/>
    </row>
    <row r="629" spans="1:8">
      <c r="A629">
        <f t="shared" si="13"/>
        <v>8</v>
      </c>
      <c r="H629" s="60"/>
    </row>
    <row r="630" spans="1:8">
      <c r="A630">
        <f t="shared" si="13"/>
        <v>8</v>
      </c>
      <c r="H630" s="60"/>
    </row>
    <row r="631" spans="1:8">
      <c r="A631">
        <f t="shared" si="13"/>
        <v>8</v>
      </c>
      <c r="H631" s="60"/>
    </row>
    <row r="632" spans="1:8">
      <c r="A632">
        <f t="shared" si="13"/>
        <v>8</v>
      </c>
      <c r="H632" s="60"/>
    </row>
    <row r="633" spans="1:8">
      <c r="A633">
        <f t="shared" si="13"/>
        <v>8</v>
      </c>
      <c r="H633" s="60"/>
    </row>
    <row r="634" spans="1:8">
      <c r="A634">
        <f t="shared" si="13"/>
        <v>8</v>
      </c>
      <c r="H634" s="60"/>
    </row>
    <row r="635" spans="1:8">
      <c r="A635">
        <f t="shared" si="13"/>
        <v>8</v>
      </c>
      <c r="H635" s="60"/>
    </row>
    <row r="636" spans="1:8">
      <c r="A636">
        <f t="shared" si="13"/>
        <v>8</v>
      </c>
      <c r="H636" s="60"/>
    </row>
    <row r="637" spans="1:8">
      <c r="A637">
        <f t="shared" si="13"/>
        <v>8</v>
      </c>
      <c r="H637" s="60"/>
    </row>
    <row r="638" spans="1:8">
      <c r="A638">
        <f t="shared" si="13"/>
        <v>8</v>
      </c>
      <c r="H638" s="60"/>
    </row>
    <row r="639" spans="1:8">
      <c r="A639">
        <f t="shared" si="13"/>
        <v>8</v>
      </c>
      <c r="H639" s="60"/>
    </row>
    <row r="640" spans="1:8">
      <c r="A640">
        <f t="shared" si="13"/>
        <v>8</v>
      </c>
      <c r="H640" s="60"/>
    </row>
    <row r="641" spans="1:8">
      <c r="A641">
        <f t="shared" si="13"/>
        <v>8</v>
      </c>
      <c r="H641" s="60"/>
    </row>
    <row r="642" spans="1:8">
      <c r="A642">
        <f t="shared" si="13"/>
        <v>8</v>
      </c>
      <c r="H642" s="60"/>
    </row>
    <row r="643" spans="1:8">
      <c r="A643">
        <f t="shared" si="13"/>
        <v>8</v>
      </c>
      <c r="H643" s="60"/>
    </row>
    <row r="644" spans="1:8">
      <c r="A644">
        <f t="shared" si="13"/>
        <v>8</v>
      </c>
      <c r="H644" s="60"/>
    </row>
    <row r="645" spans="1:8">
      <c r="A645">
        <f t="shared" si="13"/>
        <v>8</v>
      </c>
      <c r="H645" s="60"/>
    </row>
    <row r="646" spans="1:8">
      <c r="A646">
        <f t="shared" si="13"/>
        <v>8</v>
      </c>
      <c r="H646" s="60"/>
    </row>
    <row r="647" spans="1:8">
      <c r="A647">
        <f t="shared" si="13"/>
        <v>8</v>
      </c>
      <c r="H647" s="60"/>
    </row>
    <row r="648" spans="1:8">
      <c r="A648">
        <f t="shared" si="13"/>
        <v>8</v>
      </c>
      <c r="H648" s="60"/>
    </row>
    <row r="649" spans="1:8">
      <c r="A649">
        <f t="shared" si="13"/>
        <v>8</v>
      </c>
      <c r="H649" s="60"/>
    </row>
    <row r="650" spans="1:8">
      <c r="A650">
        <f t="shared" si="13"/>
        <v>8</v>
      </c>
      <c r="H650" s="60"/>
    </row>
    <row r="651" spans="1:8">
      <c r="A651">
        <f t="shared" si="13"/>
        <v>8</v>
      </c>
      <c r="H651" s="60"/>
    </row>
    <row r="652" spans="1:8">
      <c r="A652">
        <f t="shared" si="13"/>
        <v>8</v>
      </c>
      <c r="H652" s="60"/>
    </row>
    <row r="653" spans="1:8">
      <c r="A653">
        <f t="shared" si="13"/>
        <v>8</v>
      </c>
      <c r="H653" s="60"/>
    </row>
    <row r="654" spans="1:8">
      <c r="A654">
        <f t="shared" si="13"/>
        <v>8</v>
      </c>
      <c r="H654" s="60"/>
    </row>
    <row r="655" spans="1:8">
      <c r="A655">
        <f t="shared" si="13"/>
        <v>8</v>
      </c>
      <c r="H655" s="60"/>
    </row>
    <row r="656" spans="1:8">
      <c r="A656">
        <f t="shared" ref="A656:A719" si="14">IF(B656=B655, A655, A655+1)</f>
        <v>8</v>
      </c>
      <c r="H656" s="60"/>
    </row>
    <row r="657" spans="1:8">
      <c r="A657">
        <f t="shared" si="14"/>
        <v>8</v>
      </c>
      <c r="H657" s="60"/>
    </row>
    <row r="658" spans="1:8">
      <c r="A658">
        <f t="shared" si="14"/>
        <v>8</v>
      </c>
      <c r="H658" s="60"/>
    </row>
    <row r="659" spans="1:8">
      <c r="A659">
        <f t="shared" si="14"/>
        <v>8</v>
      </c>
      <c r="H659" s="60"/>
    </row>
    <row r="660" spans="1:8">
      <c r="A660">
        <f t="shared" si="14"/>
        <v>8</v>
      </c>
      <c r="H660" s="60"/>
    </row>
    <row r="661" spans="1:8">
      <c r="A661">
        <f t="shared" si="14"/>
        <v>8</v>
      </c>
      <c r="H661" s="60"/>
    </row>
    <row r="662" spans="1:8">
      <c r="A662">
        <f t="shared" si="14"/>
        <v>8</v>
      </c>
      <c r="H662" s="60"/>
    </row>
    <row r="663" spans="1:8">
      <c r="A663">
        <f t="shared" si="14"/>
        <v>8</v>
      </c>
      <c r="H663" s="60"/>
    </row>
    <row r="664" spans="1:8">
      <c r="A664">
        <f t="shared" si="14"/>
        <v>8</v>
      </c>
      <c r="H664" s="60"/>
    </row>
    <row r="665" spans="1:8">
      <c r="A665">
        <f t="shared" si="14"/>
        <v>8</v>
      </c>
      <c r="H665" s="60"/>
    </row>
    <row r="666" spans="1:8">
      <c r="A666">
        <f t="shared" si="14"/>
        <v>8</v>
      </c>
      <c r="H666" s="60"/>
    </row>
    <row r="667" spans="1:8">
      <c r="A667">
        <f t="shared" si="14"/>
        <v>8</v>
      </c>
      <c r="H667" s="60"/>
    </row>
    <row r="668" spans="1:8">
      <c r="A668">
        <f t="shared" si="14"/>
        <v>8</v>
      </c>
      <c r="H668" s="60"/>
    </row>
    <row r="669" spans="1:8">
      <c r="A669">
        <f t="shared" si="14"/>
        <v>8</v>
      </c>
      <c r="H669" s="60"/>
    </row>
    <row r="670" spans="1:8">
      <c r="A670">
        <f t="shared" si="14"/>
        <v>8</v>
      </c>
      <c r="H670" s="60"/>
    </row>
    <row r="671" spans="1:8">
      <c r="A671">
        <f t="shared" si="14"/>
        <v>8</v>
      </c>
      <c r="H671" s="60"/>
    </row>
    <row r="672" spans="1:8">
      <c r="A672">
        <f t="shared" si="14"/>
        <v>8</v>
      </c>
      <c r="H672" s="60"/>
    </row>
    <row r="673" spans="1:8">
      <c r="A673">
        <f t="shared" si="14"/>
        <v>8</v>
      </c>
      <c r="H673" s="60"/>
    </row>
    <row r="674" spans="1:8">
      <c r="A674">
        <f t="shared" si="14"/>
        <v>8</v>
      </c>
      <c r="H674" s="60"/>
    </row>
    <row r="675" spans="1:8">
      <c r="A675">
        <f t="shared" si="14"/>
        <v>8</v>
      </c>
      <c r="H675" s="60"/>
    </row>
    <row r="676" spans="1:8">
      <c r="A676">
        <f t="shared" si="14"/>
        <v>8</v>
      </c>
      <c r="H676" s="60"/>
    </row>
    <row r="677" spans="1:8">
      <c r="A677">
        <f t="shared" si="14"/>
        <v>8</v>
      </c>
      <c r="H677" s="60"/>
    </row>
    <row r="678" spans="1:8">
      <c r="A678">
        <f t="shared" si="14"/>
        <v>8</v>
      </c>
      <c r="H678" s="60"/>
    </row>
    <row r="679" spans="1:8">
      <c r="A679">
        <f t="shared" si="14"/>
        <v>8</v>
      </c>
      <c r="H679" s="60"/>
    </row>
    <row r="680" spans="1:8">
      <c r="A680">
        <f t="shared" si="14"/>
        <v>8</v>
      </c>
      <c r="H680" s="60"/>
    </row>
    <row r="681" spans="1:8">
      <c r="A681">
        <f t="shared" si="14"/>
        <v>8</v>
      </c>
      <c r="H681" s="60"/>
    </row>
    <row r="682" spans="1:8">
      <c r="A682">
        <f t="shared" si="14"/>
        <v>8</v>
      </c>
      <c r="H682" s="60"/>
    </row>
    <row r="683" spans="1:8">
      <c r="A683">
        <f t="shared" si="14"/>
        <v>8</v>
      </c>
      <c r="H683" s="60"/>
    </row>
    <row r="684" spans="1:8">
      <c r="A684">
        <f t="shared" si="14"/>
        <v>8</v>
      </c>
      <c r="H684" s="60"/>
    </row>
    <row r="685" spans="1:8">
      <c r="A685">
        <f t="shared" si="14"/>
        <v>8</v>
      </c>
      <c r="H685" s="60"/>
    </row>
    <row r="686" spans="1:8">
      <c r="A686">
        <f t="shared" si="14"/>
        <v>8</v>
      </c>
      <c r="H686" s="60"/>
    </row>
    <row r="687" spans="1:8">
      <c r="A687">
        <f t="shared" si="14"/>
        <v>8</v>
      </c>
      <c r="H687" s="60"/>
    </row>
    <row r="688" spans="1:8">
      <c r="A688">
        <f t="shared" si="14"/>
        <v>8</v>
      </c>
      <c r="H688" s="60"/>
    </row>
    <row r="689" spans="1:8">
      <c r="A689">
        <f t="shared" si="14"/>
        <v>8</v>
      </c>
      <c r="H689" s="60"/>
    </row>
    <row r="690" spans="1:8">
      <c r="A690">
        <f t="shared" si="14"/>
        <v>8</v>
      </c>
      <c r="H690" s="60"/>
    </row>
    <row r="691" spans="1:8">
      <c r="A691">
        <f t="shared" si="14"/>
        <v>8</v>
      </c>
      <c r="H691" s="60"/>
    </row>
    <row r="692" spans="1:8">
      <c r="A692">
        <f t="shared" si="14"/>
        <v>8</v>
      </c>
      <c r="H692" s="60"/>
    </row>
    <row r="693" spans="1:8">
      <c r="A693">
        <f t="shared" si="14"/>
        <v>8</v>
      </c>
      <c r="H693" s="60"/>
    </row>
    <row r="694" spans="1:8">
      <c r="A694">
        <f t="shared" si="14"/>
        <v>8</v>
      </c>
      <c r="H694" s="60"/>
    </row>
    <row r="695" spans="1:8">
      <c r="A695">
        <f t="shared" si="14"/>
        <v>8</v>
      </c>
      <c r="H695" s="60"/>
    </row>
    <row r="696" spans="1:8">
      <c r="A696">
        <f t="shared" si="14"/>
        <v>8</v>
      </c>
      <c r="H696" s="60"/>
    </row>
    <row r="697" spans="1:8">
      <c r="A697">
        <f t="shared" si="14"/>
        <v>8</v>
      </c>
      <c r="H697" s="60"/>
    </row>
    <row r="698" spans="1:8">
      <c r="A698">
        <f t="shared" si="14"/>
        <v>8</v>
      </c>
      <c r="H698" s="60"/>
    </row>
    <row r="699" spans="1:8">
      <c r="A699">
        <f t="shared" si="14"/>
        <v>8</v>
      </c>
      <c r="H699" s="60"/>
    </row>
    <row r="700" spans="1:8">
      <c r="A700">
        <f t="shared" si="14"/>
        <v>8</v>
      </c>
      <c r="H700" s="60"/>
    </row>
    <row r="701" spans="1:8">
      <c r="A701">
        <f t="shared" si="14"/>
        <v>8</v>
      </c>
      <c r="H701" s="60"/>
    </row>
    <row r="702" spans="1:8">
      <c r="A702">
        <f t="shared" si="14"/>
        <v>8</v>
      </c>
      <c r="H702" s="60"/>
    </row>
    <row r="703" spans="1:8">
      <c r="A703">
        <f t="shared" si="14"/>
        <v>8</v>
      </c>
      <c r="H703" s="60"/>
    </row>
    <row r="704" spans="1:8">
      <c r="A704">
        <f t="shared" si="14"/>
        <v>8</v>
      </c>
      <c r="H704" s="60"/>
    </row>
    <row r="705" spans="1:8">
      <c r="A705">
        <f t="shared" si="14"/>
        <v>8</v>
      </c>
      <c r="H705" s="60"/>
    </row>
    <row r="706" spans="1:8">
      <c r="A706">
        <f t="shared" si="14"/>
        <v>8</v>
      </c>
      <c r="H706" s="60"/>
    </row>
    <row r="707" spans="1:8">
      <c r="A707">
        <f t="shared" si="14"/>
        <v>8</v>
      </c>
      <c r="H707" s="60"/>
    </row>
    <row r="708" spans="1:8">
      <c r="A708">
        <f t="shared" si="14"/>
        <v>8</v>
      </c>
      <c r="H708" s="60"/>
    </row>
    <row r="709" spans="1:8">
      <c r="A709">
        <f t="shared" si="14"/>
        <v>8</v>
      </c>
      <c r="H709" s="60"/>
    </row>
    <row r="710" spans="1:8">
      <c r="A710">
        <f t="shared" si="14"/>
        <v>8</v>
      </c>
      <c r="H710" s="60"/>
    </row>
    <row r="711" spans="1:8">
      <c r="A711">
        <f t="shared" si="14"/>
        <v>8</v>
      </c>
      <c r="H711" s="60"/>
    </row>
    <row r="712" spans="1:8">
      <c r="A712">
        <f t="shared" si="14"/>
        <v>8</v>
      </c>
      <c r="H712" s="60"/>
    </row>
    <row r="713" spans="1:8">
      <c r="A713">
        <f t="shared" si="14"/>
        <v>8</v>
      </c>
      <c r="H713" s="60"/>
    </row>
    <row r="714" spans="1:8">
      <c r="A714">
        <f t="shared" si="14"/>
        <v>8</v>
      </c>
      <c r="H714" s="60"/>
    </row>
    <row r="715" spans="1:8">
      <c r="A715">
        <f t="shared" si="14"/>
        <v>8</v>
      </c>
      <c r="H715" s="60"/>
    </row>
    <row r="716" spans="1:8">
      <c r="A716">
        <f t="shared" si="14"/>
        <v>8</v>
      </c>
      <c r="H716" s="60"/>
    </row>
    <row r="717" spans="1:8">
      <c r="A717">
        <f t="shared" si="14"/>
        <v>8</v>
      </c>
      <c r="H717" s="60"/>
    </row>
    <row r="718" spans="1:8">
      <c r="A718">
        <f t="shared" si="14"/>
        <v>8</v>
      </c>
      <c r="H718" s="60"/>
    </row>
    <row r="719" spans="1:8">
      <c r="A719">
        <f t="shared" si="14"/>
        <v>8</v>
      </c>
      <c r="H719" s="60"/>
    </row>
    <row r="720" spans="1:8">
      <c r="A720">
        <f t="shared" ref="A720:A750" si="15">IF(B720=B719, A719, A719+1)</f>
        <v>8</v>
      </c>
      <c r="H720" s="60"/>
    </row>
    <row r="721" spans="1:8">
      <c r="A721">
        <f t="shared" si="15"/>
        <v>8</v>
      </c>
      <c r="H721" s="60"/>
    </row>
    <row r="722" spans="1:8">
      <c r="A722">
        <f t="shared" si="15"/>
        <v>8</v>
      </c>
      <c r="H722" s="60"/>
    </row>
    <row r="723" spans="1:8">
      <c r="A723">
        <f t="shared" si="15"/>
        <v>8</v>
      </c>
      <c r="H723" s="60"/>
    </row>
    <row r="724" spans="1:8">
      <c r="A724">
        <f t="shared" si="15"/>
        <v>8</v>
      </c>
      <c r="H724" s="60"/>
    </row>
    <row r="725" spans="1:8">
      <c r="A725">
        <f t="shared" si="15"/>
        <v>8</v>
      </c>
      <c r="H725" s="60"/>
    </row>
    <row r="726" spans="1:8">
      <c r="A726">
        <f t="shared" si="15"/>
        <v>8</v>
      </c>
      <c r="H726" s="60"/>
    </row>
    <row r="727" spans="1:8">
      <c r="A727">
        <f t="shared" si="15"/>
        <v>8</v>
      </c>
      <c r="H727" s="60"/>
    </row>
    <row r="728" spans="1:8">
      <c r="A728">
        <f t="shared" si="15"/>
        <v>8</v>
      </c>
      <c r="H728" s="60"/>
    </row>
    <row r="729" spans="1:8">
      <c r="A729">
        <f t="shared" si="15"/>
        <v>8</v>
      </c>
      <c r="H729" s="60"/>
    </row>
    <row r="730" spans="1:8">
      <c r="A730">
        <f t="shared" si="15"/>
        <v>8</v>
      </c>
      <c r="H730" s="60"/>
    </row>
    <row r="731" spans="1:8">
      <c r="A731">
        <f t="shared" si="15"/>
        <v>8</v>
      </c>
      <c r="H731" s="60"/>
    </row>
    <row r="732" spans="1:8">
      <c r="A732">
        <f t="shared" si="15"/>
        <v>8</v>
      </c>
      <c r="H732" s="60"/>
    </row>
    <row r="733" spans="1:8">
      <c r="A733">
        <f t="shared" si="15"/>
        <v>8</v>
      </c>
      <c r="H733" s="60"/>
    </row>
    <row r="734" spans="1:8">
      <c r="A734">
        <f t="shared" si="15"/>
        <v>8</v>
      </c>
      <c r="H734" s="60"/>
    </row>
    <row r="735" spans="1:8">
      <c r="A735">
        <f t="shared" si="15"/>
        <v>8</v>
      </c>
      <c r="H735" s="60"/>
    </row>
    <row r="736" spans="1:8">
      <c r="A736">
        <f t="shared" si="15"/>
        <v>8</v>
      </c>
      <c r="H736" s="60"/>
    </row>
    <row r="737" spans="1:8">
      <c r="A737">
        <f t="shared" si="15"/>
        <v>8</v>
      </c>
      <c r="H737" s="60"/>
    </row>
    <row r="738" spans="1:8">
      <c r="A738">
        <f t="shared" si="15"/>
        <v>8</v>
      </c>
      <c r="H738" s="60"/>
    </row>
    <row r="739" spans="1:8">
      <c r="A739">
        <f t="shared" si="15"/>
        <v>8</v>
      </c>
      <c r="H739" s="60"/>
    </row>
    <row r="740" spans="1:8">
      <c r="A740">
        <f t="shared" si="15"/>
        <v>8</v>
      </c>
      <c r="H740" s="60"/>
    </row>
    <row r="741" spans="1:8">
      <c r="A741">
        <f t="shared" si="15"/>
        <v>8</v>
      </c>
      <c r="H741" s="60"/>
    </row>
    <row r="742" spans="1:8">
      <c r="A742">
        <f t="shared" si="15"/>
        <v>8</v>
      </c>
      <c r="H742" s="60"/>
    </row>
    <row r="743" spans="1:8">
      <c r="A743">
        <f t="shared" si="15"/>
        <v>8</v>
      </c>
      <c r="H743" s="60"/>
    </row>
    <row r="744" spans="1:8">
      <c r="A744">
        <f t="shared" si="15"/>
        <v>8</v>
      </c>
      <c r="H744" s="60"/>
    </row>
    <row r="745" spans="1:8">
      <c r="A745">
        <f t="shared" si="15"/>
        <v>8</v>
      </c>
      <c r="H745" s="60"/>
    </row>
    <row r="746" spans="1:8">
      <c r="A746">
        <f t="shared" si="15"/>
        <v>8</v>
      </c>
      <c r="H746" s="60"/>
    </row>
    <row r="747" spans="1:8">
      <c r="A747">
        <f t="shared" si="15"/>
        <v>8</v>
      </c>
      <c r="H747" s="60"/>
    </row>
    <row r="748" spans="1:8">
      <c r="A748">
        <f t="shared" si="15"/>
        <v>8</v>
      </c>
      <c r="H748" s="60"/>
    </row>
    <row r="749" spans="1:8">
      <c r="A749">
        <f t="shared" si="15"/>
        <v>8</v>
      </c>
      <c r="H749" s="60"/>
    </row>
    <row r="750" spans="1:8">
      <c r="A750">
        <f t="shared" si="15"/>
        <v>8</v>
      </c>
      <c r="H750" s="60"/>
    </row>
  </sheetData>
  <mergeCells count="1">
    <mergeCell ref="J1:K1"/>
  </mergeCells>
  <phoneticPr fontId="0" type="noConversion"/>
  <conditionalFormatting sqref="B169:C170">
    <cfRule type="expression" dxfId="5" priority="1">
      <formula>ISODD($A169)</formula>
    </cfRule>
  </conditionalFormatting>
  <conditionalFormatting sqref="B4:G161">
    <cfRule type="expression" dxfId="4" priority="2">
      <formula>ISODD($A4)</formula>
    </cfRule>
  </conditionalFormatting>
  <conditionalFormatting sqref="B3:H3 H4:H750">
    <cfRule type="expression" dxfId="3" priority="3">
      <formula>ISODD($A3)</formula>
    </cfRule>
  </conditionalFormatting>
  <hyperlinks>
    <hyperlink ref="J1:K1" location="Contents!A1" display="Back to Contents" xr:uid="{00000000-0004-0000-1400-000000000000}"/>
  </hyperlinks>
  <pageMargins left="0.75" right="0.75" top="1" bottom="1" header="0.5" footer="0.5"/>
  <pageSetup paperSize="9" orientation="landscape" horizontalDpi="4294967292" verticalDpi="4294967292"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39997558519241921"/>
  </sheetPr>
  <dimension ref="A1:AW39"/>
  <sheetViews>
    <sheetView zoomScaleNormal="100" workbookViewId="0"/>
  </sheetViews>
  <sheetFormatPr defaultColWidth="8.81640625" defaultRowHeight="12.5"/>
  <cols>
    <col min="1" max="1" width="12.26953125" style="104" customWidth="1"/>
    <col min="2" max="15" width="8.81640625" style="1" customWidth="1"/>
    <col min="16" max="39" width="8.81640625" customWidth="1"/>
  </cols>
  <sheetData>
    <row r="1" spans="1:49" ht="23.25" customHeight="1">
      <c r="B1" s="17" t="s">
        <v>406</v>
      </c>
      <c r="C1" s="19"/>
      <c r="D1" s="19"/>
      <c r="E1" s="19"/>
      <c r="F1" s="19"/>
      <c r="G1" s="19"/>
      <c r="H1" s="19"/>
      <c r="I1" s="19"/>
      <c r="J1" s="19"/>
      <c r="K1" s="19"/>
      <c r="L1" s="19"/>
      <c r="M1" s="19"/>
      <c r="N1" s="19"/>
      <c r="O1" s="218" t="s">
        <v>79</v>
      </c>
      <c r="P1" s="218"/>
      <c r="Q1" s="18"/>
      <c r="R1" s="18"/>
      <c r="S1" s="18"/>
      <c r="T1" s="18"/>
      <c r="U1" s="18"/>
      <c r="V1" s="18"/>
      <c r="W1" s="18"/>
      <c r="X1" s="18"/>
      <c r="Y1" s="18"/>
      <c r="Z1" s="18"/>
      <c r="AA1" s="18"/>
      <c r="AB1" s="18"/>
      <c r="AC1" s="18"/>
      <c r="AD1" s="18"/>
      <c r="AE1" s="18"/>
      <c r="AF1" s="18"/>
      <c r="AG1" s="18"/>
      <c r="AH1" s="18"/>
      <c r="AI1" s="18"/>
      <c r="AJ1" s="18"/>
      <c r="AK1" s="18"/>
      <c r="AL1" s="18"/>
      <c r="AM1" s="18"/>
      <c r="AN1" s="18"/>
      <c r="AO1" s="18"/>
    </row>
    <row r="2" spans="1:49" s="42" customFormat="1" ht="10.5">
      <c r="A2" s="77"/>
      <c r="B2" s="75" t="s">
        <v>407</v>
      </c>
      <c r="C2" s="49"/>
      <c r="D2" s="49"/>
      <c r="E2" s="49"/>
      <c r="F2" s="49"/>
      <c r="G2" s="49"/>
      <c r="H2" s="49"/>
      <c r="I2" s="49"/>
      <c r="J2" s="49"/>
      <c r="K2" s="49"/>
      <c r="L2" s="49"/>
      <c r="M2" s="49"/>
      <c r="N2" s="49"/>
      <c r="O2" s="49"/>
    </row>
    <row r="3" spans="1:49" s="42" customFormat="1" ht="21">
      <c r="A3" s="121" t="s">
        <v>207</v>
      </c>
      <c r="B3" s="58" t="s">
        <v>408</v>
      </c>
      <c r="C3" s="58" t="s">
        <v>409</v>
      </c>
      <c r="D3" s="58" t="s">
        <v>410</v>
      </c>
      <c r="E3" s="58" t="s">
        <v>411</v>
      </c>
      <c r="F3" s="58" t="s">
        <v>412</v>
      </c>
      <c r="G3" s="58" t="s">
        <v>413</v>
      </c>
      <c r="H3" s="58" t="s">
        <v>414</v>
      </c>
      <c r="I3" s="58" t="s">
        <v>415</v>
      </c>
      <c r="J3" s="58" t="s">
        <v>416</v>
      </c>
      <c r="K3" s="58" t="s">
        <v>417</v>
      </c>
      <c r="L3" s="58" t="s">
        <v>418</v>
      </c>
      <c r="M3" s="58" t="s">
        <v>419</v>
      </c>
      <c r="N3" s="58" t="s">
        <v>420</v>
      </c>
      <c r="O3" s="58" t="s">
        <v>421</v>
      </c>
      <c r="P3" s="58" t="s">
        <v>422</v>
      </c>
      <c r="Q3" s="58" t="s">
        <v>423</v>
      </c>
      <c r="R3" s="58" t="s">
        <v>424</v>
      </c>
      <c r="S3" s="58" t="s">
        <v>425</v>
      </c>
      <c r="T3" s="58" t="s">
        <v>426</v>
      </c>
      <c r="U3" s="58" t="s">
        <v>427</v>
      </c>
      <c r="V3" s="58" t="s">
        <v>428</v>
      </c>
      <c r="W3" s="58" t="s">
        <v>429</v>
      </c>
      <c r="X3" s="58" t="s">
        <v>430</v>
      </c>
      <c r="Y3" s="58" t="s">
        <v>431</v>
      </c>
      <c r="Z3" s="58" t="s">
        <v>432</v>
      </c>
      <c r="AA3" s="58" t="s">
        <v>433</v>
      </c>
      <c r="AB3" s="58" t="s">
        <v>434</v>
      </c>
      <c r="AC3" s="58" t="s">
        <v>435</v>
      </c>
      <c r="AD3" s="58" t="s">
        <v>436</v>
      </c>
      <c r="AE3" s="58" t="s">
        <v>437</v>
      </c>
      <c r="AF3" s="58" t="s">
        <v>438</v>
      </c>
      <c r="AG3" s="58" t="s">
        <v>439</v>
      </c>
      <c r="AH3" s="58" t="s">
        <v>440</v>
      </c>
      <c r="AI3" s="58" t="s">
        <v>441</v>
      </c>
      <c r="AJ3" s="58" t="s">
        <v>442</v>
      </c>
      <c r="AK3" s="58" t="s">
        <v>443</v>
      </c>
      <c r="AL3" s="58" t="s">
        <v>444</v>
      </c>
      <c r="AM3" s="58" t="s">
        <v>445</v>
      </c>
      <c r="AN3" s="61" t="s">
        <v>446</v>
      </c>
      <c r="AO3" s="61" t="s">
        <v>447</v>
      </c>
      <c r="AP3" s="159" t="s">
        <v>448</v>
      </c>
      <c r="AQ3" s="159" t="s">
        <v>449</v>
      </c>
      <c r="AR3" s="159" t="s">
        <v>450</v>
      </c>
      <c r="AS3" s="159" t="s">
        <v>451</v>
      </c>
      <c r="AT3" s="58" t="s">
        <v>452</v>
      </c>
      <c r="AU3" s="58" t="s">
        <v>453</v>
      </c>
      <c r="AV3" s="58" t="s">
        <v>454</v>
      </c>
      <c r="AW3" s="58" t="s">
        <v>455</v>
      </c>
    </row>
    <row r="4" spans="1:49" s="42" customFormat="1" ht="10">
      <c r="A4" s="77" t="s">
        <v>404</v>
      </c>
      <c r="B4" s="49">
        <v>0</v>
      </c>
      <c r="C4" s="49">
        <v>0</v>
      </c>
      <c r="D4" s="49">
        <v>0</v>
      </c>
      <c r="E4" s="49">
        <v>0</v>
      </c>
      <c r="F4" s="49">
        <v>0</v>
      </c>
      <c r="G4" s="49">
        <v>0</v>
      </c>
      <c r="H4" s="49">
        <v>0</v>
      </c>
      <c r="I4" s="49">
        <v>0</v>
      </c>
      <c r="J4" s="49">
        <v>0</v>
      </c>
      <c r="K4" s="49">
        <v>0</v>
      </c>
      <c r="L4" s="49">
        <v>0</v>
      </c>
      <c r="M4" s="49">
        <v>0</v>
      </c>
      <c r="N4" s="49">
        <v>0</v>
      </c>
      <c r="O4" s="49">
        <v>0</v>
      </c>
      <c r="P4" s="49">
        <v>0</v>
      </c>
      <c r="Q4" s="49">
        <v>1</v>
      </c>
      <c r="R4" s="49">
        <v>0</v>
      </c>
      <c r="S4" s="49">
        <v>0</v>
      </c>
      <c r="T4" s="49">
        <v>0</v>
      </c>
      <c r="U4" s="49">
        <v>0</v>
      </c>
      <c r="V4" s="49">
        <v>0</v>
      </c>
      <c r="W4" s="49">
        <v>0</v>
      </c>
      <c r="X4" s="49">
        <v>0</v>
      </c>
      <c r="Y4" s="49">
        <v>0</v>
      </c>
      <c r="Z4" s="49">
        <v>0</v>
      </c>
      <c r="AA4" s="49">
        <v>0</v>
      </c>
      <c r="AB4" s="49">
        <v>0</v>
      </c>
      <c r="AC4" s="49">
        <v>0</v>
      </c>
      <c r="AD4" s="49">
        <v>0</v>
      </c>
      <c r="AE4" s="49">
        <v>0</v>
      </c>
      <c r="AF4" s="49">
        <v>0</v>
      </c>
      <c r="AG4" s="49">
        <v>0</v>
      </c>
      <c r="AH4" s="49">
        <v>0</v>
      </c>
      <c r="AI4" s="49">
        <v>0</v>
      </c>
      <c r="AJ4" s="49">
        <v>0</v>
      </c>
      <c r="AK4" s="49">
        <v>0</v>
      </c>
      <c r="AL4" s="49">
        <v>0</v>
      </c>
      <c r="AM4" s="49">
        <v>0</v>
      </c>
      <c r="AN4" s="49">
        <v>0</v>
      </c>
      <c r="AO4" s="49">
        <v>0</v>
      </c>
      <c r="AP4" s="42">
        <v>0</v>
      </c>
      <c r="AQ4" s="42">
        <v>0</v>
      </c>
      <c r="AR4" s="42">
        <v>0</v>
      </c>
      <c r="AS4" s="42">
        <v>0</v>
      </c>
      <c r="AT4" s="42">
        <v>0</v>
      </c>
      <c r="AU4" s="42">
        <v>0</v>
      </c>
      <c r="AV4" s="42">
        <v>0</v>
      </c>
      <c r="AW4" s="42">
        <v>0</v>
      </c>
    </row>
    <row r="5" spans="1:49" s="42" customFormat="1" ht="10">
      <c r="A5" s="77" t="s">
        <v>456</v>
      </c>
      <c r="B5" s="42">
        <v>1019</v>
      </c>
      <c r="C5" s="42">
        <v>3142</v>
      </c>
      <c r="D5" s="42">
        <v>558</v>
      </c>
      <c r="E5" s="42">
        <v>1532</v>
      </c>
      <c r="F5" s="42">
        <v>321</v>
      </c>
      <c r="G5" s="42">
        <v>877</v>
      </c>
      <c r="H5" s="42">
        <v>212</v>
      </c>
      <c r="I5" s="42">
        <v>627</v>
      </c>
      <c r="J5" s="42">
        <v>174</v>
      </c>
      <c r="K5" s="42">
        <v>867</v>
      </c>
      <c r="L5" s="42">
        <v>76</v>
      </c>
      <c r="M5" s="42">
        <v>1180</v>
      </c>
      <c r="N5" s="42">
        <v>39</v>
      </c>
      <c r="O5" s="42">
        <v>1310</v>
      </c>
      <c r="P5" s="42">
        <v>45</v>
      </c>
      <c r="Q5" s="42">
        <v>1351</v>
      </c>
      <c r="R5" s="42">
        <v>31</v>
      </c>
      <c r="S5" s="42">
        <v>1627</v>
      </c>
      <c r="T5" s="42">
        <v>10</v>
      </c>
      <c r="U5" s="42">
        <v>1091</v>
      </c>
      <c r="V5" s="42">
        <v>23</v>
      </c>
      <c r="W5" s="42">
        <v>1211</v>
      </c>
      <c r="X5" s="42">
        <v>22</v>
      </c>
      <c r="Y5" s="42">
        <v>1087</v>
      </c>
      <c r="Z5" s="42">
        <v>7</v>
      </c>
      <c r="AA5" s="42">
        <v>1078</v>
      </c>
      <c r="AB5" s="42">
        <v>19</v>
      </c>
      <c r="AC5" s="42">
        <v>1081</v>
      </c>
      <c r="AD5" s="42">
        <v>15</v>
      </c>
      <c r="AE5" s="42">
        <v>1049</v>
      </c>
      <c r="AF5" s="42">
        <v>12</v>
      </c>
      <c r="AG5" s="42">
        <v>1070</v>
      </c>
      <c r="AH5" s="42">
        <v>11</v>
      </c>
      <c r="AI5" s="42">
        <v>1002</v>
      </c>
      <c r="AJ5" s="42">
        <v>15</v>
      </c>
      <c r="AK5" s="42">
        <v>1145</v>
      </c>
      <c r="AL5" s="42">
        <v>19</v>
      </c>
      <c r="AM5" s="42">
        <v>1250</v>
      </c>
      <c r="AN5" s="42">
        <v>16</v>
      </c>
      <c r="AO5" s="42">
        <v>1113</v>
      </c>
      <c r="AP5" s="42">
        <v>12</v>
      </c>
      <c r="AQ5" s="42">
        <v>953</v>
      </c>
      <c r="AR5" s="42">
        <v>5</v>
      </c>
      <c r="AS5" s="42">
        <v>824</v>
      </c>
      <c r="AT5" s="42">
        <v>12</v>
      </c>
      <c r="AU5" s="42">
        <v>902</v>
      </c>
      <c r="AV5" s="42">
        <v>5</v>
      </c>
      <c r="AW5" s="42">
        <v>600</v>
      </c>
    </row>
    <row r="6" spans="1:49" s="42" customFormat="1" ht="10">
      <c r="A6" s="77">
        <v>1990</v>
      </c>
      <c r="B6" s="42">
        <v>1417</v>
      </c>
      <c r="C6" s="42">
        <v>6554</v>
      </c>
      <c r="D6" s="42">
        <v>1072</v>
      </c>
      <c r="E6" s="42">
        <v>4354</v>
      </c>
      <c r="F6" s="42">
        <v>603</v>
      </c>
      <c r="G6" s="42">
        <v>1645</v>
      </c>
      <c r="H6" s="42">
        <v>497</v>
      </c>
      <c r="I6" s="42">
        <v>339</v>
      </c>
      <c r="J6" s="42">
        <v>343</v>
      </c>
      <c r="K6" s="42">
        <v>156</v>
      </c>
      <c r="L6" s="42">
        <v>124</v>
      </c>
      <c r="M6" s="42">
        <v>77</v>
      </c>
      <c r="N6" s="42">
        <v>51</v>
      </c>
      <c r="O6" s="42">
        <v>45</v>
      </c>
      <c r="P6" s="42">
        <v>21</v>
      </c>
      <c r="Q6" s="42">
        <v>39</v>
      </c>
      <c r="R6" s="42">
        <v>19</v>
      </c>
      <c r="S6" s="42">
        <v>18</v>
      </c>
      <c r="T6" s="42">
        <v>2</v>
      </c>
      <c r="U6" s="42">
        <v>20</v>
      </c>
      <c r="V6" s="42">
        <v>3</v>
      </c>
      <c r="W6" s="42">
        <v>48</v>
      </c>
      <c r="X6" s="42">
        <v>1</v>
      </c>
      <c r="Y6" s="42">
        <v>43</v>
      </c>
      <c r="Z6" s="42">
        <v>4</v>
      </c>
      <c r="AA6" s="42">
        <v>25</v>
      </c>
      <c r="AB6" s="42">
        <v>8</v>
      </c>
      <c r="AC6" s="42">
        <v>56</v>
      </c>
      <c r="AD6" s="42">
        <v>8</v>
      </c>
      <c r="AE6" s="42">
        <v>95</v>
      </c>
      <c r="AF6" s="42">
        <v>8</v>
      </c>
      <c r="AG6" s="42">
        <v>72</v>
      </c>
      <c r="AH6" s="42">
        <v>10</v>
      </c>
      <c r="AI6" s="42">
        <v>48</v>
      </c>
      <c r="AJ6" s="42">
        <v>10</v>
      </c>
      <c r="AK6" s="42">
        <v>44</v>
      </c>
      <c r="AL6" s="42">
        <v>3</v>
      </c>
      <c r="AM6" s="42">
        <v>35</v>
      </c>
      <c r="AN6" s="42">
        <v>4</v>
      </c>
      <c r="AO6" s="42">
        <v>28</v>
      </c>
      <c r="AP6" s="42">
        <v>4</v>
      </c>
      <c r="AQ6" s="42">
        <v>18</v>
      </c>
      <c r="AR6" s="42">
        <v>2</v>
      </c>
      <c r="AS6" s="42">
        <v>26</v>
      </c>
      <c r="AT6" s="42">
        <v>2</v>
      </c>
      <c r="AU6" s="42">
        <v>22</v>
      </c>
      <c r="AV6" s="42">
        <v>4</v>
      </c>
      <c r="AW6" s="42">
        <v>13</v>
      </c>
    </row>
    <row r="7" spans="1:49" s="42" customFormat="1" ht="10">
      <c r="A7" s="77">
        <v>1991</v>
      </c>
      <c r="B7" s="42">
        <v>3034</v>
      </c>
      <c r="C7" s="42">
        <v>16597</v>
      </c>
      <c r="D7" s="42">
        <v>1600</v>
      </c>
      <c r="E7" s="42">
        <v>8995</v>
      </c>
      <c r="F7" s="42">
        <v>1653</v>
      </c>
      <c r="G7" s="42">
        <v>3542</v>
      </c>
      <c r="H7" s="42">
        <v>1253</v>
      </c>
      <c r="I7" s="42">
        <v>702</v>
      </c>
      <c r="J7" s="42">
        <v>739</v>
      </c>
      <c r="K7" s="42">
        <v>298</v>
      </c>
      <c r="L7" s="42">
        <v>358</v>
      </c>
      <c r="M7" s="42">
        <v>171</v>
      </c>
      <c r="N7" s="42">
        <v>121</v>
      </c>
      <c r="O7" s="42">
        <v>75</v>
      </c>
      <c r="P7" s="42">
        <v>61</v>
      </c>
      <c r="Q7" s="42">
        <v>41</v>
      </c>
      <c r="R7" s="42">
        <v>18</v>
      </c>
      <c r="S7" s="42">
        <v>33</v>
      </c>
      <c r="T7" s="42">
        <v>3</v>
      </c>
      <c r="U7" s="42">
        <v>12</v>
      </c>
      <c r="V7" s="42">
        <v>0</v>
      </c>
      <c r="W7" s="42">
        <v>24</v>
      </c>
      <c r="X7" s="42">
        <v>4</v>
      </c>
      <c r="Y7" s="42">
        <v>37</v>
      </c>
      <c r="Z7" s="42">
        <v>1</v>
      </c>
      <c r="AA7" s="42">
        <v>21</v>
      </c>
      <c r="AB7" s="42">
        <v>14</v>
      </c>
      <c r="AC7" s="42">
        <v>91</v>
      </c>
      <c r="AD7" s="42">
        <v>21</v>
      </c>
      <c r="AE7" s="42">
        <v>137</v>
      </c>
      <c r="AF7" s="42">
        <v>16</v>
      </c>
      <c r="AG7" s="42">
        <v>131</v>
      </c>
      <c r="AH7" s="42">
        <v>21</v>
      </c>
      <c r="AI7" s="42">
        <v>81</v>
      </c>
      <c r="AJ7" s="42">
        <v>13</v>
      </c>
      <c r="AK7" s="42">
        <v>57</v>
      </c>
      <c r="AL7" s="42">
        <v>13</v>
      </c>
      <c r="AM7" s="42">
        <v>55</v>
      </c>
      <c r="AN7" s="42">
        <v>6</v>
      </c>
      <c r="AO7" s="42">
        <v>32</v>
      </c>
      <c r="AP7" s="42">
        <v>3</v>
      </c>
      <c r="AQ7" s="42">
        <v>27</v>
      </c>
      <c r="AR7" s="42">
        <v>3</v>
      </c>
      <c r="AS7" s="42">
        <v>40</v>
      </c>
      <c r="AT7" s="42">
        <v>4</v>
      </c>
      <c r="AU7" s="42">
        <v>36</v>
      </c>
      <c r="AV7" s="42">
        <v>0</v>
      </c>
      <c r="AW7" s="42">
        <v>15</v>
      </c>
    </row>
    <row r="8" spans="1:49" s="42" customFormat="1" ht="10">
      <c r="A8" s="77">
        <v>1992</v>
      </c>
      <c r="B8" s="42">
        <v>2684</v>
      </c>
      <c r="C8" s="42">
        <v>15509</v>
      </c>
      <c r="D8" s="42">
        <v>3386</v>
      </c>
      <c r="E8" s="42">
        <v>22568</v>
      </c>
      <c r="F8" s="42">
        <v>2374</v>
      </c>
      <c r="G8" s="42">
        <v>8438</v>
      </c>
      <c r="H8" s="42">
        <v>2919</v>
      </c>
      <c r="I8" s="42">
        <v>2480</v>
      </c>
      <c r="J8" s="42">
        <v>1431</v>
      </c>
      <c r="K8" s="42">
        <v>1010</v>
      </c>
      <c r="L8" s="42">
        <v>883</v>
      </c>
      <c r="M8" s="42">
        <v>500</v>
      </c>
      <c r="N8" s="42">
        <v>269</v>
      </c>
      <c r="O8" s="42">
        <v>147</v>
      </c>
      <c r="P8" s="42">
        <v>104</v>
      </c>
      <c r="Q8" s="42">
        <v>79</v>
      </c>
      <c r="R8" s="42">
        <v>27</v>
      </c>
      <c r="S8" s="42">
        <v>32</v>
      </c>
      <c r="T8" s="42">
        <v>4</v>
      </c>
      <c r="U8" s="42">
        <v>19</v>
      </c>
      <c r="V8" s="42">
        <v>2</v>
      </c>
      <c r="W8" s="42">
        <v>16</v>
      </c>
      <c r="X8" s="42">
        <v>3</v>
      </c>
      <c r="Y8" s="42">
        <v>16</v>
      </c>
      <c r="Z8" s="42">
        <v>1</v>
      </c>
      <c r="AA8" s="42">
        <v>18</v>
      </c>
      <c r="AB8" s="42">
        <v>20</v>
      </c>
      <c r="AC8" s="42">
        <v>116</v>
      </c>
      <c r="AD8" s="42">
        <v>28</v>
      </c>
      <c r="AE8" s="42">
        <v>187</v>
      </c>
      <c r="AF8" s="42">
        <v>49</v>
      </c>
      <c r="AG8" s="42">
        <v>181</v>
      </c>
      <c r="AH8" s="42">
        <v>37</v>
      </c>
      <c r="AI8" s="42">
        <v>121</v>
      </c>
      <c r="AJ8" s="42">
        <v>30</v>
      </c>
      <c r="AK8" s="42">
        <v>77</v>
      </c>
      <c r="AL8" s="42">
        <v>17</v>
      </c>
      <c r="AM8" s="42">
        <v>49</v>
      </c>
      <c r="AN8" s="42">
        <v>10</v>
      </c>
      <c r="AO8" s="42">
        <v>41</v>
      </c>
      <c r="AP8" s="42">
        <v>4</v>
      </c>
      <c r="AQ8" s="42">
        <v>26</v>
      </c>
      <c r="AR8" s="42">
        <v>1</v>
      </c>
      <c r="AS8" s="42">
        <v>28</v>
      </c>
      <c r="AT8" s="42">
        <v>3</v>
      </c>
      <c r="AU8" s="42">
        <v>31</v>
      </c>
      <c r="AV8" s="42">
        <v>2</v>
      </c>
      <c r="AW8" s="42">
        <v>10</v>
      </c>
    </row>
    <row r="9" spans="1:49" s="42" customFormat="1" ht="10">
      <c r="A9" s="77">
        <v>1993</v>
      </c>
      <c r="B9" s="42">
        <v>2788</v>
      </c>
      <c r="C9" s="42">
        <v>23768</v>
      </c>
      <c r="D9" s="42">
        <v>1838</v>
      </c>
      <c r="E9" s="42">
        <v>15581</v>
      </c>
      <c r="F9" s="42">
        <v>2991</v>
      </c>
      <c r="G9" s="42">
        <v>10847</v>
      </c>
      <c r="H9" s="42">
        <v>2817</v>
      </c>
      <c r="I9" s="42">
        <v>3572</v>
      </c>
      <c r="J9" s="42">
        <v>2454</v>
      </c>
      <c r="K9" s="42">
        <v>2308</v>
      </c>
      <c r="L9" s="42">
        <v>1363</v>
      </c>
      <c r="M9" s="42">
        <v>1095</v>
      </c>
      <c r="N9" s="42">
        <v>434</v>
      </c>
      <c r="O9" s="42">
        <v>275</v>
      </c>
      <c r="P9" s="42">
        <v>191</v>
      </c>
      <c r="Q9" s="42">
        <v>90</v>
      </c>
      <c r="R9" s="42">
        <v>61</v>
      </c>
      <c r="S9" s="42">
        <v>40</v>
      </c>
      <c r="T9" s="42">
        <v>14</v>
      </c>
      <c r="U9" s="42">
        <v>22</v>
      </c>
      <c r="V9" s="42">
        <v>2</v>
      </c>
      <c r="W9" s="42">
        <v>23</v>
      </c>
      <c r="X9" s="42">
        <v>2</v>
      </c>
      <c r="Y9" s="42">
        <v>11</v>
      </c>
      <c r="Z9" s="42">
        <v>2</v>
      </c>
      <c r="AA9" s="42">
        <v>18</v>
      </c>
      <c r="AB9" s="42">
        <v>14</v>
      </c>
      <c r="AC9" s="42">
        <v>98</v>
      </c>
      <c r="AD9" s="42">
        <v>50</v>
      </c>
      <c r="AE9" s="42">
        <v>217</v>
      </c>
      <c r="AF9" s="42">
        <v>69</v>
      </c>
      <c r="AG9" s="42">
        <v>189</v>
      </c>
      <c r="AH9" s="42">
        <v>53</v>
      </c>
      <c r="AI9" s="42">
        <v>176</v>
      </c>
      <c r="AJ9" s="42">
        <v>60</v>
      </c>
      <c r="AK9" s="42">
        <v>113</v>
      </c>
      <c r="AL9" s="42">
        <v>27</v>
      </c>
      <c r="AM9" s="42">
        <v>63</v>
      </c>
      <c r="AN9" s="42">
        <v>15</v>
      </c>
      <c r="AO9" s="42">
        <v>35</v>
      </c>
      <c r="AP9" s="42">
        <v>7</v>
      </c>
      <c r="AQ9" s="42">
        <v>34</v>
      </c>
      <c r="AR9" s="42">
        <v>2</v>
      </c>
      <c r="AS9" s="42">
        <v>23</v>
      </c>
      <c r="AT9" s="42">
        <v>1</v>
      </c>
      <c r="AU9" s="42">
        <v>50</v>
      </c>
      <c r="AV9" s="42">
        <v>2</v>
      </c>
      <c r="AW9" s="42">
        <v>11</v>
      </c>
    </row>
    <row r="10" spans="1:49" s="42" customFormat="1" ht="10">
      <c r="A10" s="77">
        <v>1994</v>
      </c>
      <c r="B10" s="42">
        <v>1993</v>
      </c>
      <c r="C10" s="42">
        <v>14170</v>
      </c>
      <c r="D10" s="42">
        <v>2630</v>
      </c>
      <c r="E10" s="42">
        <v>28174</v>
      </c>
      <c r="F10" s="42">
        <v>2666</v>
      </c>
      <c r="G10" s="42">
        <v>15337</v>
      </c>
      <c r="H10" s="42">
        <v>5200</v>
      </c>
      <c r="I10" s="42">
        <v>14981</v>
      </c>
      <c r="J10" s="42">
        <v>3301</v>
      </c>
      <c r="K10" s="42">
        <v>7024</v>
      </c>
      <c r="L10" s="42">
        <v>3088</v>
      </c>
      <c r="M10" s="42">
        <v>4348</v>
      </c>
      <c r="N10" s="42">
        <v>1065</v>
      </c>
      <c r="O10" s="42">
        <v>1360</v>
      </c>
      <c r="P10" s="42">
        <v>502</v>
      </c>
      <c r="Q10" s="42">
        <v>375</v>
      </c>
      <c r="R10" s="42">
        <v>176</v>
      </c>
      <c r="S10" s="42">
        <v>122</v>
      </c>
      <c r="T10" s="42">
        <v>30</v>
      </c>
      <c r="U10" s="42">
        <v>49</v>
      </c>
      <c r="V10" s="42">
        <v>9</v>
      </c>
      <c r="W10" s="42">
        <v>39</v>
      </c>
      <c r="X10" s="42">
        <v>2</v>
      </c>
      <c r="Y10" s="42">
        <v>21</v>
      </c>
      <c r="Z10" s="42">
        <v>5</v>
      </c>
      <c r="AA10" s="42">
        <v>17</v>
      </c>
      <c r="AB10" s="42">
        <v>3</v>
      </c>
      <c r="AC10" s="42">
        <v>20</v>
      </c>
      <c r="AD10" s="42">
        <v>42</v>
      </c>
      <c r="AE10" s="42">
        <v>172</v>
      </c>
      <c r="AF10" s="42">
        <v>148</v>
      </c>
      <c r="AG10" s="42">
        <v>310</v>
      </c>
      <c r="AH10" s="42">
        <v>172</v>
      </c>
      <c r="AI10" s="42">
        <v>258</v>
      </c>
      <c r="AJ10" s="42">
        <v>149</v>
      </c>
      <c r="AK10" s="42">
        <v>190</v>
      </c>
      <c r="AL10" s="42">
        <v>57</v>
      </c>
      <c r="AM10" s="42">
        <v>109</v>
      </c>
      <c r="AN10" s="42">
        <v>27</v>
      </c>
      <c r="AO10" s="42">
        <v>59</v>
      </c>
      <c r="AP10" s="42">
        <v>8</v>
      </c>
      <c r="AQ10" s="42">
        <v>42</v>
      </c>
      <c r="AR10" s="42">
        <v>21</v>
      </c>
      <c r="AS10" s="42">
        <v>34</v>
      </c>
      <c r="AT10" s="42">
        <v>5</v>
      </c>
      <c r="AU10" s="42">
        <v>51</v>
      </c>
      <c r="AV10" s="42">
        <v>5</v>
      </c>
      <c r="AW10" s="42">
        <v>13</v>
      </c>
    </row>
    <row r="11" spans="1:49" s="42" customFormat="1" ht="10">
      <c r="A11" s="77">
        <v>1995</v>
      </c>
      <c r="B11" s="42">
        <v>1845</v>
      </c>
      <c r="C11" s="42">
        <v>14195</v>
      </c>
      <c r="D11" s="42">
        <v>1791</v>
      </c>
      <c r="E11" s="42">
        <v>13610</v>
      </c>
      <c r="F11" s="42">
        <v>3808</v>
      </c>
      <c r="G11" s="42">
        <v>28892</v>
      </c>
      <c r="H11" s="42">
        <v>4436</v>
      </c>
      <c r="I11" s="42">
        <v>21182</v>
      </c>
      <c r="J11" s="42">
        <v>5587</v>
      </c>
      <c r="K11" s="42">
        <v>25219</v>
      </c>
      <c r="L11" s="42">
        <v>3636</v>
      </c>
      <c r="M11" s="42">
        <v>12340</v>
      </c>
      <c r="N11" s="42">
        <v>2211</v>
      </c>
      <c r="O11" s="42">
        <v>5679</v>
      </c>
      <c r="P11" s="42">
        <v>813</v>
      </c>
      <c r="Q11" s="42">
        <v>2005</v>
      </c>
      <c r="R11" s="42">
        <v>256</v>
      </c>
      <c r="S11" s="42">
        <v>372</v>
      </c>
      <c r="T11" s="42">
        <v>51</v>
      </c>
      <c r="U11" s="42">
        <v>108</v>
      </c>
      <c r="V11" s="42">
        <v>10</v>
      </c>
      <c r="W11" s="42">
        <v>54</v>
      </c>
      <c r="X11" s="42">
        <v>8</v>
      </c>
      <c r="Y11" s="42">
        <v>38</v>
      </c>
      <c r="Z11" s="42">
        <v>3</v>
      </c>
      <c r="AA11" s="42">
        <v>29</v>
      </c>
      <c r="AB11" s="42">
        <v>5</v>
      </c>
      <c r="AC11" s="42">
        <v>26</v>
      </c>
      <c r="AD11" s="42">
        <v>3</v>
      </c>
      <c r="AE11" s="42">
        <v>21</v>
      </c>
      <c r="AF11" s="42">
        <v>100</v>
      </c>
      <c r="AG11" s="42">
        <v>247</v>
      </c>
      <c r="AH11" s="42">
        <v>276</v>
      </c>
      <c r="AI11" s="42">
        <v>370</v>
      </c>
      <c r="AJ11" s="42">
        <v>214</v>
      </c>
      <c r="AK11" s="42">
        <v>291</v>
      </c>
      <c r="AL11" s="42">
        <v>140</v>
      </c>
      <c r="AM11" s="42">
        <v>164</v>
      </c>
      <c r="AN11" s="42">
        <v>70</v>
      </c>
      <c r="AO11" s="42">
        <v>123</v>
      </c>
      <c r="AP11" s="42">
        <v>29</v>
      </c>
      <c r="AQ11" s="42">
        <v>67</v>
      </c>
      <c r="AR11" s="42">
        <v>25</v>
      </c>
      <c r="AS11" s="42">
        <v>44</v>
      </c>
      <c r="AT11" s="42">
        <v>19</v>
      </c>
      <c r="AU11" s="42">
        <v>62</v>
      </c>
      <c r="AV11" s="42">
        <v>2</v>
      </c>
      <c r="AW11" s="42">
        <v>16</v>
      </c>
    </row>
    <row r="12" spans="1:49" s="42" customFormat="1" ht="10">
      <c r="A12" s="77">
        <v>1996</v>
      </c>
      <c r="B12" s="42">
        <v>1292</v>
      </c>
      <c r="C12" s="42">
        <v>5116</v>
      </c>
      <c r="D12" s="42">
        <v>1806</v>
      </c>
      <c r="E12" s="42">
        <v>13837</v>
      </c>
      <c r="F12" s="42">
        <v>3487</v>
      </c>
      <c r="G12" s="42">
        <v>20746</v>
      </c>
      <c r="H12" s="42">
        <v>6704</v>
      </c>
      <c r="I12" s="42">
        <v>44630</v>
      </c>
      <c r="J12" s="42">
        <v>5607</v>
      </c>
      <c r="K12" s="42">
        <v>28826</v>
      </c>
      <c r="L12" s="42">
        <v>7849</v>
      </c>
      <c r="M12" s="42">
        <v>37483</v>
      </c>
      <c r="N12" s="42">
        <v>3404</v>
      </c>
      <c r="O12" s="42">
        <v>16082</v>
      </c>
      <c r="P12" s="42">
        <v>2054</v>
      </c>
      <c r="Q12" s="42">
        <v>11362</v>
      </c>
      <c r="R12" s="42">
        <v>705</v>
      </c>
      <c r="S12" s="42">
        <v>3509</v>
      </c>
      <c r="T12" s="42">
        <v>131</v>
      </c>
      <c r="U12" s="42">
        <v>701</v>
      </c>
      <c r="V12" s="42">
        <v>13</v>
      </c>
      <c r="W12" s="42">
        <v>168</v>
      </c>
      <c r="X12" s="42">
        <v>5</v>
      </c>
      <c r="Y12" s="42">
        <v>49</v>
      </c>
      <c r="Z12" s="42">
        <v>5</v>
      </c>
      <c r="AA12" s="42">
        <v>31</v>
      </c>
      <c r="AB12" s="42">
        <v>3</v>
      </c>
      <c r="AC12" s="42">
        <v>35</v>
      </c>
      <c r="AD12" s="42">
        <v>4</v>
      </c>
      <c r="AE12" s="42">
        <v>30</v>
      </c>
      <c r="AF12" s="42">
        <v>5</v>
      </c>
      <c r="AG12" s="42">
        <v>24</v>
      </c>
      <c r="AH12" s="42">
        <v>237</v>
      </c>
      <c r="AI12" s="42">
        <v>330</v>
      </c>
      <c r="AJ12" s="42">
        <v>523</v>
      </c>
      <c r="AK12" s="42">
        <v>599</v>
      </c>
      <c r="AL12" s="42">
        <v>311</v>
      </c>
      <c r="AM12" s="42">
        <v>382</v>
      </c>
      <c r="AN12" s="42">
        <v>205</v>
      </c>
      <c r="AO12" s="42">
        <v>211</v>
      </c>
      <c r="AP12" s="42">
        <v>142</v>
      </c>
      <c r="AQ12" s="42">
        <v>144</v>
      </c>
      <c r="AR12" s="42">
        <v>95</v>
      </c>
      <c r="AS12" s="42">
        <v>96</v>
      </c>
      <c r="AT12" s="42">
        <v>42</v>
      </c>
      <c r="AU12" s="42">
        <v>68</v>
      </c>
      <c r="AV12" s="42">
        <v>7</v>
      </c>
      <c r="AW12" s="42">
        <v>12</v>
      </c>
    </row>
    <row r="13" spans="1:49" s="42" customFormat="1" ht="10">
      <c r="A13" s="77">
        <v>1997</v>
      </c>
      <c r="B13" s="42">
        <v>702</v>
      </c>
      <c r="C13" s="42">
        <v>3127</v>
      </c>
      <c r="D13" s="42">
        <v>733</v>
      </c>
      <c r="E13" s="42">
        <v>4101</v>
      </c>
      <c r="F13" s="42">
        <v>2041</v>
      </c>
      <c r="G13" s="42">
        <v>19469</v>
      </c>
      <c r="H13" s="42">
        <v>2845</v>
      </c>
      <c r="I13" s="42">
        <v>19042</v>
      </c>
      <c r="J13" s="42">
        <v>4363</v>
      </c>
      <c r="K13" s="42">
        <v>31809</v>
      </c>
      <c r="L13" s="42">
        <v>3503</v>
      </c>
      <c r="M13" s="42">
        <v>22423</v>
      </c>
      <c r="N13" s="42">
        <v>4095</v>
      </c>
      <c r="O13" s="42">
        <v>29066</v>
      </c>
      <c r="P13" s="42">
        <v>2068</v>
      </c>
      <c r="Q13" s="42">
        <v>15444</v>
      </c>
      <c r="R13" s="42">
        <v>652</v>
      </c>
      <c r="S13" s="42">
        <v>4931</v>
      </c>
      <c r="T13" s="42">
        <v>159</v>
      </c>
      <c r="U13" s="42">
        <v>1011</v>
      </c>
      <c r="V13" s="42">
        <v>14</v>
      </c>
      <c r="W13" s="42">
        <v>230</v>
      </c>
      <c r="X13" s="42">
        <v>8</v>
      </c>
      <c r="Y13" s="42">
        <v>60</v>
      </c>
      <c r="Z13" s="42">
        <v>6</v>
      </c>
      <c r="AA13" s="42">
        <v>36</v>
      </c>
      <c r="AB13" s="42">
        <v>4</v>
      </c>
      <c r="AC13" s="42">
        <v>40</v>
      </c>
      <c r="AD13" s="42">
        <v>1</v>
      </c>
      <c r="AE13" s="42">
        <v>35</v>
      </c>
      <c r="AF13" s="42">
        <v>7</v>
      </c>
      <c r="AG13" s="42">
        <v>40</v>
      </c>
      <c r="AH13" s="42">
        <v>7</v>
      </c>
      <c r="AI13" s="42">
        <v>28</v>
      </c>
      <c r="AJ13" s="42">
        <v>240</v>
      </c>
      <c r="AK13" s="42">
        <v>389</v>
      </c>
      <c r="AL13" s="42">
        <v>311</v>
      </c>
      <c r="AM13" s="42">
        <v>570</v>
      </c>
      <c r="AN13" s="42">
        <v>150</v>
      </c>
      <c r="AO13" s="42">
        <v>318</v>
      </c>
      <c r="AP13" s="42">
        <v>118</v>
      </c>
      <c r="AQ13" s="42">
        <v>229</v>
      </c>
      <c r="AR13" s="42">
        <v>135</v>
      </c>
      <c r="AS13" s="42">
        <v>207</v>
      </c>
      <c r="AT13" s="42">
        <v>55</v>
      </c>
      <c r="AU13" s="42">
        <v>165</v>
      </c>
      <c r="AV13" s="42">
        <v>10</v>
      </c>
      <c r="AW13" s="42">
        <v>38</v>
      </c>
    </row>
    <row r="14" spans="1:49" s="42" customFormat="1" ht="10">
      <c r="A14" s="77">
        <v>1998</v>
      </c>
      <c r="B14" s="42">
        <v>133</v>
      </c>
      <c r="C14" s="42">
        <v>830</v>
      </c>
      <c r="D14" s="42">
        <v>386</v>
      </c>
      <c r="E14" s="42">
        <v>2737</v>
      </c>
      <c r="F14" s="42">
        <v>781</v>
      </c>
      <c r="G14" s="42">
        <v>5092</v>
      </c>
      <c r="H14" s="42">
        <v>1227</v>
      </c>
      <c r="I14" s="42">
        <v>14994</v>
      </c>
      <c r="J14" s="42">
        <v>1499</v>
      </c>
      <c r="K14" s="42">
        <v>12703</v>
      </c>
      <c r="L14" s="42">
        <v>1834</v>
      </c>
      <c r="M14" s="42">
        <v>22703</v>
      </c>
      <c r="N14" s="42">
        <v>1722</v>
      </c>
      <c r="O14" s="42">
        <v>16676</v>
      </c>
      <c r="P14" s="42">
        <v>2359</v>
      </c>
      <c r="Q14" s="42">
        <v>25352</v>
      </c>
      <c r="R14" s="42">
        <v>739</v>
      </c>
      <c r="S14" s="42">
        <v>10591</v>
      </c>
      <c r="T14" s="42">
        <v>172</v>
      </c>
      <c r="U14" s="42">
        <v>2102</v>
      </c>
      <c r="V14" s="42">
        <v>21</v>
      </c>
      <c r="W14" s="42">
        <v>332</v>
      </c>
      <c r="X14" s="42">
        <v>9</v>
      </c>
      <c r="Y14" s="42">
        <v>67</v>
      </c>
      <c r="Z14" s="42">
        <v>5</v>
      </c>
      <c r="AA14" s="42">
        <v>35</v>
      </c>
      <c r="AB14" s="42">
        <v>5</v>
      </c>
      <c r="AC14" s="42">
        <v>40</v>
      </c>
      <c r="AD14" s="42">
        <v>8</v>
      </c>
      <c r="AE14" s="42">
        <v>48</v>
      </c>
      <c r="AF14" s="42">
        <v>1</v>
      </c>
      <c r="AG14" s="42">
        <v>27</v>
      </c>
      <c r="AH14" s="42">
        <v>6</v>
      </c>
      <c r="AI14" s="42">
        <v>37</v>
      </c>
      <c r="AJ14" s="42">
        <v>5</v>
      </c>
      <c r="AK14" s="42">
        <v>16</v>
      </c>
      <c r="AL14" s="42">
        <v>126</v>
      </c>
      <c r="AM14" s="42">
        <v>354</v>
      </c>
      <c r="AN14" s="42">
        <v>171</v>
      </c>
      <c r="AO14" s="42">
        <v>476</v>
      </c>
      <c r="AP14" s="42">
        <v>92</v>
      </c>
      <c r="AQ14" s="42">
        <v>368</v>
      </c>
      <c r="AR14" s="42">
        <v>126</v>
      </c>
      <c r="AS14" s="42">
        <v>316</v>
      </c>
      <c r="AT14" s="42">
        <v>78</v>
      </c>
      <c r="AU14" s="42">
        <v>286</v>
      </c>
      <c r="AV14" s="42">
        <v>3</v>
      </c>
      <c r="AW14" s="42">
        <v>41</v>
      </c>
    </row>
    <row r="15" spans="1:49" s="42" customFormat="1" ht="10">
      <c r="A15" s="77">
        <v>1999</v>
      </c>
      <c r="B15" s="42">
        <v>57</v>
      </c>
      <c r="C15" s="42">
        <v>366</v>
      </c>
      <c r="D15" s="42">
        <v>100</v>
      </c>
      <c r="E15" s="42">
        <v>737</v>
      </c>
      <c r="F15" s="42">
        <v>604</v>
      </c>
      <c r="G15" s="42">
        <v>3995</v>
      </c>
      <c r="H15" s="42">
        <v>728</v>
      </c>
      <c r="I15" s="42">
        <v>5718</v>
      </c>
      <c r="J15" s="42">
        <v>1182</v>
      </c>
      <c r="K15" s="42">
        <v>11980</v>
      </c>
      <c r="L15" s="42">
        <v>1114</v>
      </c>
      <c r="M15" s="42">
        <v>8822</v>
      </c>
      <c r="N15" s="42">
        <v>914</v>
      </c>
      <c r="O15" s="42">
        <v>15598</v>
      </c>
      <c r="P15" s="42">
        <v>1406</v>
      </c>
      <c r="Q15" s="42">
        <v>14169</v>
      </c>
      <c r="R15" s="42">
        <v>690</v>
      </c>
      <c r="S15" s="42">
        <v>19780</v>
      </c>
      <c r="T15" s="42">
        <v>175</v>
      </c>
      <c r="U15" s="42">
        <v>5920</v>
      </c>
      <c r="V15" s="42">
        <v>26</v>
      </c>
      <c r="W15" s="42">
        <v>1079</v>
      </c>
      <c r="X15" s="42">
        <v>9</v>
      </c>
      <c r="Y15" s="42">
        <v>478</v>
      </c>
      <c r="Z15" s="42">
        <v>4</v>
      </c>
      <c r="AA15" s="42">
        <v>87</v>
      </c>
      <c r="AB15" s="42">
        <v>2</v>
      </c>
      <c r="AC15" s="42">
        <v>64</v>
      </c>
      <c r="AD15" s="42">
        <v>2</v>
      </c>
      <c r="AE15" s="42">
        <v>45</v>
      </c>
      <c r="AF15" s="42">
        <v>2</v>
      </c>
      <c r="AG15" s="42">
        <v>56</v>
      </c>
      <c r="AH15" s="42">
        <v>2</v>
      </c>
      <c r="AI15" s="42">
        <v>56</v>
      </c>
      <c r="AJ15" s="42">
        <v>6</v>
      </c>
      <c r="AK15" s="42">
        <v>30</v>
      </c>
      <c r="AL15" s="42">
        <v>2</v>
      </c>
      <c r="AM15" s="42">
        <v>33</v>
      </c>
      <c r="AN15" s="42">
        <v>51</v>
      </c>
      <c r="AO15" s="42">
        <v>281</v>
      </c>
      <c r="AP15" s="42">
        <v>81</v>
      </c>
      <c r="AQ15" s="42">
        <v>491</v>
      </c>
      <c r="AR15" s="42">
        <v>84</v>
      </c>
      <c r="AS15" s="42">
        <v>491</v>
      </c>
      <c r="AT15" s="42">
        <v>53</v>
      </c>
      <c r="AU15" s="42">
        <v>354</v>
      </c>
      <c r="AV15" s="42">
        <v>13</v>
      </c>
      <c r="AW15" s="42">
        <v>65</v>
      </c>
    </row>
    <row r="16" spans="1:49" s="42" customFormat="1" ht="10">
      <c r="A16" s="77">
        <v>2000</v>
      </c>
      <c r="B16" s="42">
        <v>8</v>
      </c>
      <c r="C16" s="42">
        <v>52</v>
      </c>
      <c r="D16" s="42">
        <v>34</v>
      </c>
      <c r="E16" s="42">
        <v>496</v>
      </c>
      <c r="F16" s="42">
        <v>153</v>
      </c>
      <c r="G16" s="42">
        <v>1023</v>
      </c>
      <c r="H16" s="42">
        <v>462</v>
      </c>
      <c r="I16" s="42">
        <v>4172</v>
      </c>
      <c r="J16" s="42">
        <v>600</v>
      </c>
      <c r="K16" s="42">
        <v>5688</v>
      </c>
      <c r="L16" s="42">
        <v>928</v>
      </c>
      <c r="M16" s="42">
        <v>10470</v>
      </c>
      <c r="N16" s="42">
        <v>782</v>
      </c>
      <c r="O16" s="42">
        <v>7604</v>
      </c>
      <c r="P16" s="42">
        <v>741</v>
      </c>
      <c r="Q16" s="42">
        <v>14906</v>
      </c>
      <c r="R16" s="42">
        <v>354</v>
      </c>
      <c r="S16" s="42">
        <v>13353</v>
      </c>
      <c r="T16" s="42">
        <v>93</v>
      </c>
      <c r="U16" s="42">
        <v>11616</v>
      </c>
      <c r="V16" s="42">
        <v>18</v>
      </c>
      <c r="W16" s="42">
        <v>7941</v>
      </c>
      <c r="X16" s="42">
        <v>5</v>
      </c>
      <c r="Y16" s="42">
        <v>8103</v>
      </c>
      <c r="Z16" s="42">
        <v>2</v>
      </c>
      <c r="AA16" s="42">
        <v>3057</v>
      </c>
      <c r="AB16" s="42">
        <v>9</v>
      </c>
      <c r="AC16" s="42">
        <v>390</v>
      </c>
      <c r="AD16" s="42">
        <v>9</v>
      </c>
      <c r="AE16" s="42">
        <v>83</v>
      </c>
      <c r="AF16" s="42">
        <v>8</v>
      </c>
      <c r="AG16" s="42">
        <v>67</v>
      </c>
      <c r="AH16" s="42">
        <v>8</v>
      </c>
      <c r="AI16" s="42">
        <v>43</v>
      </c>
      <c r="AJ16" s="42">
        <v>6</v>
      </c>
      <c r="AK16" s="42">
        <v>46</v>
      </c>
      <c r="AL16" s="42">
        <v>2</v>
      </c>
      <c r="AM16" s="42">
        <v>43</v>
      </c>
      <c r="AN16" s="42">
        <v>1</v>
      </c>
      <c r="AO16" s="42">
        <v>25</v>
      </c>
      <c r="AP16" s="42">
        <v>30</v>
      </c>
      <c r="AQ16" s="42">
        <v>265</v>
      </c>
      <c r="AR16" s="42">
        <v>91</v>
      </c>
      <c r="AS16" s="42">
        <v>673</v>
      </c>
      <c r="AT16" s="42">
        <v>61</v>
      </c>
      <c r="AU16" s="42">
        <v>533</v>
      </c>
      <c r="AV16" s="42">
        <v>7</v>
      </c>
      <c r="AW16" s="42">
        <v>85</v>
      </c>
    </row>
    <row r="17" spans="1:49" s="42" customFormat="1" ht="10">
      <c r="A17" s="77">
        <v>2001</v>
      </c>
      <c r="B17" s="42">
        <v>0</v>
      </c>
      <c r="C17" s="42">
        <v>0</v>
      </c>
      <c r="D17" s="42">
        <v>10</v>
      </c>
      <c r="E17" s="42">
        <v>127</v>
      </c>
      <c r="F17" s="42">
        <v>38</v>
      </c>
      <c r="G17" s="42">
        <v>783</v>
      </c>
      <c r="H17" s="42">
        <v>109</v>
      </c>
      <c r="I17" s="42">
        <v>1359</v>
      </c>
      <c r="J17" s="42">
        <v>295</v>
      </c>
      <c r="K17" s="42">
        <v>3859</v>
      </c>
      <c r="L17" s="42">
        <v>497</v>
      </c>
      <c r="M17" s="42">
        <v>5109</v>
      </c>
      <c r="N17" s="42">
        <v>523</v>
      </c>
      <c r="O17" s="42">
        <v>8461</v>
      </c>
      <c r="P17" s="42">
        <v>692</v>
      </c>
      <c r="Q17" s="42">
        <v>7124</v>
      </c>
      <c r="R17" s="42">
        <v>239</v>
      </c>
      <c r="S17" s="42">
        <v>12093</v>
      </c>
      <c r="T17" s="42">
        <v>51</v>
      </c>
      <c r="U17" s="42">
        <v>11345</v>
      </c>
      <c r="V17" s="42">
        <v>17</v>
      </c>
      <c r="W17" s="42">
        <v>21831</v>
      </c>
      <c r="X17" s="42">
        <v>7</v>
      </c>
      <c r="Y17" s="42">
        <v>12168</v>
      </c>
      <c r="Z17" s="42">
        <v>9</v>
      </c>
      <c r="AA17" s="42">
        <v>3509</v>
      </c>
      <c r="AB17" s="42">
        <v>7</v>
      </c>
      <c r="AC17" s="42">
        <v>425</v>
      </c>
      <c r="AD17" s="42">
        <v>4</v>
      </c>
      <c r="AE17" s="42">
        <v>92</v>
      </c>
      <c r="AF17" s="42">
        <v>10</v>
      </c>
      <c r="AG17" s="42">
        <v>65</v>
      </c>
      <c r="AH17" s="42">
        <v>5</v>
      </c>
      <c r="AI17" s="42">
        <v>53</v>
      </c>
      <c r="AJ17" s="42">
        <v>3</v>
      </c>
      <c r="AK17" s="42">
        <v>49</v>
      </c>
      <c r="AL17" s="42">
        <v>7</v>
      </c>
      <c r="AM17" s="42">
        <v>31</v>
      </c>
      <c r="AN17" s="42">
        <v>4</v>
      </c>
      <c r="AO17" s="42">
        <v>20</v>
      </c>
      <c r="AP17" s="42">
        <v>1</v>
      </c>
      <c r="AQ17" s="42">
        <v>13</v>
      </c>
      <c r="AR17" s="42">
        <v>65</v>
      </c>
      <c r="AS17" s="42">
        <v>303</v>
      </c>
      <c r="AT17" s="42">
        <v>63</v>
      </c>
      <c r="AU17" s="42">
        <v>629</v>
      </c>
      <c r="AV17" s="42">
        <v>11</v>
      </c>
      <c r="AW17" s="42">
        <v>110</v>
      </c>
    </row>
    <row r="18" spans="1:49" s="42" customFormat="1" ht="10">
      <c r="A18" s="77">
        <v>2002</v>
      </c>
      <c r="B18" s="42">
        <v>0</v>
      </c>
      <c r="C18" s="42">
        <v>0</v>
      </c>
      <c r="D18" s="42">
        <v>0</v>
      </c>
      <c r="E18" s="42">
        <v>0</v>
      </c>
      <c r="F18" s="42">
        <v>27</v>
      </c>
      <c r="G18" s="42">
        <v>182</v>
      </c>
      <c r="H18" s="42">
        <v>41</v>
      </c>
      <c r="I18" s="42">
        <v>813</v>
      </c>
      <c r="J18" s="42">
        <v>75</v>
      </c>
      <c r="K18" s="42">
        <v>1389</v>
      </c>
      <c r="L18" s="42">
        <v>217</v>
      </c>
      <c r="M18" s="42">
        <v>4169</v>
      </c>
      <c r="N18" s="42">
        <v>221</v>
      </c>
      <c r="O18" s="42">
        <v>4304</v>
      </c>
      <c r="P18" s="42">
        <v>577</v>
      </c>
      <c r="Q18" s="42">
        <v>7993</v>
      </c>
      <c r="R18" s="42">
        <v>219</v>
      </c>
      <c r="S18" s="42">
        <v>5804</v>
      </c>
      <c r="T18" s="42">
        <v>61</v>
      </c>
      <c r="U18" s="42">
        <v>12537</v>
      </c>
      <c r="V18" s="42">
        <v>20</v>
      </c>
      <c r="W18" s="42">
        <v>14513</v>
      </c>
      <c r="X18" s="42">
        <v>13</v>
      </c>
      <c r="Y18" s="42">
        <v>20238</v>
      </c>
      <c r="Z18" s="42">
        <v>14</v>
      </c>
      <c r="AA18" s="42">
        <v>6901</v>
      </c>
      <c r="AB18" s="42">
        <v>14</v>
      </c>
      <c r="AC18" s="42">
        <v>952</v>
      </c>
      <c r="AD18" s="42">
        <v>10</v>
      </c>
      <c r="AE18" s="42">
        <v>163</v>
      </c>
      <c r="AF18" s="42">
        <v>14</v>
      </c>
      <c r="AG18" s="42">
        <v>101</v>
      </c>
      <c r="AH18" s="42">
        <v>8</v>
      </c>
      <c r="AI18" s="42">
        <v>83</v>
      </c>
      <c r="AJ18" s="42">
        <v>6</v>
      </c>
      <c r="AK18" s="42">
        <v>68</v>
      </c>
      <c r="AL18" s="42">
        <v>1</v>
      </c>
      <c r="AM18" s="42">
        <v>40</v>
      </c>
      <c r="AN18" s="42">
        <v>6</v>
      </c>
      <c r="AO18" s="42">
        <v>34</v>
      </c>
      <c r="AP18" s="42">
        <v>4</v>
      </c>
      <c r="AQ18" s="42">
        <v>23</v>
      </c>
      <c r="AR18" s="42">
        <v>2</v>
      </c>
      <c r="AS18" s="42">
        <v>21</v>
      </c>
      <c r="AT18" s="42">
        <v>18</v>
      </c>
      <c r="AU18" s="42">
        <v>164</v>
      </c>
      <c r="AV18" s="42">
        <v>2</v>
      </c>
      <c r="AW18" s="42">
        <v>120</v>
      </c>
    </row>
    <row r="19" spans="1:49" s="42" customFormat="1" ht="10">
      <c r="A19" s="77">
        <v>2003</v>
      </c>
      <c r="B19" s="42">
        <v>0</v>
      </c>
      <c r="C19" s="42">
        <v>0</v>
      </c>
      <c r="D19" s="42">
        <v>0</v>
      </c>
      <c r="E19" s="42">
        <v>0</v>
      </c>
      <c r="F19" s="42">
        <v>0</v>
      </c>
      <c r="G19" s="42">
        <v>0</v>
      </c>
      <c r="H19" s="42">
        <v>17</v>
      </c>
      <c r="I19" s="42">
        <v>184</v>
      </c>
      <c r="J19" s="42">
        <v>48</v>
      </c>
      <c r="K19" s="42">
        <v>1439</v>
      </c>
      <c r="L19" s="42">
        <v>59</v>
      </c>
      <c r="M19" s="42">
        <v>1918</v>
      </c>
      <c r="N19" s="42">
        <v>100</v>
      </c>
      <c r="O19" s="42">
        <v>3467</v>
      </c>
      <c r="P19" s="42">
        <v>172</v>
      </c>
      <c r="Q19" s="42">
        <v>4327</v>
      </c>
      <c r="R19" s="42">
        <v>114</v>
      </c>
      <c r="S19" s="42">
        <v>6316</v>
      </c>
      <c r="T19" s="42">
        <v>21</v>
      </c>
      <c r="U19" s="42">
        <v>7686</v>
      </c>
      <c r="V19" s="42">
        <v>30</v>
      </c>
      <c r="W19" s="42">
        <v>17532</v>
      </c>
      <c r="X19" s="42">
        <v>22</v>
      </c>
      <c r="Y19" s="42">
        <v>12564</v>
      </c>
      <c r="Z19" s="42">
        <v>22</v>
      </c>
      <c r="AA19" s="42">
        <v>4731</v>
      </c>
      <c r="AB19" s="42">
        <v>11</v>
      </c>
      <c r="AC19" s="42">
        <v>1163</v>
      </c>
      <c r="AD19" s="42">
        <v>10</v>
      </c>
      <c r="AE19" s="42">
        <v>665</v>
      </c>
      <c r="AF19" s="42">
        <v>12</v>
      </c>
      <c r="AG19" s="42">
        <v>389</v>
      </c>
      <c r="AH19" s="42">
        <v>14</v>
      </c>
      <c r="AI19" s="42">
        <v>232</v>
      </c>
      <c r="AJ19" s="42">
        <v>12</v>
      </c>
      <c r="AK19" s="42">
        <v>145</v>
      </c>
      <c r="AL19" s="42">
        <v>4</v>
      </c>
      <c r="AM19" s="42">
        <v>89</v>
      </c>
      <c r="AN19" s="42">
        <v>9</v>
      </c>
      <c r="AO19" s="42">
        <v>57</v>
      </c>
      <c r="AP19" s="42">
        <v>5</v>
      </c>
      <c r="AQ19" s="42">
        <v>39</v>
      </c>
      <c r="AR19" s="42">
        <v>1</v>
      </c>
      <c r="AS19" s="42">
        <v>24</v>
      </c>
      <c r="AT19" s="42">
        <v>1</v>
      </c>
      <c r="AU19" s="42">
        <v>21</v>
      </c>
      <c r="AV19" s="42">
        <v>0</v>
      </c>
      <c r="AW19" s="42">
        <v>42</v>
      </c>
    </row>
    <row r="20" spans="1:49" s="42" customFormat="1" ht="10">
      <c r="A20" s="77">
        <v>2004</v>
      </c>
      <c r="B20" s="42">
        <v>0</v>
      </c>
      <c r="C20" s="42">
        <v>0</v>
      </c>
      <c r="D20" s="42">
        <v>0</v>
      </c>
      <c r="E20" s="42">
        <v>0</v>
      </c>
      <c r="F20" s="42">
        <v>0</v>
      </c>
      <c r="G20" s="42">
        <v>0</v>
      </c>
      <c r="H20" s="42">
        <v>0</v>
      </c>
      <c r="I20" s="42">
        <v>0</v>
      </c>
      <c r="J20" s="42">
        <v>22</v>
      </c>
      <c r="K20" s="42">
        <v>242</v>
      </c>
      <c r="L20" s="42">
        <v>65</v>
      </c>
      <c r="M20" s="42">
        <v>1497</v>
      </c>
      <c r="N20" s="42">
        <v>79</v>
      </c>
      <c r="O20" s="42">
        <v>1605</v>
      </c>
      <c r="P20" s="42">
        <v>219</v>
      </c>
      <c r="Q20" s="42">
        <v>4148</v>
      </c>
      <c r="R20" s="42">
        <v>150</v>
      </c>
      <c r="S20" s="42">
        <v>3529</v>
      </c>
      <c r="T20" s="42">
        <v>117</v>
      </c>
      <c r="U20" s="42">
        <v>9723</v>
      </c>
      <c r="V20" s="42">
        <v>120</v>
      </c>
      <c r="W20" s="42">
        <v>11249</v>
      </c>
      <c r="X20" s="42">
        <v>30</v>
      </c>
      <c r="Y20" s="42">
        <v>12819</v>
      </c>
      <c r="Z20" s="42">
        <v>23</v>
      </c>
      <c r="AA20" s="42">
        <v>15394</v>
      </c>
      <c r="AB20" s="42">
        <v>20</v>
      </c>
      <c r="AC20" s="42">
        <v>27249</v>
      </c>
      <c r="AD20" s="42">
        <v>27</v>
      </c>
      <c r="AE20" s="42">
        <v>20105</v>
      </c>
      <c r="AF20" s="42">
        <v>16</v>
      </c>
      <c r="AG20" s="42">
        <v>22115</v>
      </c>
      <c r="AH20" s="42">
        <v>10</v>
      </c>
      <c r="AI20" s="42">
        <v>13607</v>
      </c>
      <c r="AJ20" s="42">
        <v>18</v>
      </c>
      <c r="AK20" s="42">
        <v>11948</v>
      </c>
      <c r="AL20" s="42">
        <v>13</v>
      </c>
      <c r="AM20" s="42">
        <v>5028</v>
      </c>
      <c r="AN20" s="42">
        <v>7</v>
      </c>
      <c r="AO20" s="42">
        <v>1931</v>
      </c>
      <c r="AP20" s="42">
        <v>7</v>
      </c>
      <c r="AQ20" s="42">
        <v>910</v>
      </c>
      <c r="AR20" s="42">
        <v>7</v>
      </c>
      <c r="AS20" s="42">
        <v>452</v>
      </c>
      <c r="AT20" s="42">
        <v>2</v>
      </c>
      <c r="AU20" s="42">
        <v>200</v>
      </c>
      <c r="AV20" s="42">
        <v>1</v>
      </c>
      <c r="AW20" s="42">
        <v>32</v>
      </c>
    </row>
    <row r="21" spans="1:49" s="42" customFormat="1" ht="10">
      <c r="A21" s="77">
        <v>2005</v>
      </c>
      <c r="B21" s="42">
        <v>0</v>
      </c>
      <c r="C21" s="42">
        <v>0</v>
      </c>
      <c r="D21" s="42">
        <v>0</v>
      </c>
      <c r="E21" s="42">
        <v>0</v>
      </c>
      <c r="F21" s="42">
        <v>0</v>
      </c>
      <c r="G21" s="42">
        <v>0</v>
      </c>
      <c r="H21" s="42">
        <v>0</v>
      </c>
      <c r="I21" s="42">
        <v>0</v>
      </c>
      <c r="J21" s="42">
        <v>0</v>
      </c>
      <c r="K21" s="42">
        <v>0</v>
      </c>
      <c r="L21" s="42">
        <v>51</v>
      </c>
      <c r="M21" s="42">
        <v>561</v>
      </c>
      <c r="N21" s="42">
        <v>114</v>
      </c>
      <c r="O21" s="42">
        <v>1706</v>
      </c>
      <c r="P21" s="42">
        <v>196</v>
      </c>
      <c r="Q21" s="42">
        <v>2680</v>
      </c>
      <c r="R21" s="42">
        <v>276</v>
      </c>
      <c r="S21" s="42">
        <v>3360</v>
      </c>
      <c r="T21" s="42">
        <v>272</v>
      </c>
      <c r="U21" s="42">
        <v>2290</v>
      </c>
      <c r="V21" s="42">
        <v>124</v>
      </c>
      <c r="W21" s="42">
        <v>9057</v>
      </c>
      <c r="X21" s="42">
        <v>53</v>
      </c>
      <c r="Y21" s="42">
        <v>7691</v>
      </c>
      <c r="Z21" s="42">
        <v>39</v>
      </c>
      <c r="AA21" s="42">
        <v>21740</v>
      </c>
      <c r="AB21" s="42">
        <v>44</v>
      </c>
      <c r="AC21" s="42">
        <v>21368</v>
      </c>
      <c r="AD21" s="42">
        <v>27</v>
      </c>
      <c r="AE21" s="42">
        <v>40256</v>
      </c>
      <c r="AF21" s="42">
        <v>23</v>
      </c>
      <c r="AG21" s="42">
        <v>24625</v>
      </c>
      <c r="AH21" s="42">
        <v>31</v>
      </c>
      <c r="AI21" s="42">
        <v>35356</v>
      </c>
      <c r="AJ21" s="42">
        <v>27</v>
      </c>
      <c r="AK21" s="42">
        <v>19965</v>
      </c>
      <c r="AL21" s="42">
        <v>14</v>
      </c>
      <c r="AM21" s="42">
        <v>15744</v>
      </c>
      <c r="AN21" s="42">
        <v>10</v>
      </c>
      <c r="AO21" s="42">
        <v>6636</v>
      </c>
      <c r="AP21" s="42">
        <v>11</v>
      </c>
      <c r="AQ21" s="42">
        <v>3310</v>
      </c>
      <c r="AR21" s="42">
        <v>4</v>
      </c>
      <c r="AS21" s="42">
        <v>1613</v>
      </c>
      <c r="AT21" s="42">
        <v>5</v>
      </c>
      <c r="AU21" s="42">
        <v>638</v>
      </c>
      <c r="AV21" s="42">
        <v>2</v>
      </c>
      <c r="AW21" s="42">
        <v>73</v>
      </c>
    </row>
    <row r="22" spans="1:49" s="42" customFormat="1" ht="10">
      <c r="A22" s="77">
        <v>2006</v>
      </c>
      <c r="B22" s="42">
        <v>0</v>
      </c>
      <c r="C22" s="42">
        <v>0</v>
      </c>
      <c r="D22" s="42">
        <v>0</v>
      </c>
      <c r="E22" s="42">
        <v>0</v>
      </c>
      <c r="F22" s="42">
        <v>0</v>
      </c>
      <c r="G22" s="42">
        <v>0</v>
      </c>
      <c r="H22" s="42">
        <v>0</v>
      </c>
      <c r="I22" s="42">
        <v>0</v>
      </c>
      <c r="J22" s="42">
        <v>0</v>
      </c>
      <c r="K22" s="42">
        <v>0</v>
      </c>
      <c r="L22" s="42">
        <v>0</v>
      </c>
      <c r="M22" s="42">
        <v>0</v>
      </c>
      <c r="N22" s="42">
        <v>61</v>
      </c>
      <c r="O22" s="42">
        <v>611</v>
      </c>
      <c r="P22" s="42">
        <v>195</v>
      </c>
      <c r="Q22" s="42">
        <v>2708</v>
      </c>
      <c r="R22" s="42">
        <v>172</v>
      </c>
      <c r="S22" s="42">
        <v>2457</v>
      </c>
      <c r="T22" s="42">
        <v>161</v>
      </c>
      <c r="U22" s="42">
        <v>1714</v>
      </c>
      <c r="V22" s="42">
        <v>113</v>
      </c>
      <c r="W22" s="42">
        <v>1722</v>
      </c>
      <c r="X22" s="42">
        <v>78</v>
      </c>
      <c r="Y22" s="42">
        <v>4375</v>
      </c>
      <c r="Z22" s="42">
        <v>81</v>
      </c>
      <c r="AA22" s="42">
        <v>10263</v>
      </c>
      <c r="AB22" s="42">
        <v>80</v>
      </c>
      <c r="AC22" s="42">
        <v>20862</v>
      </c>
      <c r="AD22" s="42">
        <v>81</v>
      </c>
      <c r="AE22" s="42">
        <v>21324</v>
      </c>
      <c r="AF22" s="42">
        <v>40</v>
      </c>
      <c r="AG22" s="42">
        <v>34982</v>
      </c>
      <c r="AH22" s="42">
        <v>40</v>
      </c>
      <c r="AI22" s="42">
        <v>23790</v>
      </c>
      <c r="AJ22" s="42">
        <v>33</v>
      </c>
      <c r="AK22" s="42">
        <v>33567</v>
      </c>
      <c r="AL22" s="42">
        <v>24</v>
      </c>
      <c r="AM22" s="42">
        <v>17241</v>
      </c>
      <c r="AN22" s="42">
        <v>25</v>
      </c>
      <c r="AO22" s="42">
        <v>13980</v>
      </c>
      <c r="AP22" s="42">
        <v>16</v>
      </c>
      <c r="AQ22" s="42">
        <v>5842</v>
      </c>
      <c r="AR22" s="42">
        <v>15</v>
      </c>
      <c r="AS22" s="42">
        <v>3602</v>
      </c>
      <c r="AT22" s="42">
        <v>4</v>
      </c>
      <c r="AU22" s="42">
        <v>1603</v>
      </c>
      <c r="AV22" s="42">
        <v>3</v>
      </c>
      <c r="AW22" s="42">
        <v>179</v>
      </c>
    </row>
    <row r="23" spans="1:49" s="42" customFormat="1" ht="10">
      <c r="A23" s="77">
        <v>2007</v>
      </c>
      <c r="B23" s="42">
        <v>0</v>
      </c>
      <c r="C23" s="42">
        <v>0</v>
      </c>
      <c r="D23" s="42">
        <v>0</v>
      </c>
      <c r="E23" s="42">
        <v>0</v>
      </c>
      <c r="F23" s="42">
        <v>0</v>
      </c>
      <c r="G23" s="42">
        <v>0</v>
      </c>
      <c r="H23" s="42">
        <v>0</v>
      </c>
      <c r="I23" s="42">
        <v>0</v>
      </c>
      <c r="J23" s="42">
        <v>0</v>
      </c>
      <c r="K23" s="42">
        <v>0</v>
      </c>
      <c r="L23" s="42">
        <v>0</v>
      </c>
      <c r="M23" s="42">
        <v>0</v>
      </c>
      <c r="N23" s="42">
        <v>1</v>
      </c>
      <c r="O23" s="42">
        <v>2</v>
      </c>
      <c r="P23" s="42">
        <v>275</v>
      </c>
      <c r="Q23" s="42">
        <v>663</v>
      </c>
      <c r="R23" s="42">
        <v>207</v>
      </c>
      <c r="S23" s="42">
        <v>2242</v>
      </c>
      <c r="T23" s="42">
        <v>95</v>
      </c>
      <c r="U23" s="42">
        <v>774</v>
      </c>
      <c r="V23" s="42">
        <v>128</v>
      </c>
      <c r="W23" s="42">
        <v>1753</v>
      </c>
      <c r="X23" s="42">
        <v>174</v>
      </c>
      <c r="Y23" s="42">
        <v>1124</v>
      </c>
      <c r="Z23" s="42">
        <v>297</v>
      </c>
      <c r="AA23" s="42">
        <v>7501</v>
      </c>
      <c r="AB23" s="42">
        <v>469</v>
      </c>
      <c r="AC23" s="42">
        <v>11512</v>
      </c>
      <c r="AD23" s="42">
        <v>264</v>
      </c>
      <c r="AE23" s="42">
        <v>21017</v>
      </c>
      <c r="AF23" s="42">
        <v>268</v>
      </c>
      <c r="AG23" s="42">
        <v>19082</v>
      </c>
      <c r="AH23" s="42">
        <v>248</v>
      </c>
      <c r="AI23" s="42">
        <v>31570</v>
      </c>
      <c r="AJ23" s="42">
        <v>196</v>
      </c>
      <c r="AK23" s="42">
        <v>24448</v>
      </c>
      <c r="AL23" s="42">
        <v>138</v>
      </c>
      <c r="AM23" s="42">
        <v>29221</v>
      </c>
      <c r="AN23" s="42">
        <v>97</v>
      </c>
      <c r="AO23" s="42">
        <v>16891</v>
      </c>
      <c r="AP23" s="42">
        <v>58</v>
      </c>
      <c r="AQ23" s="42">
        <v>11509</v>
      </c>
      <c r="AR23" s="42">
        <v>16</v>
      </c>
      <c r="AS23" s="42">
        <v>6176</v>
      </c>
      <c r="AT23" s="42">
        <v>15</v>
      </c>
      <c r="AU23" s="42">
        <v>2845</v>
      </c>
      <c r="AV23" s="42">
        <v>5</v>
      </c>
      <c r="AW23" s="42">
        <v>345</v>
      </c>
    </row>
    <row r="24" spans="1:49" s="42" customFormat="1" ht="10">
      <c r="A24" s="77">
        <v>2008</v>
      </c>
      <c r="B24" s="42">
        <v>0</v>
      </c>
      <c r="C24" s="42">
        <v>0</v>
      </c>
      <c r="D24" s="42">
        <v>0</v>
      </c>
      <c r="E24" s="42">
        <v>0</v>
      </c>
      <c r="F24" s="42">
        <v>0</v>
      </c>
      <c r="G24" s="42">
        <v>0</v>
      </c>
      <c r="H24" s="42">
        <v>0</v>
      </c>
      <c r="I24" s="42">
        <v>0</v>
      </c>
      <c r="J24" s="42">
        <v>0</v>
      </c>
      <c r="K24" s="42">
        <v>0</v>
      </c>
      <c r="L24" s="42">
        <v>0</v>
      </c>
      <c r="M24" s="42">
        <v>0</v>
      </c>
      <c r="N24" s="42">
        <v>0</v>
      </c>
      <c r="O24" s="42">
        <v>0</v>
      </c>
      <c r="P24" s="42">
        <v>0</v>
      </c>
      <c r="Q24" s="42">
        <v>0</v>
      </c>
      <c r="R24" s="42">
        <v>61</v>
      </c>
      <c r="S24" s="42">
        <v>223</v>
      </c>
      <c r="T24" s="42">
        <v>44</v>
      </c>
      <c r="U24" s="42">
        <v>507</v>
      </c>
      <c r="V24" s="42">
        <v>112</v>
      </c>
      <c r="W24" s="42">
        <v>666</v>
      </c>
      <c r="X24" s="42">
        <v>233</v>
      </c>
      <c r="Y24" s="42">
        <v>709</v>
      </c>
      <c r="Z24" s="42">
        <v>547</v>
      </c>
      <c r="AA24" s="42">
        <v>1934</v>
      </c>
      <c r="AB24" s="42">
        <v>1020</v>
      </c>
      <c r="AC24" s="42">
        <v>8462</v>
      </c>
      <c r="AD24" s="42">
        <v>1021</v>
      </c>
      <c r="AE24" s="42">
        <v>11051</v>
      </c>
      <c r="AF24" s="42">
        <v>388</v>
      </c>
      <c r="AG24" s="42">
        <v>15522</v>
      </c>
      <c r="AH24" s="42">
        <v>684</v>
      </c>
      <c r="AI24" s="42">
        <v>13781</v>
      </c>
      <c r="AJ24" s="42">
        <v>743</v>
      </c>
      <c r="AK24" s="42">
        <v>27902</v>
      </c>
      <c r="AL24" s="42">
        <v>580</v>
      </c>
      <c r="AM24" s="42">
        <v>18458</v>
      </c>
      <c r="AN24" s="42">
        <v>347</v>
      </c>
      <c r="AO24" s="42">
        <v>24061</v>
      </c>
      <c r="AP24" s="42">
        <v>227</v>
      </c>
      <c r="AQ24" s="42">
        <v>11126</v>
      </c>
      <c r="AR24" s="42">
        <v>53</v>
      </c>
      <c r="AS24" s="42">
        <v>8703</v>
      </c>
      <c r="AT24" s="42">
        <v>40</v>
      </c>
      <c r="AU24" s="42">
        <v>4020</v>
      </c>
      <c r="AV24" s="42">
        <v>7</v>
      </c>
      <c r="AW24" s="42">
        <v>635</v>
      </c>
    </row>
    <row r="25" spans="1:49" s="42" customFormat="1" ht="10">
      <c r="A25" s="77">
        <v>2009</v>
      </c>
      <c r="B25" s="42">
        <v>0</v>
      </c>
      <c r="C25" s="42">
        <v>0</v>
      </c>
      <c r="D25" s="42">
        <v>0</v>
      </c>
      <c r="E25" s="42">
        <v>0</v>
      </c>
      <c r="F25" s="42">
        <v>0</v>
      </c>
      <c r="G25" s="42">
        <v>0</v>
      </c>
      <c r="H25" s="42">
        <v>0</v>
      </c>
      <c r="I25" s="42">
        <v>0</v>
      </c>
      <c r="J25" s="42">
        <v>0</v>
      </c>
      <c r="K25" s="42">
        <v>0</v>
      </c>
      <c r="L25" s="42">
        <v>0</v>
      </c>
      <c r="M25" s="42">
        <v>0</v>
      </c>
      <c r="N25" s="42">
        <v>0</v>
      </c>
      <c r="O25" s="42">
        <v>0</v>
      </c>
      <c r="P25" s="42">
        <v>0</v>
      </c>
      <c r="Q25" s="42">
        <v>0</v>
      </c>
      <c r="R25" s="42">
        <v>0</v>
      </c>
      <c r="S25" s="42">
        <v>0</v>
      </c>
      <c r="T25" s="42">
        <v>13</v>
      </c>
      <c r="U25" s="42">
        <v>103</v>
      </c>
      <c r="V25" s="42">
        <v>37</v>
      </c>
      <c r="W25" s="42">
        <v>291</v>
      </c>
      <c r="X25" s="42">
        <v>96</v>
      </c>
      <c r="Y25" s="42">
        <v>284</v>
      </c>
      <c r="Z25" s="42">
        <v>382</v>
      </c>
      <c r="AA25" s="42">
        <v>1319</v>
      </c>
      <c r="AB25" s="42">
        <v>557</v>
      </c>
      <c r="AC25" s="42">
        <v>1759</v>
      </c>
      <c r="AD25" s="42">
        <v>675</v>
      </c>
      <c r="AE25" s="42">
        <v>7303</v>
      </c>
      <c r="AF25" s="42">
        <v>494</v>
      </c>
      <c r="AG25" s="42">
        <v>8220</v>
      </c>
      <c r="AH25" s="42">
        <v>211</v>
      </c>
      <c r="AI25" s="42">
        <v>9509</v>
      </c>
      <c r="AJ25" s="42">
        <v>464</v>
      </c>
      <c r="AK25" s="42">
        <v>10536</v>
      </c>
      <c r="AL25" s="42">
        <v>432</v>
      </c>
      <c r="AM25" s="42">
        <v>18917</v>
      </c>
      <c r="AN25" s="42">
        <v>287</v>
      </c>
      <c r="AO25" s="42">
        <v>14896</v>
      </c>
      <c r="AP25" s="42">
        <v>197</v>
      </c>
      <c r="AQ25" s="42">
        <v>13687</v>
      </c>
      <c r="AR25" s="42">
        <v>52</v>
      </c>
      <c r="AS25" s="42">
        <v>8436</v>
      </c>
      <c r="AT25" s="42">
        <v>45</v>
      </c>
      <c r="AU25" s="42">
        <v>5548</v>
      </c>
      <c r="AV25" s="42">
        <v>15</v>
      </c>
      <c r="AW25" s="42">
        <v>2191</v>
      </c>
    </row>
    <row r="26" spans="1:49" s="42" customFormat="1" ht="10">
      <c r="A26" s="77">
        <v>2010</v>
      </c>
      <c r="B26" s="42">
        <v>0</v>
      </c>
      <c r="C26" s="42">
        <v>0</v>
      </c>
      <c r="D26" s="42">
        <v>0</v>
      </c>
      <c r="E26" s="42">
        <v>0</v>
      </c>
      <c r="F26" s="42">
        <v>0</v>
      </c>
      <c r="G26" s="42">
        <v>0</v>
      </c>
      <c r="H26" s="42">
        <v>0</v>
      </c>
      <c r="I26" s="42">
        <v>0</v>
      </c>
      <c r="J26" s="42">
        <v>0</v>
      </c>
      <c r="K26" s="42">
        <v>0</v>
      </c>
      <c r="L26" s="42">
        <v>0</v>
      </c>
      <c r="M26" s="42">
        <v>0</v>
      </c>
      <c r="N26" s="42">
        <v>0</v>
      </c>
      <c r="O26" s="42">
        <v>0</v>
      </c>
      <c r="P26" s="42">
        <v>0</v>
      </c>
      <c r="Q26" s="42">
        <v>0</v>
      </c>
      <c r="R26" s="42">
        <v>0</v>
      </c>
      <c r="S26" s="42">
        <v>0</v>
      </c>
      <c r="T26" s="42">
        <v>0</v>
      </c>
      <c r="U26" s="42">
        <v>0</v>
      </c>
      <c r="V26" s="42">
        <v>29</v>
      </c>
      <c r="W26" s="42">
        <v>88</v>
      </c>
      <c r="X26" s="42">
        <v>121</v>
      </c>
      <c r="Y26" s="42">
        <v>285</v>
      </c>
      <c r="Z26" s="42">
        <v>241</v>
      </c>
      <c r="AA26" s="42">
        <v>615</v>
      </c>
      <c r="AB26" s="42">
        <v>501</v>
      </c>
      <c r="AC26" s="42">
        <v>1940</v>
      </c>
      <c r="AD26" s="42">
        <v>514</v>
      </c>
      <c r="AE26" s="42">
        <v>2518</v>
      </c>
      <c r="AF26" s="42">
        <v>713</v>
      </c>
      <c r="AG26" s="42">
        <v>8247</v>
      </c>
      <c r="AH26" s="42">
        <v>631</v>
      </c>
      <c r="AI26" s="42">
        <v>7396</v>
      </c>
      <c r="AJ26" s="42">
        <v>326</v>
      </c>
      <c r="AK26" s="42">
        <v>9807</v>
      </c>
      <c r="AL26" s="42">
        <v>355</v>
      </c>
      <c r="AM26" s="42">
        <v>10257</v>
      </c>
      <c r="AN26" s="42">
        <v>392</v>
      </c>
      <c r="AO26" s="42">
        <v>20635</v>
      </c>
      <c r="AP26" s="42">
        <v>205</v>
      </c>
      <c r="AQ26" s="42">
        <v>12239</v>
      </c>
      <c r="AR26" s="42">
        <v>105</v>
      </c>
      <c r="AS26" s="42">
        <v>13574</v>
      </c>
      <c r="AT26" s="42">
        <v>63</v>
      </c>
      <c r="AU26" s="42">
        <v>8041</v>
      </c>
      <c r="AV26" s="42">
        <v>15</v>
      </c>
      <c r="AW26" s="42">
        <v>5697</v>
      </c>
    </row>
    <row r="27" spans="1:49" s="42" customFormat="1" ht="10">
      <c r="A27" s="77">
        <v>2011</v>
      </c>
      <c r="B27" s="42">
        <v>0</v>
      </c>
      <c r="C27" s="42">
        <v>0</v>
      </c>
      <c r="D27" s="42">
        <v>0</v>
      </c>
      <c r="E27" s="42">
        <v>0</v>
      </c>
      <c r="F27" s="42">
        <v>0</v>
      </c>
      <c r="G27" s="42">
        <v>0</v>
      </c>
      <c r="H27" s="42">
        <v>0</v>
      </c>
      <c r="I27" s="42">
        <v>0</v>
      </c>
      <c r="J27" s="42">
        <v>0</v>
      </c>
      <c r="K27" s="42">
        <v>0</v>
      </c>
      <c r="L27" s="42">
        <v>0</v>
      </c>
      <c r="M27" s="42">
        <v>0</v>
      </c>
      <c r="N27" s="42">
        <v>0</v>
      </c>
      <c r="O27" s="42">
        <v>0</v>
      </c>
      <c r="P27" s="42">
        <v>0</v>
      </c>
      <c r="Q27" s="42">
        <v>0</v>
      </c>
      <c r="R27" s="42">
        <v>0</v>
      </c>
      <c r="S27" s="42">
        <v>0</v>
      </c>
      <c r="T27" s="42">
        <v>0</v>
      </c>
      <c r="U27" s="42">
        <v>0</v>
      </c>
      <c r="V27" s="42">
        <v>0</v>
      </c>
      <c r="W27" s="42">
        <v>8</v>
      </c>
      <c r="X27" s="42">
        <v>89</v>
      </c>
      <c r="Y27" s="42">
        <v>106</v>
      </c>
      <c r="Z27" s="42">
        <v>269</v>
      </c>
      <c r="AA27" s="42">
        <v>341</v>
      </c>
      <c r="AB27" s="42">
        <v>346</v>
      </c>
      <c r="AC27" s="42">
        <v>953</v>
      </c>
      <c r="AD27" s="42">
        <v>464</v>
      </c>
      <c r="AE27" s="42">
        <v>2251</v>
      </c>
      <c r="AF27" s="42">
        <v>437</v>
      </c>
      <c r="AG27" s="42">
        <v>3516</v>
      </c>
      <c r="AH27" s="42">
        <v>691</v>
      </c>
      <c r="AI27" s="42">
        <v>6890</v>
      </c>
      <c r="AJ27" s="42">
        <v>864</v>
      </c>
      <c r="AK27" s="42">
        <v>8081</v>
      </c>
      <c r="AL27" s="42">
        <v>301</v>
      </c>
      <c r="AM27" s="42">
        <v>7636</v>
      </c>
      <c r="AN27" s="42">
        <v>333</v>
      </c>
      <c r="AO27" s="42">
        <v>8128</v>
      </c>
      <c r="AP27" s="42">
        <v>281</v>
      </c>
      <c r="AQ27" s="42">
        <v>11730</v>
      </c>
      <c r="AR27" s="42">
        <v>116</v>
      </c>
      <c r="AS27" s="42">
        <v>9937</v>
      </c>
      <c r="AT27" s="42">
        <v>53</v>
      </c>
      <c r="AU27" s="42">
        <v>9420</v>
      </c>
      <c r="AV27" s="42">
        <v>17</v>
      </c>
      <c r="AW27" s="42">
        <v>5674</v>
      </c>
    </row>
    <row r="28" spans="1:49" s="42" customFormat="1" ht="10">
      <c r="A28" s="77">
        <v>2012</v>
      </c>
      <c r="B28" s="42">
        <v>0</v>
      </c>
      <c r="C28" s="42">
        <v>0</v>
      </c>
      <c r="D28" s="42">
        <v>0</v>
      </c>
      <c r="E28" s="42">
        <v>0</v>
      </c>
      <c r="F28" s="42">
        <v>0</v>
      </c>
      <c r="G28" s="42">
        <v>0</v>
      </c>
      <c r="H28" s="42">
        <v>0</v>
      </c>
      <c r="I28" s="42">
        <v>0</v>
      </c>
      <c r="J28" s="42">
        <v>0</v>
      </c>
      <c r="K28" s="42">
        <v>0</v>
      </c>
      <c r="L28" s="42">
        <v>0</v>
      </c>
      <c r="M28" s="42">
        <v>0</v>
      </c>
      <c r="N28" s="42">
        <v>0</v>
      </c>
      <c r="O28" s="42">
        <v>0</v>
      </c>
      <c r="P28" s="42">
        <v>0</v>
      </c>
      <c r="Q28" s="42">
        <v>0</v>
      </c>
      <c r="R28" s="42">
        <v>0</v>
      </c>
      <c r="S28" s="42">
        <v>0</v>
      </c>
      <c r="T28" s="42">
        <v>0</v>
      </c>
      <c r="U28" s="42">
        <v>0</v>
      </c>
      <c r="V28" s="42">
        <v>0</v>
      </c>
      <c r="W28" s="42">
        <v>0</v>
      </c>
      <c r="X28" s="42">
        <v>0</v>
      </c>
      <c r="Y28" s="42">
        <v>2</v>
      </c>
      <c r="Z28" s="42">
        <v>184</v>
      </c>
      <c r="AA28" s="42">
        <v>199</v>
      </c>
      <c r="AB28" s="42">
        <v>523</v>
      </c>
      <c r="AC28" s="42">
        <v>671</v>
      </c>
      <c r="AD28" s="42">
        <v>407</v>
      </c>
      <c r="AE28" s="42">
        <v>1527</v>
      </c>
      <c r="AF28" s="42">
        <v>402</v>
      </c>
      <c r="AG28" s="42">
        <v>3448</v>
      </c>
      <c r="AH28" s="42">
        <v>576</v>
      </c>
      <c r="AI28" s="42">
        <v>2468</v>
      </c>
      <c r="AJ28" s="42">
        <v>1429</v>
      </c>
      <c r="AK28" s="42">
        <v>8764</v>
      </c>
      <c r="AL28" s="42">
        <v>1133</v>
      </c>
      <c r="AM28" s="42">
        <v>8100</v>
      </c>
      <c r="AN28" s="42">
        <v>740</v>
      </c>
      <c r="AO28" s="42">
        <v>8697</v>
      </c>
      <c r="AP28" s="42">
        <v>707</v>
      </c>
      <c r="AQ28" s="42">
        <v>8831</v>
      </c>
      <c r="AR28" s="42">
        <v>813</v>
      </c>
      <c r="AS28" s="42">
        <v>16480</v>
      </c>
      <c r="AT28" s="42">
        <v>499</v>
      </c>
      <c r="AU28" s="42">
        <v>13769</v>
      </c>
      <c r="AV28" s="42">
        <v>146</v>
      </c>
      <c r="AW28" s="42">
        <v>17161</v>
      </c>
    </row>
    <row r="29" spans="1:49" s="42" customFormat="1" ht="10">
      <c r="A29" s="77">
        <v>2013</v>
      </c>
      <c r="B29" s="42">
        <v>0</v>
      </c>
      <c r="C29" s="42">
        <v>0</v>
      </c>
      <c r="D29" s="42">
        <v>0</v>
      </c>
      <c r="E29" s="42">
        <v>0</v>
      </c>
      <c r="F29" s="42">
        <v>0</v>
      </c>
      <c r="G29" s="42">
        <v>0</v>
      </c>
      <c r="H29" s="42">
        <v>0</v>
      </c>
      <c r="I29" s="42">
        <v>0</v>
      </c>
      <c r="J29" s="42">
        <v>0</v>
      </c>
      <c r="K29" s="42">
        <v>0</v>
      </c>
      <c r="L29" s="42">
        <v>0</v>
      </c>
      <c r="M29" s="42">
        <v>0</v>
      </c>
      <c r="N29" s="42">
        <v>0</v>
      </c>
      <c r="O29" s="42">
        <v>0</v>
      </c>
      <c r="P29" s="42">
        <v>0</v>
      </c>
      <c r="Q29" s="42">
        <v>0</v>
      </c>
      <c r="R29" s="42">
        <v>0</v>
      </c>
      <c r="S29" s="42">
        <v>0</v>
      </c>
      <c r="T29" s="42">
        <v>0</v>
      </c>
      <c r="U29" s="42">
        <v>0</v>
      </c>
      <c r="V29" s="42">
        <v>0</v>
      </c>
      <c r="W29" s="42">
        <v>0</v>
      </c>
      <c r="X29" s="42">
        <v>0</v>
      </c>
      <c r="Y29" s="42">
        <v>0</v>
      </c>
      <c r="Z29" s="42">
        <v>0</v>
      </c>
      <c r="AA29" s="42">
        <v>9</v>
      </c>
      <c r="AB29" s="42">
        <v>294</v>
      </c>
      <c r="AC29" s="42">
        <v>345</v>
      </c>
      <c r="AD29" s="42">
        <v>515</v>
      </c>
      <c r="AE29" s="42">
        <v>1097</v>
      </c>
      <c r="AF29" s="42">
        <v>403</v>
      </c>
      <c r="AG29" s="42">
        <v>1912</v>
      </c>
      <c r="AH29" s="42">
        <v>568</v>
      </c>
      <c r="AI29" s="42">
        <v>2257</v>
      </c>
      <c r="AJ29" s="42">
        <v>816</v>
      </c>
      <c r="AK29" s="42">
        <v>2886</v>
      </c>
      <c r="AL29" s="42">
        <v>1335</v>
      </c>
      <c r="AM29" s="42">
        <v>7835</v>
      </c>
      <c r="AN29" s="42">
        <v>1234</v>
      </c>
      <c r="AO29" s="42">
        <v>8598</v>
      </c>
      <c r="AP29" s="42">
        <v>812</v>
      </c>
      <c r="AQ29" s="42">
        <v>8241</v>
      </c>
      <c r="AR29" s="42">
        <v>797</v>
      </c>
      <c r="AS29" s="42">
        <v>10677</v>
      </c>
      <c r="AT29" s="42">
        <v>702</v>
      </c>
      <c r="AU29" s="42">
        <v>16137</v>
      </c>
      <c r="AV29" s="42">
        <v>260</v>
      </c>
      <c r="AW29" s="42">
        <v>15085</v>
      </c>
    </row>
    <row r="30" spans="1:49" s="42" customFormat="1" ht="10">
      <c r="A30" s="77">
        <v>2014</v>
      </c>
      <c r="B30" s="42">
        <v>0</v>
      </c>
      <c r="C30" s="42">
        <v>0</v>
      </c>
      <c r="D30" s="42">
        <v>0</v>
      </c>
      <c r="E30" s="42">
        <v>0</v>
      </c>
      <c r="F30" s="42">
        <v>0</v>
      </c>
      <c r="G30" s="42">
        <v>0</v>
      </c>
      <c r="H30" s="42">
        <v>0</v>
      </c>
      <c r="I30" s="42">
        <v>0</v>
      </c>
      <c r="J30" s="42">
        <v>0</v>
      </c>
      <c r="K30" s="42">
        <v>0</v>
      </c>
      <c r="L30" s="42">
        <v>0</v>
      </c>
      <c r="M30" s="42">
        <v>0</v>
      </c>
      <c r="N30" s="42">
        <v>0</v>
      </c>
      <c r="O30" s="42">
        <v>0</v>
      </c>
      <c r="P30" s="42">
        <v>0</v>
      </c>
      <c r="Q30" s="42">
        <v>0</v>
      </c>
      <c r="R30" s="42">
        <v>0</v>
      </c>
      <c r="S30" s="42">
        <v>0</v>
      </c>
      <c r="T30" s="42">
        <v>0</v>
      </c>
      <c r="U30" s="42">
        <v>0</v>
      </c>
      <c r="V30" s="42">
        <v>0</v>
      </c>
      <c r="W30" s="42">
        <v>0</v>
      </c>
      <c r="X30" s="42">
        <v>0</v>
      </c>
      <c r="Y30" s="42">
        <v>0</v>
      </c>
      <c r="Z30" s="42">
        <v>0</v>
      </c>
      <c r="AA30" s="42">
        <v>0</v>
      </c>
      <c r="AB30" s="42">
        <v>4</v>
      </c>
      <c r="AC30" s="42">
        <v>6</v>
      </c>
      <c r="AD30" s="42">
        <v>291</v>
      </c>
      <c r="AE30" s="42">
        <v>336</v>
      </c>
      <c r="AF30" s="42">
        <v>416</v>
      </c>
      <c r="AG30" s="42">
        <v>1314</v>
      </c>
      <c r="AH30" s="42">
        <v>513</v>
      </c>
      <c r="AI30" s="42">
        <v>1558</v>
      </c>
      <c r="AJ30" s="42">
        <v>636</v>
      </c>
      <c r="AK30" s="42">
        <v>2595</v>
      </c>
      <c r="AL30" s="42">
        <v>579</v>
      </c>
      <c r="AM30" s="42">
        <v>2906</v>
      </c>
      <c r="AN30" s="42">
        <v>1034</v>
      </c>
      <c r="AO30" s="42">
        <v>8823</v>
      </c>
      <c r="AP30" s="42">
        <v>1168</v>
      </c>
      <c r="AQ30" s="42">
        <v>9352</v>
      </c>
      <c r="AR30" s="42">
        <v>705</v>
      </c>
      <c r="AS30" s="42">
        <v>10714</v>
      </c>
      <c r="AT30" s="42">
        <v>442</v>
      </c>
      <c r="AU30" s="42">
        <v>11349</v>
      </c>
      <c r="AV30" s="42">
        <v>242</v>
      </c>
      <c r="AW30" s="42">
        <v>19378</v>
      </c>
    </row>
    <row r="31" spans="1:49" s="42" customFormat="1" ht="10">
      <c r="A31" s="77">
        <v>2015</v>
      </c>
      <c r="B31" s="42">
        <v>0</v>
      </c>
      <c r="C31" s="42">
        <v>0</v>
      </c>
      <c r="D31" s="42">
        <v>0</v>
      </c>
      <c r="E31" s="42">
        <v>0</v>
      </c>
      <c r="F31" s="42">
        <v>0</v>
      </c>
      <c r="G31" s="42">
        <v>0</v>
      </c>
      <c r="H31" s="42">
        <v>0</v>
      </c>
      <c r="I31" s="42">
        <v>0</v>
      </c>
      <c r="J31" s="42">
        <v>0</v>
      </c>
      <c r="K31" s="42">
        <v>0</v>
      </c>
      <c r="L31" s="42">
        <v>0</v>
      </c>
      <c r="M31" s="42">
        <v>0</v>
      </c>
      <c r="N31" s="42">
        <v>0</v>
      </c>
      <c r="O31" s="42">
        <v>0</v>
      </c>
      <c r="P31" s="42">
        <v>0</v>
      </c>
      <c r="Q31" s="42">
        <v>0</v>
      </c>
      <c r="R31" s="42">
        <v>0</v>
      </c>
      <c r="S31" s="42">
        <v>0</v>
      </c>
      <c r="T31" s="42">
        <v>0</v>
      </c>
      <c r="U31" s="42">
        <v>0</v>
      </c>
      <c r="V31" s="42">
        <v>0</v>
      </c>
      <c r="W31" s="42">
        <v>0</v>
      </c>
      <c r="X31" s="42">
        <v>0</v>
      </c>
      <c r="Y31" s="42">
        <v>0</v>
      </c>
      <c r="Z31" s="42">
        <v>0</v>
      </c>
      <c r="AA31" s="42">
        <v>0</v>
      </c>
      <c r="AB31" s="42">
        <v>0</v>
      </c>
      <c r="AC31" s="42">
        <v>1</v>
      </c>
      <c r="AD31" s="42">
        <v>0</v>
      </c>
      <c r="AE31" s="42">
        <v>1</v>
      </c>
      <c r="AF31" s="42">
        <v>278</v>
      </c>
      <c r="AG31" s="42">
        <v>342</v>
      </c>
      <c r="AH31" s="42">
        <v>478</v>
      </c>
      <c r="AI31" s="42">
        <v>1201</v>
      </c>
      <c r="AJ31" s="42">
        <v>575</v>
      </c>
      <c r="AK31" s="42">
        <v>1948</v>
      </c>
      <c r="AL31" s="42">
        <v>476</v>
      </c>
      <c r="AM31" s="42">
        <v>2276</v>
      </c>
      <c r="AN31" s="42">
        <v>475</v>
      </c>
      <c r="AO31" s="42">
        <v>2110</v>
      </c>
      <c r="AP31" s="42">
        <v>848</v>
      </c>
      <c r="AQ31" s="42">
        <v>8623</v>
      </c>
      <c r="AR31" s="42">
        <v>772</v>
      </c>
      <c r="AS31" s="42">
        <v>10396</v>
      </c>
      <c r="AT31" s="42">
        <v>464</v>
      </c>
      <c r="AU31" s="42">
        <v>8204</v>
      </c>
      <c r="AV31" s="42">
        <v>219</v>
      </c>
      <c r="AW31" s="42">
        <v>11056</v>
      </c>
    </row>
    <row r="32" spans="1:49" s="42" customFormat="1" ht="10">
      <c r="A32" s="77">
        <v>2016</v>
      </c>
      <c r="B32" s="42">
        <v>0</v>
      </c>
      <c r="C32" s="42">
        <v>0</v>
      </c>
      <c r="D32" s="42">
        <v>0</v>
      </c>
      <c r="E32" s="42">
        <v>0</v>
      </c>
      <c r="F32" s="42">
        <v>0</v>
      </c>
      <c r="G32" s="42">
        <v>0</v>
      </c>
      <c r="H32" s="42">
        <v>0</v>
      </c>
      <c r="I32" s="42">
        <v>0</v>
      </c>
      <c r="J32" s="42">
        <v>0</v>
      </c>
      <c r="K32" s="42">
        <v>0</v>
      </c>
      <c r="L32" s="42">
        <v>0</v>
      </c>
      <c r="M32" s="42">
        <v>0</v>
      </c>
      <c r="N32" s="42">
        <v>0</v>
      </c>
      <c r="O32" s="42">
        <v>0</v>
      </c>
      <c r="P32" s="42">
        <v>0</v>
      </c>
      <c r="Q32" s="42">
        <v>0</v>
      </c>
      <c r="R32" s="42">
        <v>0</v>
      </c>
      <c r="S32" s="42">
        <v>0</v>
      </c>
      <c r="T32" s="42">
        <v>0</v>
      </c>
      <c r="U32" s="42">
        <v>0</v>
      </c>
      <c r="V32" s="42">
        <v>0</v>
      </c>
      <c r="W32" s="42">
        <v>0</v>
      </c>
      <c r="X32" s="42">
        <v>0</v>
      </c>
      <c r="Y32" s="42">
        <v>0</v>
      </c>
      <c r="Z32" s="42">
        <v>0</v>
      </c>
      <c r="AA32" s="42">
        <v>0</v>
      </c>
      <c r="AB32" s="42">
        <v>0</v>
      </c>
      <c r="AC32" s="42">
        <v>0</v>
      </c>
      <c r="AD32" s="42">
        <v>0</v>
      </c>
      <c r="AE32" s="42">
        <v>0</v>
      </c>
      <c r="AF32" s="42">
        <v>0</v>
      </c>
      <c r="AG32" s="42">
        <v>1</v>
      </c>
      <c r="AH32" s="42">
        <v>351</v>
      </c>
      <c r="AI32" s="42">
        <v>341</v>
      </c>
      <c r="AJ32" s="42">
        <v>670</v>
      </c>
      <c r="AK32" s="42">
        <v>1500</v>
      </c>
      <c r="AL32" s="42">
        <v>404</v>
      </c>
      <c r="AM32" s="42">
        <v>1620</v>
      </c>
      <c r="AN32" s="42">
        <v>377</v>
      </c>
      <c r="AO32" s="42">
        <v>1901</v>
      </c>
      <c r="AP32" s="42">
        <v>411</v>
      </c>
      <c r="AQ32" s="42">
        <v>1865</v>
      </c>
      <c r="AR32" s="42">
        <v>736</v>
      </c>
      <c r="AS32" s="42">
        <v>8017</v>
      </c>
      <c r="AT32" s="42">
        <v>664</v>
      </c>
      <c r="AU32" s="42">
        <v>8770</v>
      </c>
      <c r="AV32" s="42">
        <v>198</v>
      </c>
      <c r="AW32" s="42">
        <v>8439</v>
      </c>
    </row>
    <row r="33" spans="1:49" s="42" customFormat="1" ht="10">
      <c r="A33" s="77">
        <v>2017</v>
      </c>
      <c r="B33" s="42">
        <v>0</v>
      </c>
      <c r="C33" s="42">
        <v>0</v>
      </c>
      <c r="D33" s="42">
        <v>0</v>
      </c>
      <c r="E33" s="42">
        <v>0</v>
      </c>
      <c r="F33" s="42">
        <v>0</v>
      </c>
      <c r="G33" s="42">
        <v>0</v>
      </c>
      <c r="H33" s="42">
        <v>0</v>
      </c>
      <c r="I33" s="42">
        <v>0</v>
      </c>
      <c r="J33" s="42">
        <v>0</v>
      </c>
      <c r="K33" s="42">
        <v>0</v>
      </c>
      <c r="L33" s="42">
        <v>0</v>
      </c>
      <c r="M33" s="42">
        <v>0</v>
      </c>
      <c r="N33" s="42">
        <v>0</v>
      </c>
      <c r="O33" s="42">
        <v>0</v>
      </c>
      <c r="P33" s="42">
        <v>0</v>
      </c>
      <c r="Q33" s="42">
        <v>0</v>
      </c>
      <c r="R33" s="42">
        <v>0</v>
      </c>
      <c r="S33" s="42">
        <v>0</v>
      </c>
      <c r="T33" s="42">
        <v>0</v>
      </c>
      <c r="U33" s="42">
        <v>0</v>
      </c>
      <c r="V33" s="42">
        <v>0</v>
      </c>
      <c r="W33" s="42">
        <v>0</v>
      </c>
      <c r="X33" s="42">
        <v>0</v>
      </c>
      <c r="Y33" s="42">
        <v>0</v>
      </c>
      <c r="Z33" s="42">
        <v>0</v>
      </c>
      <c r="AA33" s="42">
        <v>0</v>
      </c>
      <c r="AB33" s="42">
        <v>0</v>
      </c>
      <c r="AC33" s="42">
        <v>0</v>
      </c>
      <c r="AD33" s="42">
        <v>0</v>
      </c>
      <c r="AE33" s="42">
        <v>0</v>
      </c>
      <c r="AF33" s="42">
        <v>0</v>
      </c>
      <c r="AG33" s="42">
        <v>0</v>
      </c>
      <c r="AH33" s="42">
        <v>0</v>
      </c>
      <c r="AI33" s="42">
        <v>0</v>
      </c>
      <c r="AJ33" s="42">
        <v>501</v>
      </c>
      <c r="AK33" s="42">
        <v>490</v>
      </c>
      <c r="AL33" s="42">
        <v>521</v>
      </c>
      <c r="AM33" s="42">
        <v>986</v>
      </c>
      <c r="AN33" s="42">
        <v>349</v>
      </c>
      <c r="AO33" s="42">
        <v>1282</v>
      </c>
      <c r="AP33" s="42">
        <v>348</v>
      </c>
      <c r="AQ33" s="42">
        <v>1869</v>
      </c>
      <c r="AR33" s="42">
        <v>487</v>
      </c>
      <c r="AS33" s="42">
        <v>2582</v>
      </c>
      <c r="AT33" s="42">
        <v>430</v>
      </c>
      <c r="AU33" s="42">
        <v>9354</v>
      </c>
      <c r="AV33" s="42">
        <v>379</v>
      </c>
      <c r="AW33" s="42">
        <v>12315</v>
      </c>
    </row>
    <row r="34" spans="1:49" s="42" customFormat="1" ht="10">
      <c r="A34" s="77">
        <v>2018</v>
      </c>
      <c r="B34" s="42">
        <v>0</v>
      </c>
      <c r="C34" s="42">
        <v>0</v>
      </c>
      <c r="D34" s="42">
        <v>0</v>
      </c>
      <c r="E34" s="42">
        <v>0</v>
      </c>
      <c r="F34" s="42">
        <v>0</v>
      </c>
      <c r="G34" s="42">
        <v>0</v>
      </c>
      <c r="H34" s="42">
        <v>0</v>
      </c>
      <c r="I34" s="42">
        <v>0</v>
      </c>
      <c r="J34" s="42">
        <v>0</v>
      </c>
      <c r="K34" s="42">
        <v>0</v>
      </c>
      <c r="L34" s="42">
        <v>0</v>
      </c>
      <c r="M34" s="42">
        <v>0</v>
      </c>
      <c r="N34" s="42">
        <v>0</v>
      </c>
      <c r="O34" s="42">
        <v>0</v>
      </c>
      <c r="P34" s="42">
        <v>0</v>
      </c>
      <c r="Q34" s="42">
        <v>0</v>
      </c>
      <c r="R34" s="42">
        <v>0</v>
      </c>
      <c r="S34" s="42">
        <v>0</v>
      </c>
      <c r="T34" s="42">
        <v>0</v>
      </c>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225</v>
      </c>
      <c r="AM34" s="42">
        <v>341</v>
      </c>
      <c r="AN34" s="42">
        <v>397</v>
      </c>
      <c r="AO34" s="42">
        <v>835</v>
      </c>
      <c r="AP34" s="42">
        <v>288</v>
      </c>
      <c r="AQ34" s="42">
        <v>1183</v>
      </c>
      <c r="AR34" s="42">
        <v>735</v>
      </c>
      <c r="AS34" s="42">
        <v>2528</v>
      </c>
      <c r="AT34" s="42">
        <v>724</v>
      </c>
      <c r="AU34" s="42">
        <v>2836</v>
      </c>
      <c r="AV34" s="42">
        <v>733</v>
      </c>
      <c r="AW34" s="42">
        <v>10073</v>
      </c>
    </row>
    <row r="35" spans="1:49" s="42" customFormat="1" ht="10">
      <c r="A35" s="77">
        <v>2019</v>
      </c>
      <c r="B35" s="42">
        <v>0</v>
      </c>
      <c r="C35" s="42">
        <v>0</v>
      </c>
      <c r="D35" s="42">
        <v>0</v>
      </c>
      <c r="E35" s="42">
        <v>0</v>
      </c>
      <c r="F35" s="42">
        <v>0</v>
      </c>
      <c r="G35" s="42">
        <v>0</v>
      </c>
      <c r="H35" s="42">
        <v>0</v>
      </c>
      <c r="I35" s="42">
        <v>0</v>
      </c>
      <c r="J35" s="42">
        <v>0</v>
      </c>
      <c r="K35" s="42">
        <v>0</v>
      </c>
      <c r="L35" s="42">
        <v>0</v>
      </c>
      <c r="M35" s="42">
        <v>0</v>
      </c>
      <c r="N35" s="42">
        <v>0</v>
      </c>
      <c r="O35" s="42">
        <v>0</v>
      </c>
      <c r="P35" s="42">
        <v>0</v>
      </c>
      <c r="Q35" s="42">
        <v>0</v>
      </c>
      <c r="R35" s="42">
        <v>0</v>
      </c>
      <c r="S35" s="42">
        <v>0</v>
      </c>
      <c r="T35" s="42">
        <v>0</v>
      </c>
      <c r="U35" s="42">
        <v>0</v>
      </c>
      <c r="V35" s="42">
        <v>0</v>
      </c>
      <c r="W35" s="42">
        <v>0</v>
      </c>
      <c r="X35" s="42">
        <v>0</v>
      </c>
      <c r="Y35" s="42">
        <v>0</v>
      </c>
      <c r="Z35" s="42">
        <v>0</v>
      </c>
      <c r="AA35" s="42">
        <v>0</v>
      </c>
      <c r="AB35" s="42">
        <v>0</v>
      </c>
      <c r="AC35" s="42">
        <v>0</v>
      </c>
      <c r="AD35" s="42">
        <v>0</v>
      </c>
      <c r="AE35" s="42">
        <v>0</v>
      </c>
      <c r="AF35" s="42">
        <v>0</v>
      </c>
      <c r="AG35" s="42">
        <v>0</v>
      </c>
      <c r="AH35" s="42">
        <v>0</v>
      </c>
      <c r="AI35" s="42">
        <v>0</v>
      </c>
      <c r="AJ35" s="42">
        <v>0</v>
      </c>
      <c r="AK35" s="42">
        <v>0</v>
      </c>
      <c r="AL35" s="42">
        <v>0</v>
      </c>
      <c r="AM35" s="42">
        <v>0</v>
      </c>
      <c r="AN35" s="42">
        <v>258</v>
      </c>
      <c r="AO35" s="42">
        <v>206</v>
      </c>
      <c r="AP35" s="42">
        <v>252</v>
      </c>
      <c r="AQ35" s="42">
        <v>584</v>
      </c>
      <c r="AR35" s="42">
        <v>444</v>
      </c>
      <c r="AS35" s="42">
        <v>1285</v>
      </c>
      <c r="AT35" s="42">
        <v>540</v>
      </c>
      <c r="AU35" s="42">
        <v>2097</v>
      </c>
      <c r="AV35" s="42">
        <v>360</v>
      </c>
      <c r="AW35" s="42">
        <v>2730</v>
      </c>
    </row>
    <row r="36" spans="1:49" s="42" customFormat="1" ht="10">
      <c r="A36" s="77">
        <v>2020</v>
      </c>
      <c r="B36" s="42">
        <v>0</v>
      </c>
      <c r="C36" s="42">
        <v>0</v>
      </c>
      <c r="D36" s="42">
        <v>0</v>
      </c>
      <c r="E36" s="42">
        <v>0</v>
      </c>
      <c r="F36" s="42">
        <v>0</v>
      </c>
      <c r="G36" s="42">
        <v>0</v>
      </c>
      <c r="H36" s="42">
        <v>0</v>
      </c>
      <c r="I36" s="42">
        <v>0</v>
      </c>
      <c r="J36" s="42">
        <v>0</v>
      </c>
      <c r="K36" s="42">
        <v>0</v>
      </c>
      <c r="L36" s="42">
        <v>0</v>
      </c>
      <c r="M36" s="42">
        <v>0</v>
      </c>
      <c r="N36" s="42">
        <v>0</v>
      </c>
      <c r="O36" s="42">
        <v>0</v>
      </c>
      <c r="P36" s="42">
        <v>0</v>
      </c>
      <c r="Q36" s="42">
        <v>0</v>
      </c>
      <c r="R36" s="42">
        <v>0</v>
      </c>
      <c r="S36" s="42">
        <v>0</v>
      </c>
      <c r="T36" s="42">
        <v>0</v>
      </c>
      <c r="U36" s="42">
        <v>0</v>
      </c>
      <c r="V36" s="42">
        <v>0</v>
      </c>
      <c r="W36" s="42">
        <v>0</v>
      </c>
      <c r="X36" s="42">
        <v>0</v>
      </c>
      <c r="Y36" s="42">
        <v>0</v>
      </c>
      <c r="Z36" s="42">
        <v>0</v>
      </c>
      <c r="AA36" s="42">
        <v>0</v>
      </c>
      <c r="AB36" s="42">
        <v>0</v>
      </c>
      <c r="AC36" s="42">
        <v>0</v>
      </c>
      <c r="AD36" s="42">
        <v>0</v>
      </c>
      <c r="AE36" s="42">
        <v>0</v>
      </c>
      <c r="AF36" s="42">
        <v>0</v>
      </c>
      <c r="AG36" s="42">
        <v>0</v>
      </c>
      <c r="AH36" s="42">
        <v>0</v>
      </c>
      <c r="AI36" s="42">
        <v>0</v>
      </c>
      <c r="AJ36" s="42">
        <v>0</v>
      </c>
      <c r="AK36" s="42">
        <v>0</v>
      </c>
      <c r="AL36" s="42">
        <v>0</v>
      </c>
      <c r="AM36" s="42">
        <v>0</v>
      </c>
      <c r="AN36" s="42">
        <v>0</v>
      </c>
      <c r="AO36" s="42">
        <v>0</v>
      </c>
      <c r="AP36" s="42">
        <v>39</v>
      </c>
      <c r="AQ36" s="42">
        <v>113</v>
      </c>
      <c r="AR36" s="42">
        <v>247</v>
      </c>
      <c r="AS36" s="42">
        <v>738</v>
      </c>
      <c r="AT36" s="42">
        <v>229</v>
      </c>
      <c r="AU36" s="42">
        <v>1133</v>
      </c>
      <c r="AV36" s="42">
        <v>221</v>
      </c>
      <c r="AW36" s="42">
        <v>1917</v>
      </c>
    </row>
    <row r="37" spans="1:49" s="42" customFormat="1" ht="10">
      <c r="A37" s="77">
        <v>2021</v>
      </c>
      <c r="B37" s="42">
        <v>0</v>
      </c>
      <c r="C37" s="42">
        <v>0</v>
      </c>
      <c r="D37" s="42">
        <v>0</v>
      </c>
      <c r="E37" s="42">
        <v>0</v>
      </c>
      <c r="F37" s="42">
        <v>0</v>
      </c>
      <c r="G37" s="42">
        <v>0</v>
      </c>
      <c r="H37" s="42">
        <v>0</v>
      </c>
      <c r="I37" s="42">
        <v>0</v>
      </c>
      <c r="J37" s="42">
        <v>0</v>
      </c>
      <c r="K37" s="42">
        <v>0</v>
      </c>
      <c r="L37" s="42">
        <v>0</v>
      </c>
      <c r="M37" s="42">
        <v>0</v>
      </c>
      <c r="N37" s="42">
        <v>0</v>
      </c>
      <c r="O37" s="42">
        <v>0</v>
      </c>
      <c r="P37" s="42">
        <v>0</v>
      </c>
      <c r="Q37" s="42">
        <v>0</v>
      </c>
      <c r="R37" s="42">
        <v>0</v>
      </c>
      <c r="S37" s="42">
        <v>0</v>
      </c>
      <c r="T37" s="42">
        <v>0</v>
      </c>
      <c r="U37" s="42">
        <v>0</v>
      </c>
      <c r="V37" s="42">
        <v>0</v>
      </c>
      <c r="W37" s="42">
        <v>0</v>
      </c>
      <c r="X37" s="42">
        <v>0</v>
      </c>
      <c r="Y37" s="42">
        <v>0</v>
      </c>
      <c r="Z37" s="42">
        <v>0</v>
      </c>
      <c r="AA37" s="42">
        <v>0</v>
      </c>
      <c r="AB37" s="42">
        <v>0</v>
      </c>
      <c r="AC37" s="42">
        <v>0</v>
      </c>
      <c r="AD37" s="42">
        <v>0</v>
      </c>
      <c r="AE37" s="42">
        <v>0</v>
      </c>
      <c r="AF37" s="42">
        <v>0</v>
      </c>
      <c r="AG37" s="42">
        <v>0</v>
      </c>
      <c r="AH37" s="42">
        <v>0</v>
      </c>
      <c r="AI37" s="42">
        <v>0</v>
      </c>
      <c r="AJ37" s="42">
        <v>0</v>
      </c>
      <c r="AK37" s="42">
        <v>0</v>
      </c>
      <c r="AL37" s="42">
        <v>0</v>
      </c>
      <c r="AM37" s="42">
        <v>0</v>
      </c>
      <c r="AN37" s="42">
        <v>0</v>
      </c>
      <c r="AO37" s="42">
        <v>0</v>
      </c>
      <c r="AP37" s="42">
        <v>0</v>
      </c>
      <c r="AQ37" s="42">
        <v>0</v>
      </c>
      <c r="AR37" s="42">
        <v>122</v>
      </c>
      <c r="AS37" s="42">
        <v>337</v>
      </c>
      <c r="AT37" s="42">
        <v>161</v>
      </c>
      <c r="AU37" s="42">
        <v>841</v>
      </c>
      <c r="AV37" s="42">
        <v>169</v>
      </c>
      <c r="AW37" s="42">
        <v>1014</v>
      </c>
    </row>
    <row r="38" spans="1:49" s="42" customFormat="1" ht="10">
      <c r="A38" s="77">
        <v>2022</v>
      </c>
      <c r="B38" s="42">
        <v>0</v>
      </c>
      <c r="C38" s="42">
        <v>0</v>
      </c>
      <c r="D38" s="42">
        <v>0</v>
      </c>
      <c r="E38" s="42">
        <v>0</v>
      </c>
      <c r="F38" s="42">
        <v>0</v>
      </c>
      <c r="G38" s="42">
        <v>0</v>
      </c>
      <c r="H38" s="42">
        <v>0</v>
      </c>
      <c r="I38" s="42">
        <v>0</v>
      </c>
      <c r="J38" s="42">
        <v>0</v>
      </c>
      <c r="K38" s="42">
        <v>0</v>
      </c>
      <c r="L38" s="42">
        <v>0</v>
      </c>
      <c r="M38" s="42">
        <v>0</v>
      </c>
      <c r="N38" s="42">
        <v>0</v>
      </c>
      <c r="O38" s="42">
        <v>0</v>
      </c>
      <c r="P38" s="42">
        <v>0</v>
      </c>
      <c r="Q38" s="42">
        <v>0</v>
      </c>
      <c r="R38" s="42">
        <v>0</v>
      </c>
      <c r="S38" s="42">
        <v>0</v>
      </c>
      <c r="T38" s="42">
        <v>0</v>
      </c>
      <c r="U38" s="42">
        <v>0</v>
      </c>
      <c r="V38" s="42">
        <v>0</v>
      </c>
      <c r="W38" s="42">
        <v>0</v>
      </c>
      <c r="X38" s="42">
        <v>0</v>
      </c>
      <c r="Y38" s="42">
        <v>0</v>
      </c>
      <c r="Z38" s="42">
        <v>0</v>
      </c>
      <c r="AA38" s="42">
        <v>0</v>
      </c>
      <c r="AB38" s="42">
        <v>0</v>
      </c>
      <c r="AC38" s="42">
        <v>0</v>
      </c>
      <c r="AD38" s="42">
        <v>0</v>
      </c>
      <c r="AE38" s="42">
        <v>0</v>
      </c>
      <c r="AF38" s="42">
        <v>0</v>
      </c>
      <c r="AG38" s="42">
        <v>0</v>
      </c>
      <c r="AH38" s="42">
        <v>0</v>
      </c>
      <c r="AI38" s="42">
        <v>0</v>
      </c>
      <c r="AJ38" s="42">
        <v>0</v>
      </c>
      <c r="AK38" s="42">
        <v>0</v>
      </c>
      <c r="AL38" s="42">
        <v>0</v>
      </c>
      <c r="AM38" s="42">
        <v>0</v>
      </c>
      <c r="AN38" s="42">
        <v>0</v>
      </c>
      <c r="AO38" s="42">
        <v>0</v>
      </c>
      <c r="AP38" s="42">
        <v>0</v>
      </c>
      <c r="AQ38" s="42">
        <v>0</v>
      </c>
      <c r="AR38" s="42">
        <v>0</v>
      </c>
      <c r="AS38" s="42">
        <v>0</v>
      </c>
      <c r="AT38" s="42">
        <v>72</v>
      </c>
      <c r="AU38" s="42">
        <v>277</v>
      </c>
      <c r="AV38" s="42">
        <v>138</v>
      </c>
      <c r="AW38" s="42">
        <v>533</v>
      </c>
    </row>
    <row r="39" spans="1:49">
      <c r="A39" s="77">
        <v>2023</v>
      </c>
      <c r="B39" s="42">
        <v>0</v>
      </c>
      <c r="C39" s="42">
        <v>0</v>
      </c>
      <c r="D39" s="42">
        <v>0</v>
      </c>
      <c r="E39" s="42">
        <v>0</v>
      </c>
      <c r="F39" s="42">
        <v>0</v>
      </c>
      <c r="G39" s="42">
        <v>0</v>
      </c>
      <c r="H39" s="42">
        <v>0</v>
      </c>
      <c r="I39" s="42">
        <v>0</v>
      </c>
      <c r="J39" s="42">
        <v>0</v>
      </c>
      <c r="K39" s="42">
        <v>0</v>
      </c>
      <c r="L39" s="42">
        <v>0</v>
      </c>
      <c r="M39" s="42">
        <v>0</v>
      </c>
      <c r="N39" s="42">
        <v>0</v>
      </c>
      <c r="O39" s="42">
        <v>0</v>
      </c>
      <c r="P39" s="42">
        <v>0</v>
      </c>
      <c r="Q39" s="42">
        <v>0</v>
      </c>
      <c r="R39" s="42">
        <v>0</v>
      </c>
      <c r="S39" s="42">
        <v>0</v>
      </c>
      <c r="T39" s="42">
        <v>0</v>
      </c>
      <c r="U39" s="42">
        <v>0</v>
      </c>
      <c r="V39" s="42">
        <v>0</v>
      </c>
      <c r="W39" s="42">
        <v>0</v>
      </c>
      <c r="X39" s="42">
        <v>0</v>
      </c>
      <c r="Y39" s="42">
        <v>0</v>
      </c>
      <c r="Z39" s="42">
        <v>0</v>
      </c>
      <c r="AA39" s="42">
        <v>0</v>
      </c>
      <c r="AB39" s="42">
        <v>0</v>
      </c>
      <c r="AC39" s="42">
        <v>0</v>
      </c>
      <c r="AD39" s="42">
        <v>0</v>
      </c>
      <c r="AE39" s="42">
        <v>0</v>
      </c>
      <c r="AF39" s="42">
        <v>0</v>
      </c>
      <c r="AG39" s="42">
        <v>0</v>
      </c>
      <c r="AH39" s="42">
        <v>0</v>
      </c>
      <c r="AI39" s="42">
        <v>0</v>
      </c>
      <c r="AJ39" s="42">
        <v>0</v>
      </c>
      <c r="AK39" s="42">
        <v>0</v>
      </c>
      <c r="AL39" s="42">
        <v>0</v>
      </c>
      <c r="AM39" s="42">
        <v>0</v>
      </c>
      <c r="AN39" s="42">
        <v>0</v>
      </c>
      <c r="AO39" s="42">
        <v>0</v>
      </c>
      <c r="AP39" s="42">
        <v>0</v>
      </c>
      <c r="AQ39" s="42">
        <v>0</v>
      </c>
      <c r="AR39" s="42">
        <v>0</v>
      </c>
      <c r="AS39" s="42">
        <v>0</v>
      </c>
      <c r="AT39" s="42">
        <v>0</v>
      </c>
      <c r="AU39" s="42">
        <v>0</v>
      </c>
      <c r="AV39" s="42">
        <v>140</v>
      </c>
      <c r="AW39" s="42">
        <v>204</v>
      </c>
    </row>
  </sheetData>
  <mergeCells count="1">
    <mergeCell ref="O1:P1"/>
  </mergeCells>
  <phoneticPr fontId="5" type="noConversion"/>
  <hyperlinks>
    <hyperlink ref="O1:P1" location="Contents!A1" display="Back to Contents" xr:uid="{00000000-0004-0000-1500-000000000000}"/>
  </hyperlinks>
  <pageMargins left="0.75" right="0.75" top="1" bottom="1" header="0.5" footer="0.5"/>
  <pageSetup paperSize="9" orientation="landscape" horizontalDpi="4294967292" verticalDpi="4294967292"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39997558519241921"/>
  </sheetPr>
  <dimension ref="A1:N26"/>
  <sheetViews>
    <sheetView workbookViewId="0"/>
  </sheetViews>
  <sheetFormatPr defaultColWidth="8.81640625" defaultRowHeight="12.5"/>
  <sheetData>
    <row r="1" spans="1:14" ht="25.5" customHeight="1">
      <c r="B1" s="17" t="s">
        <v>457</v>
      </c>
      <c r="C1" s="18"/>
      <c r="D1" s="18"/>
      <c r="E1" s="18"/>
      <c r="F1" s="18"/>
      <c r="G1" s="18"/>
      <c r="H1" s="18"/>
      <c r="M1" s="212" t="s">
        <v>79</v>
      </c>
      <c r="N1" s="212"/>
    </row>
    <row r="2" spans="1:14">
      <c r="A2" s="59" t="s">
        <v>299</v>
      </c>
      <c r="B2" s="63" t="s">
        <v>458</v>
      </c>
      <c r="C2" s="63" t="s">
        <v>459</v>
      </c>
    </row>
    <row r="3" spans="1:14">
      <c r="A3" s="42">
        <v>2000</v>
      </c>
      <c r="B3" s="66">
        <v>2151.6590820000001</v>
      </c>
      <c r="C3" s="66">
        <v>2728.2302549999999</v>
      </c>
    </row>
    <row r="4" spans="1:14">
      <c r="A4" s="42">
        <v>2001</v>
      </c>
      <c r="B4" s="66">
        <v>2175.7974250000002</v>
      </c>
      <c r="C4" s="66">
        <v>2729.072623</v>
      </c>
    </row>
    <row r="5" spans="1:14">
      <c r="A5" s="42">
        <v>2002</v>
      </c>
      <c r="B5" s="66">
        <v>2213.1560909999998</v>
      </c>
      <c r="C5" s="66">
        <v>2796.6352499999998</v>
      </c>
    </row>
    <row r="6" spans="1:14">
      <c r="A6" s="42">
        <v>2003</v>
      </c>
      <c r="B6" s="66">
        <v>2244.0605179999998</v>
      </c>
      <c r="C6" s="66">
        <v>2835.1895420000001</v>
      </c>
    </row>
    <row r="7" spans="1:14">
      <c r="A7" s="42">
        <v>2004</v>
      </c>
      <c r="B7" s="66">
        <v>2284.1013280000002</v>
      </c>
      <c r="C7" s="66">
        <v>2833.5546519999998</v>
      </c>
    </row>
    <row r="8" spans="1:14">
      <c r="A8" s="42">
        <v>2005</v>
      </c>
      <c r="B8" s="66">
        <v>2237.20255</v>
      </c>
      <c r="C8" s="66">
        <v>2817.1545420000002</v>
      </c>
    </row>
    <row r="9" spans="1:14">
      <c r="A9" s="42">
        <v>2006</v>
      </c>
      <c r="B9" s="66">
        <v>2210.3711309999999</v>
      </c>
      <c r="C9" s="66">
        <v>2768.5854250000002</v>
      </c>
    </row>
    <row r="10" spans="1:14">
      <c r="A10" s="42">
        <v>2007</v>
      </c>
      <c r="B10" s="66">
        <v>2233.4459619999998</v>
      </c>
      <c r="C10" s="66">
        <v>2794.8289110000001</v>
      </c>
    </row>
    <row r="11" spans="1:14">
      <c r="A11" s="42">
        <v>2008</v>
      </c>
      <c r="B11" s="66">
        <v>2194.7776170000002</v>
      </c>
      <c r="C11" s="66">
        <v>2694.6511089999999</v>
      </c>
    </row>
    <row r="12" spans="1:14">
      <c r="A12" s="42">
        <v>2009</v>
      </c>
      <c r="B12" s="66">
        <v>2127.6734750000001</v>
      </c>
      <c r="C12" s="66">
        <v>2598.026973</v>
      </c>
    </row>
    <row r="13" spans="1:14">
      <c r="A13" s="42">
        <v>2010</v>
      </c>
      <c r="B13" s="66">
        <v>2136.125301</v>
      </c>
      <c r="C13" s="66">
        <v>2613.36463</v>
      </c>
    </row>
    <row r="14" spans="1:14">
      <c r="A14" s="42">
        <v>2011</v>
      </c>
      <c r="B14" s="66">
        <v>2122.4272350000001</v>
      </c>
      <c r="C14" s="66">
        <v>2621.8753860000002</v>
      </c>
    </row>
    <row r="15" spans="1:14">
      <c r="A15" s="42">
        <v>2012</v>
      </c>
      <c r="B15" s="66">
        <v>2063.5239310000002</v>
      </c>
      <c r="C15" s="66">
        <v>2617.4007609999999</v>
      </c>
    </row>
    <row r="16" spans="1:14">
      <c r="A16" s="42">
        <v>2013</v>
      </c>
      <c r="B16" s="66">
        <v>2048.4357409999998</v>
      </c>
      <c r="C16" s="66">
        <v>2654.5337359999999</v>
      </c>
    </row>
    <row r="17" spans="1:3">
      <c r="A17" s="42">
        <v>2014</v>
      </c>
      <c r="B17" s="66">
        <v>2055.4159559999998</v>
      </c>
      <c r="C17" s="66">
        <v>2701.0936649999999</v>
      </c>
    </row>
    <row r="18" spans="1:3">
      <c r="A18" s="42">
        <v>2015</v>
      </c>
      <c r="B18" s="66">
        <v>2068.0993899999999</v>
      </c>
      <c r="C18" s="66">
        <v>2699.9341060000002</v>
      </c>
    </row>
    <row r="19" spans="1:3">
      <c r="A19" s="42">
        <v>2016</v>
      </c>
      <c r="B19" s="66">
        <v>2066.8509250000002</v>
      </c>
      <c r="C19" s="66">
        <v>2695.7585829999998</v>
      </c>
    </row>
    <row r="20" spans="1:3">
      <c r="A20" s="42">
        <v>2017</v>
      </c>
      <c r="B20" s="66">
        <v>2062.0125880000001</v>
      </c>
      <c r="C20" s="66">
        <v>2721.5698200000002</v>
      </c>
    </row>
    <row r="21" spans="1:3">
      <c r="A21" s="42">
        <v>2018</v>
      </c>
      <c r="B21" s="66">
        <v>2014.74154</v>
      </c>
      <c r="C21" s="66">
        <v>2687.2210850000001</v>
      </c>
    </row>
    <row r="22" spans="1:3">
      <c r="A22" s="42">
        <v>2019</v>
      </c>
      <c r="B22" s="66">
        <v>1972.6378950000001</v>
      </c>
      <c r="C22" s="66">
        <v>2650.0067730000001</v>
      </c>
    </row>
    <row r="23" spans="1:3">
      <c r="A23" s="42">
        <v>2020</v>
      </c>
      <c r="B23" s="66">
        <v>2007.9241440000001</v>
      </c>
      <c r="C23" s="66">
        <v>2614.6683910000002</v>
      </c>
    </row>
    <row r="24" spans="1:3">
      <c r="A24" s="42">
        <v>2021</v>
      </c>
      <c r="B24" s="66">
        <v>2043.056053</v>
      </c>
      <c r="C24" s="66">
        <v>2540.2904309999999</v>
      </c>
    </row>
    <row r="25" spans="1:3">
      <c r="A25" s="42">
        <v>2022</v>
      </c>
      <c r="B25" s="66">
        <v>1991.674518</v>
      </c>
      <c r="C25" s="66">
        <v>2494.989779</v>
      </c>
    </row>
    <row r="26" spans="1:3">
      <c r="A26" s="42">
        <v>2023</v>
      </c>
      <c r="B26" s="66">
        <v>1854.6451950000001</v>
      </c>
      <c r="C26" s="66">
        <v>2551.1967340000001</v>
      </c>
    </row>
  </sheetData>
  <mergeCells count="1">
    <mergeCell ref="M1:N1"/>
  </mergeCells>
  <phoneticPr fontId="5" type="noConversion"/>
  <hyperlinks>
    <hyperlink ref="M1:N1" location="Contents!A1" display="Back to Contents" xr:uid="{00000000-0004-0000-1600-000000000000}"/>
  </hyperlinks>
  <pageMargins left="0.75" right="0.75" top="1" bottom="1" header="0.5" footer="0.5"/>
  <pageSetup paperSize="9" orientation="landscape" horizontalDpi="4294967292" verticalDpi="4294967292"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39997558519241921"/>
  </sheetPr>
  <dimension ref="A1:M26"/>
  <sheetViews>
    <sheetView workbookViewId="0"/>
  </sheetViews>
  <sheetFormatPr defaultColWidth="8.81640625" defaultRowHeight="12.5"/>
  <sheetData>
    <row r="1" spans="1:13" ht="26.25" customHeight="1">
      <c r="B1" s="17" t="s">
        <v>460</v>
      </c>
      <c r="C1" s="13"/>
      <c r="D1" s="13"/>
      <c r="E1" s="13"/>
      <c r="F1" s="13"/>
      <c r="G1" s="13"/>
      <c r="H1" s="13"/>
      <c r="I1" s="13"/>
      <c r="J1" s="13"/>
      <c r="K1" s="212" t="s">
        <v>79</v>
      </c>
      <c r="L1" s="212"/>
      <c r="M1" s="162"/>
    </row>
    <row r="2" spans="1:13" ht="29.25" customHeight="1">
      <c r="A2" s="38" t="s">
        <v>299</v>
      </c>
      <c r="B2" s="79" t="s">
        <v>461</v>
      </c>
      <c r="C2" s="79" t="s">
        <v>462</v>
      </c>
      <c r="D2" s="79" t="s">
        <v>463</v>
      </c>
      <c r="E2" s="79" t="s">
        <v>464</v>
      </c>
      <c r="F2" s="79" t="s">
        <v>465</v>
      </c>
      <c r="G2" s="79" t="s">
        <v>466</v>
      </c>
      <c r="H2" s="79" t="s">
        <v>467</v>
      </c>
      <c r="I2" s="79" t="s">
        <v>468</v>
      </c>
      <c r="J2" s="79" t="s">
        <v>469</v>
      </c>
      <c r="K2" s="79" t="s">
        <v>470</v>
      </c>
      <c r="L2" s="79" t="s">
        <v>471</v>
      </c>
      <c r="M2" s="79" t="s">
        <v>472</v>
      </c>
    </row>
    <row r="3" spans="1:13" ht="12" customHeight="1">
      <c r="A3" s="42">
        <v>2000</v>
      </c>
      <c r="B3" s="42">
        <v>4841</v>
      </c>
      <c r="C3" s="42">
        <v>11641</v>
      </c>
      <c r="D3" s="42">
        <v>16737</v>
      </c>
      <c r="E3" s="42">
        <v>24924</v>
      </c>
      <c r="F3" s="42">
        <v>12424</v>
      </c>
      <c r="G3" s="42">
        <v>4269</v>
      </c>
      <c r="H3" s="42">
        <v>4730</v>
      </c>
      <c r="I3" s="42">
        <v>26264</v>
      </c>
      <c r="J3" s="42">
        <v>56126</v>
      </c>
      <c r="K3" s="42">
        <v>29066</v>
      </c>
      <c r="L3" s="42">
        <v>4594</v>
      </c>
      <c r="M3" s="42">
        <v>1950</v>
      </c>
    </row>
    <row r="4" spans="1:13" ht="12" customHeight="1">
      <c r="A4" s="42">
        <v>2001</v>
      </c>
      <c r="B4" s="42">
        <v>3527</v>
      </c>
      <c r="C4" s="42">
        <v>8971</v>
      </c>
      <c r="D4" s="42">
        <v>18476</v>
      </c>
      <c r="E4" s="42">
        <v>27205</v>
      </c>
      <c r="F4" s="42">
        <v>13018</v>
      </c>
      <c r="G4" s="42">
        <v>4845</v>
      </c>
      <c r="H4" s="42">
        <v>6227</v>
      </c>
      <c r="I4" s="42">
        <v>29056</v>
      </c>
      <c r="J4" s="42">
        <v>61285</v>
      </c>
      <c r="K4" s="42">
        <v>31579</v>
      </c>
      <c r="L4" s="42">
        <v>5481</v>
      </c>
      <c r="M4" s="42">
        <v>1743</v>
      </c>
    </row>
    <row r="5" spans="1:13" ht="12" customHeight="1">
      <c r="A5" s="42">
        <v>2002</v>
      </c>
      <c r="B5" s="42">
        <v>4485</v>
      </c>
      <c r="C5" s="42">
        <v>5898</v>
      </c>
      <c r="D5" s="42">
        <v>22238</v>
      </c>
      <c r="E5" s="42">
        <v>31402</v>
      </c>
      <c r="F5" s="42">
        <v>13757</v>
      </c>
      <c r="G5" s="42">
        <v>6161</v>
      </c>
      <c r="H5" s="42">
        <v>7782</v>
      </c>
      <c r="I5" s="42">
        <v>29596</v>
      </c>
      <c r="J5" s="42">
        <v>57532</v>
      </c>
      <c r="K5" s="42">
        <v>40018</v>
      </c>
      <c r="L5" s="42">
        <v>7818</v>
      </c>
      <c r="M5" s="42">
        <v>2446</v>
      </c>
    </row>
    <row r="6" spans="1:13" ht="12" customHeight="1">
      <c r="A6" s="42">
        <v>2003</v>
      </c>
      <c r="B6" s="42">
        <v>5686</v>
      </c>
      <c r="C6" s="42">
        <v>6156</v>
      </c>
      <c r="D6" s="42">
        <v>22115</v>
      </c>
      <c r="E6" s="42">
        <v>32460</v>
      </c>
      <c r="F6" s="42">
        <v>17917</v>
      </c>
      <c r="G6" s="42">
        <v>6982</v>
      </c>
      <c r="H6" s="42">
        <v>9530</v>
      </c>
      <c r="I6" s="42">
        <v>29861</v>
      </c>
      <c r="J6" s="42">
        <v>64020</v>
      </c>
      <c r="K6" s="42">
        <v>50834</v>
      </c>
      <c r="L6" s="42">
        <v>9462</v>
      </c>
      <c r="M6" s="42">
        <v>3578</v>
      </c>
    </row>
    <row r="7" spans="1:13" ht="12" customHeight="1">
      <c r="A7" s="42">
        <v>2004</v>
      </c>
      <c r="B7" s="42">
        <v>6122</v>
      </c>
      <c r="C7" s="42">
        <v>6611</v>
      </c>
      <c r="D7" s="42">
        <v>21853</v>
      </c>
      <c r="E7" s="42">
        <v>34404</v>
      </c>
      <c r="F7" s="42">
        <v>21493</v>
      </c>
      <c r="G7" s="42">
        <v>6758</v>
      </c>
      <c r="H7" s="42">
        <v>9307</v>
      </c>
      <c r="I7" s="42">
        <v>27053</v>
      </c>
      <c r="J7" s="42">
        <v>61190</v>
      </c>
      <c r="K7" s="42">
        <v>54414</v>
      </c>
      <c r="L7" s="42">
        <v>9925</v>
      </c>
      <c r="M7" s="42">
        <v>3753</v>
      </c>
    </row>
    <row r="8" spans="1:13" ht="12" customHeight="1">
      <c r="A8" s="42">
        <v>2005</v>
      </c>
      <c r="B8" s="42">
        <v>6048</v>
      </c>
      <c r="C8" s="42">
        <v>8483</v>
      </c>
      <c r="D8" s="42">
        <v>24075</v>
      </c>
      <c r="E8" s="42">
        <v>36654</v>
      </c>
      <c r="F8" s="42">
        <v>20448</v>
      </c>
      <c r="G8" s="42">
        <v>5708</v>
      </c>
      <c r="H8" s="42">
        <v>10259</v>
      </c>
      <c r="I8" s="42">
        <v>26762</v>
      </c>
      <c r="J8" s="42">
        <v>64073</v>
      </c>
      <c r="K8" s="42">
        <v>50651</v>
      </c>
      <c r="L8" s="42">
        <v>8636</v>
      </c>
      <c r="M8" s="42">
        <v>3425</v>
      </c>
    </row>
    <row r="9" spans="1:13">
      <c r="A9" s="42">
        <v>2006</v>
      </c>
      <c r="B9" s="42">
        <v>5600</v>
      </c>
      <c r="C9" s="42">
        <v>9286</v>
      </c>
      <c r="D9" s="42">
        <v>24734</v>
      </c>
      <c r="E9" s="42">
        <v>36439</v>
      </c>
      <c r="F9" s="42">
        <v>18329</v>
      </c>
      <c r="G9" s="42">
        <v>4614</v>
      </c>
      <c r="H9" s="42">
        <v>11766</v>
      </c>
      <c r="I9" s="42">
        <v>23471</v>
      </c>
      <c r="J9" s="42">
        <v>51925</v>
      </c>
      <c r="K9" s="42">
        <v>38223</v>
      </c>
      <c r="L9" s="42">
        <v>5883</v>
      </c>
      <c r="M9" s="42">
        <v>2812</v>
      </c>
    </row>
    <row r="10" spans="1:13">
      <c r="A10" s="42">
        <v>2007</v>
      </c>
      <c r="B10" s="42">
        <v>4751</v>
      </c>
      <c r="C10" s="42">
        <v>11301</v>
      </c>
      <c r="D10" s="42">
        <v>23177</v>
      </c>
      <c r="E10" s="42">
        <v>38864</v>
      </c>
      <c r="F10" s="42">
        <v>18275</v>
      </c>
      <c r="G10" s="42">
        <v>4923</v>
      </c>
      <c r="H10" s="42">
        <v>12896</v>
      </c>
      <c r="I10" s="42">
        <v>21325</v>
      </c>
      <c r="J10" s="42">
        <v>50245</v>
      </c>
      <c r="K10" s="42">
        <v>37924</v>
      </c>
      <c r="L10" s="42">
        <v>5815</v>
      </c>
      <c r="M10" s="42">
        <v>3579</v>
      </c>
    </row>
    <row r="11" spans="1:13">
      <c r="A11" s="42">
        <v>2008</v>
      </c>
      <c r="B11" s="42">
        <v>4458</v>
      </c>
      <c r="C11" s="42">
        <v>15675</v>
      </c>
      <c r="D11" s="42">
        <v>22101</v>
      </c>
      <c r="E11" s="42">
        <v>35152</v>
      </c>
      <c r="F11" s="42">
        <v>14433</v>
      </c>
      <c r="G11" s="42">
        <v>3632</v>
      </c>
      <c r="H11" s="42">
        <v>10999</v>
      </c>
      <c r="I11" s="42">
        <v>17666</v>
      </c>
      <c r="J11" s="42">
        <v>37818</v>
      </c>
      <c r="K11" s="42">
        <v>26038</v>
      </c>
      <c r="L11" s="42">
        <v>4055</v>
      </c>
      <c r="M11" s="42">
        <v>3218</v>
      </c>
    </row>
    <row r="12" spans="1:13">
      <c r="A12" s="42">
        <v>2009</v>
      </c>
      <c r="B12" s="42">
        <v>2915</v>
      </c>
      <c r="C12" s="42">
        <v>12242</v>
      </c>
      <c r="D12" s="42">
        <v>17825</v>
      </c>
      <c r="E12" s="42">
        <v>25394</v>
      </c>
      <c r="F12" s="42">
        <v>9943</v>
      </c>
      <c r="G12" s="42">
        <v>2038</v>
      </c>
      <c r="H12" s="42">
        <v>10614</v>
      </c>
      <c r="I12" s="42">
        <v>15171</v>
      </c>
      <c r="J12" s="42">
        <v>27328</v>
      </c>
      <c r="K12" s="42">
        <v>18905</v>
      </c>
      <c r="L12" s="42">
        <v>2218</v>
      </c>
      <c r="M12" s="42">
        <v>1690</v>
      </c>
    </row>
    <row r="13" spans="1:13">
      <c r="A13" s="42">
        <v>2010</v>
      </c>
      <c r="B13" s="42">
        <v>3180</v>
      </c>
      <c r="C13" s="42">
        <v>12666</v>
      </c>
      <c r="D13" s="42">
        <v>20453</v>
      </c>
      <c r="E13" s="42">
        <v>33047</v>
      </c>
      <c r="F13" s="42">
        <v>9333</v>
      </c>
      <c r="G13" s="42">
        <v>2321</v>
      </c>
      <c r="H13" s="42">
        <v>11524</v>
      </c>
      <c r="I13" s="42">
        <v>19172</v>
      </c>
      <c r="J13" s="42">
        <v>34522</v>
      </c>
      <c r="K13" s="42">
        <v>24511</v>
      </c>
      <c r="L13" s="42">
        <v>3306</v>
      </c>
      <c r="M13" s="42">
        <v>2226</v>
      </c>
    </row>
    <row r="14" spans="1:13">
      <c r="A14" s="42">
        <v>2011</v>
      </c>
      <c r="B14" s="42">
        <v>4637</v>
      </c>
      <c r="C14" s="42">
        <v>14140</v>
      </c>
      <c r="D14" s="42">
        <v>19582</v>
      </c>
      <c r="E14" s="42">
        <v>35416</v>
      </c>
      <c r="F14" s="42">
        <v>8632</v>
      </c>
      <c r="G14" s="42">
        <v>2218</v>
      </c>
      <c r="H14" s="42">
        <v>10926</v>
      </c>
      <c r="I14" s="42">
        <v>16618</v>
      </c>
      <c r="J14" s="42">
        <v>30666</v>
      </c>
      <c r="K14" s="42">
        <v>23323</v>
      </c>
      <c r="L14" s="42">
        <v>3258</v>
      </c>
      <c r="M14" s="42">
        <v>2387</v>
      </c>
    </row>
    <row r="15" spans="1:13">
      <c r="A15" s="42">
        <v>2012</v>
      </c>
      <c r="B15" s="42">
        <v>4649</v>
      </c>
      <c r="C15" s="42">
        <v>17856</v>
      </c>
      <c r="D15" s="42">
        <v>27621</v>
      </c>
      <c r="E15" s="42">
        <v>36190</v>
      </c>
      <c r="F15" s="42">
        <v>12427</v>
      </c>
      <c r="G15" s="42">
        <v>1976</v>
      </c>
      <c r="H15" s="42">
        <v>13144</v>
      </c>
      <c r="I15" s="42">
        <v>19651</v>
      </c>
      <c r="J15" s="42">
        <v>26563</v>
      </c>
      <c r="K15" s="42">
        <v>20599</v>
      </c>
      <c r="L15" s="42">
        <v>2679</v>
      </c>
      <c r="M15" s="42">
        <v>2417</v>
      </c>
    </row>
    <row r="16" spans="1:13">
      <c r="A16" s="42">
        <v>2013</v>
      </c>
      <c r="B16" s="42">
        <v>6169</v>
      </c>
      <c r="C16" s="42">
        <v>17897</v>
      </c>
      <c r="D16" s="42">
        <v>30652</v>
      </c>
      <c r="E16" s="42">
        <v>41253</v>
      </c>
      <c r="F16" s="42">
        <v>14045</v>
      </c>
      <c r="G16" s="42">
        <v>2344</v>
      </c>
      <c r="H16" s="42">
        <v>17730</v>
      </c>
      <c r="I16" s="42">
        <v>24411</v>
      </c>
      <c r="J16" s="42">
        <v>30706</v>
      </c>
      <c r="K16" s="42">
        <v>27515</v>
      </c>
      <c r="L16" s="42">
        <v>3965</v>
      </c>
      <c r="M16" s="42">
        <v>3130</v>
      </c>
    </row>
    <row r="17" spans="1:13">
      <c r="A17" s="38">
        <v>2014</v>
      </c>
      <c r="B17" s="42">
        <v>6466</v>
      </c>
      <c r="C17" s="42">
        <v>20120</v>
      </c>
      <c r="D17" s="42">
        <v>34344</v>
      </c>
      <c r="E17" s="42">
        <v>45160</v>
      </c>
      <c r="F17" s="42">
        <v>16666</v>
      </c>
      <c r="G17" s="42">
        <v>2508</v>
      </c>
      <c r="H17" s="42">
        <v>21249</v>
      </c>
      <c r="I17" s="42">
        <v>31877</v>
      </c>
      <c r="J17" s="42">
        <v>39552</v>
      </c>
      <c r="K17" s="42">
        <v>36396</v>
      </c>
      <c r="L17" s="42">
        <v>6671</v>
      </c>
      <c r="M17" s="42">
        <v>3862</v>
      </c>
    </row>
    <row r="18" spans="1:13">
      <c r="A18" s="42">
        <v>2015</v>
      </c>
      <c r="B18" s="42">
        <v>6458</v>
      </c>
      <c r="C18" s="42">
        <v>19699</v>
      </c>
      <c r="D18" s="42">
        <v>36058</v>
      </c>
      <c r="E18" s="42">
        <v>49964</v>
      </c>
      <c r="F18" s="42">
        <v>17452</v>
      </c>
      <c r="G18" s="42">
        <v>2667</v>
      </c>
      <c r="H18" s="42">
        <v>23110</v>
      </c>
      <c r="I18" s="42">
        <v>33716</v>
      </c>
      <c r="J18" s="42">
        <v>43667</v>
      </c>
      <c r="K18" s="42">
        <v>41149</v>
      </c>
      <c r="L18" s="42">
        <v>7661</v>
      </c>
      <c r="M18" s="42">
        <v>4446</v>
      </c>
    </row>
    <row r="19" spans="1:13">
      <c r="A19" s="42">
        <v>2016</v>
      </c>
      <c r="B19" s="42">
        <v>5984</v>
      </c>
      <c r="C19" s="42">
        <v>21489</v>
      </c>
      <c r="D19" s="42">
        <v>40202</v>
      </c>
      <c r="E19" s="42">
        <v>55471</v>
      </c>
      <c r="F19" s="42">
        <v>18365</v>
      </c>
      <c r="G19" s="42">
        <v>3595</v>
      </c>
      <c r="H19" s="42">
        <v>22642</v>
      </c>
      <c r="I19" s="42">
        <v>36549</v>
      </c>
      <c r="J19" s="42">
        <v>46628</v>
      </c>
      <c r="K19" s="42">
        <v>42976</v>
      </c>
      <c r="L19" s="42">
        <v>8006</v>
      </c>
      <c r="M19" s="42">
        <v>4612</v>
      </c>
    </row>
    <row r="20" spans="1:13">
      <c r="A20" s="42">
        <v>2017</v>
      </c>
      <c r="B20" s="42">
        <v>8265</v>
      </c>
      <c r="C20" s="42">
        <v>22628</v>
      </c>
      <c r="D20" s="42">
        <v>42509</v>
      </c>
      <c r="E20" s="42">
        <v>60440</v>
      </c>
      <c r="F20" s="42">
        <v>19594</v>
      </c>
      <c r="G20" s="42">
        <v>3440</v>
      </c>
      <c r="H20" s="42">
        <v>23445</v>
      </c>
      <c r="I20" s="42">
        <v>38359</v>
      </c>
      <c r="J20" s="42">
        <v>51302</v>
      </c>
      <c r="K20" s="42">
        <v>49878</v>
      </c>
      <c r="L20" s="42">
        <v>9226</v>
      </c>
      <c r="M20" s="42">
        <v>5189</v>
      </c>
    </row>
    <row r="21" spans="1:13">
      <c r="A21" s="42">
        <v>2018</v>
      </c>
      <c r="B21" s="42">
        <v>9231</v>
      </c>
      <c r="C21" s="42">
        <v>23369</v>
      </c>
      <c r="D21" s="42">
        <v>44666</v>
      </c>
      <c r="E21" s="42">
        <v>59671</v>
      </c>
      <c r="F21" s="42">
        <v>18607</v>
      </c>
      <c r="G21" s="42">
        <v>2443</v>
      </c>
      <c r="H21" s="42">
        <v>23820</v>
      </c>
      <c r="I21" s="42">
        <v>34738</v>
      </c>
      <c r="J21" s="42">
        <v>48372</v>
      </c>
      <c r="K21" s="42">
        <v>38262</v>
      </c>
      <c r="L21" s="42">
        <v>7597</v>
      </c>
      <c r="M21" s="42">
        <v>4432</v>
      </c>
    </row>
    <row r="22" spans="1:13">
      <c r="A22" s="42">
        <v>2019</v>
      </c>
      <c r="B22" s="42">
        <v>8974</v>
      </c>
      <c r="C22" s="42">
        <v>21492</v>
      </c>
      <c r="D22" s="42">
        <v>45650</v>
      </c>
      <c r="E22" s="42">
        <v>57492</v>
      </c>
      <c r="F22" s="42">
        <v>14257</v>
      </c>
      <c r="G22" s="42">
        <v>2236</v>
      </c>
      <c r="H22" s="42">
        <v>23272</v>
      </c>
      <c r="I22" s="42">
        <v>36906</v>
      </c>
      <c r="J22" s="42">
        <v>48582</v>
      </c>
      <c r="K22" s="42">
        <v>30428</v>
      </c>
      <c r="L22" s="42">
        <v>6290</v>
      </c>
      <c r="M22" s="42">
        <v>3629</v>
      </c>
    </row>
    <row r="23" spans="1:13">
      <c r="A23" s="42">
        <v>2020</v>
      </c>
      <c r="B23" s="42">
        <v>6758</v>
      </c>
      <c r="C23" s="42">
        <v>18113</v>
      </c>
      <c r="D23" s="42">
        <v>35613</v>
      </c>
      <c r="E23" s="42">
        <v>44382</v>
      </c>
      <c r="F23" s="42">
        <v>9956</v>
      </c>
      <c r="G23" s="42">
        <v>2124</v>
      </c>
      <c r="H23" s="42">
        <v>15863</v>
      </c>
      <c r="I23" s="42">
        <v>29200</v>
      </c>
      <c r="J23" s="42">
        <v>38419</v>
      </c>
      <c r="K23" s="42">
        <v>29029</v>
      </c>
      <c r="L23" s="42">
        <v>5518</v>
      </c>
      <c r="M23" s="42">
        <v>3001</v>
      </c>
    </row>
    <row r="24" spans="1:13">
      <c r="A24" s="42">
        <v>2021</v>
      </c>
      <c r="B24" s="42">
        <v>9035</v>
      </c>
      <c r="C24" s="42">
        <v>25612</v>
      </c>
      <c r="D24" s="42">
        <v>47463</v>
      </c>
      <c r="E24" s="42">
        <v>62383</v>
      </c>
      <c r="F24" s="42">
        <v>8990</v>
      </c>
      <c r="G24" s="42">
        <v>2724</v>
      </c>
      <c r="H24" s="42">
        <v>12344</v>
      </c>
      <c r="I24" s="42">
        <v>28040</v>
      </c>
      <c r="J24" s="42">
        <v>40171</v>
      </c>
      <c r="K24" s="42">
        <v>36671</v>
      </c>
      <c r="L24" s="42">
        <v>6271</v>
      </c>
      <c r="M24" s="42">
        <v>3374</v>
      </c>
    </row>
    <row r="25" spans="1:13">
      <c r="A25" s="42">
        <v>2022</v>
      </c>
      <c r="B25" s="42">
        <v>9445</v>
      </c>
      <c r="C25" s="42">
        <v>28824</v>
      </c>
      <c r="D25" s="42">
        <v>38614</v>
      </c>
      <c r="E25" s="42">
        <v>62843</v>
      </c>
      <c r="F25" s="42">
        <v>4106</v>
      </c>
      <c r="G25" s="42">
        <v>2199</v>
      </c>
      <c r="H25" s="42">
        <v>12035</v>
      </c>
      <c r="I25" s="42">
        <v>30931</v>
      </c>
      <c r="J25" s="42">
        <v>40490</v>
      </c>
      <c r="K25" s="42">
        <v>25622</v>
      </c>
      <c r="L25" s="42">
        <v>4328</v>
      </c>
      <c r="M25" s="42">
        <v>3050</v>
      </c>
    </row>
    <row r="26" spans="1:13">
      <c r="A26" s="42">
        <v>2023</v>
      </c>
      <c r="B26" s="42">
        <v>10379</v>
      </c>
      <c r="C26" s="42">
        <v>26681</v>
      </c>
      <c r="D26" s="42">
        <v>31025</v>
      </c>
      <c r="E26" s="42">
        <v>52106</v>
      </c>
      <c r="F26" s="42">
        <v>2305</v>
      </c>
      <c r="G26" s="42">
        <v>1863</v>
      </c>
      <c r="H26" s="42">
        <v>16226</v>
      </c>
      <c r="I26" s="42">
        <v>40452</v>
      </c>
      <c r="J26" s="42">
        <v>46023</v>
      </c>
      <c r="K26" s="42">
        <v>13445</v>
      </c>
      <c r="L26" s="42">
        <v>1625</v>
      </c>
      <c r="M26" s="42">
        <v>1227</v>
      </c>
    </row>
  </sheetData>
  <mergeCells count="1">
    <mergeCell ref="K1:L1"/>
  </mergeCells>
  <phoneticPr fontId="0" type="noConversion"/>
  <hyperlinks>
    <hyperlink ref="K1:L1" location="Contents!A1" display="Back to Contents" xr:uid="{00000000-0004-0000-1700-000000000000}"/>
  </hyperlinks>
  <pageMargins left="0.75" right="0.75" top="1" bottom="1" header="0.5" footer="0.5"/>
  <pageSetup paperSize="9" scale="60" orientation="landscape" horizontalDpi="4294967292" verticalDpi="4294967292"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39997558519241921"/>
  </sheetPr>
  <dimension ref="A1:R46"/>
  <sheetViews>
    <sheetView workbookViewId="0"/>
  </sheetViews>
  <sheetFormatPr defaultColWidth="8.81640625" defaultRowHeight="12.5"/>
  <cols>
    <col min="1" max="1" width="8.81640625" style="104"/>
    <col min="15" max="15" width="24.26953125" bestFit="1" customWidth="1"/>
  </cols>
  <sheetData>
    <row r="1" spans="1:18" ht="24" customHeight="1">
      <c r="B1" s="17" t="s">
        <v>473</v>
      </c>
      <c r="C1" s="13"/>
      <c r="D1" s="13"/>
      <c r="E1" s="13"/>
      <c r="F1" s="13"/>
      <c r="G1" s="13"/>
      <c r="H1" s="13"/>
      <c r="I1" s="13"/>
      <c r="J1" s="13"/>
      <c r="K1" s="13"/>
      <c r="L1" s="13"/>
      <c r="M1" s="13"/>
      <c r="O1" s="17" t="s">
        <v>474</v>
      </c>
      <c r="Q1" s="212" t="s">
        <v>79</v>
      </c>
      <c r="R1" s="212"/>
    </row>
    <row r="2" spans="1:18">
      <c r="B2" s="216" t="s">
        <v>475</v>
      </c>
      <c r="C2" s="216"/>
      <c r="D2" s="216"/>
      <c r="E2" s="216"/>
      <c r="F2" s="216"/>
      <c r="G2" s="216"/>
      <c r="H2" s="216" t="s">
        <v>476</v>
      </c>
      <c r="I2" s="216"/>
      <c r="J2" s="216"/>
      <c r="K2" s="216"/>
      <c r="L2" s="216"/>
      <c r="M2" s="216"/>
    </row>
    <row r="3" spans="1:18" ht="18" customHeight="1">
      <c r="A3" s="77" t="s">
        <v>299</v>
      </c>
      <c r="B3" s="49" t="s">
        <v>477</v>
      </c>
      <c r="C3" s="49" t="s">
        <v>478</v>
      </c>
      <c r="D3" s="49" t="s">
        <v>479</v>
      </c>
      <c r="E3" s="49" t="s">
        <v>480</v>
      </c>
      <c r="F3" s="49" t="s">
        <v>481</v>
      </c>
      <c r="G3" s="49" t="s">
        <v>482</v>
      </c>
      <c r="H3" s="49" t="s">
        <v>483</v>
      </c>
      <c r="I3" s="49" t="s">
        <v>484</v>
      </c>
      <c r="J3" s="49" t="s">
        <v>485</v>
      </c>
      <c r="K3" s="49" t="s">
        <v>486</v>
      </c>
      <c r="L3" s="49" t="s">
        <v>487</v>
      </c>
      <c r="M3" s="49" t="s">
        <v>488</v>
      </c>
      <c r="N3" s="1"/>
      <c r="O3" s="58"/>
    </row>
    <row r="4" spans="1:18" ht="12.75" customHeight="1">
      <c r="A4" s="77">
        <v>2000</v>
      </c>
      <c r="B4" s="42">
        <v>606</v>
      </c>
      <c r="C4" s="42">
        <v>441</v>
      </c>
      <c r="D4" s="42">
        <v>980</v>
      </c>
      <c r="E4" s="42">
        <v>532</v>
      </c>
      <c r="F4" s="42">
        <v>1014</v>
      </c>
      <c r="G4" s="42">
        <v>797</v>
      </c>
      <c r="H4" s="42">
        <v>833</v>
      </c>
      <c r="I4" s="42">
        <v>39</v>
      </c>
      <c r="J4" s="42">
        <v>488</v>
      </c>
      <c r="K4" s="42">
        <v>315</v>
      </c>
      <c r="L4" s="42">
        <v>515</v>
      </c>
      <c r="M4" s="42">
        <v>167</v>
      </c>
      <c r="N4" s="1"/>
      <c r="O4" s="63">
        <v>495</v>
      </c>
    </row>
    <row r="5" spans="1:18">
      <c r="A5" s="77">
        <v>2001</v>
      </c>
      <c r="B5" s="42">
        <v>758</v>
      </c>
      <c r="C5" s="42">
        <v>290</v>
      </c>
      <c r="D5" s="42">
        <v>928</v>
      </c>
      <c r="E5" s="42">
        <v>531</v>
      </c>
      <c r="F5" s="42">
        <v>1001</v>
      </c>
      <c r="G5" s="42">
        <v>909</v>
      </c>
      <c r="H5" s="42">
        <v>842</v>
      </c>
      <c r="I5" s="42">
        <v>58</v>
      </c>
      <c r="J5" s="42">
        <v>476</v>
      </c>
      <c r="K5" s="42">
        <v>321</v>
      </c>
      <c r="L5" s="42">
        <v>484</v>
      </c>
      <c r="M5" s="42">
        <v>177</v>
      </c>
      <c r="N5" s="1"/>
      <c r="O5" s="63">
        <v>540</v>
      </c>
    </row>
    <row r="6" spans="1:18">
      <c r="A6" s="77">
        <v>2002</v>
      </c>
      <c r="B6" s="42">
        <v>848</v>
      </c>
      <c r="C6" s="42">
        <v>334</v>
      </c>
      <c r="D6" s="42">
        <v>817</v>
      </c>
      <c r="E6" s="42">
        <v>537</v>
      </c>
      <c r="F6" s="42">
        <v>1078</v>
      </c>
      <c r="G6" s="42">
        <v>920</v>
      </c>
      <c r="H6" s="42">
        <v>912</v>
      </c>
      <c r="I6" s="42">
        <v>54</v>
      </c>
      <c r="J6" s="42">
        <v>519</v>
      </c>
      <c r="K6" s="42">
        <v>327</v>
      </c>
      <c r="L6" s="42">
        <v>602</v>
      </c>
      <c r="M6" s="42">
        <v>252</v>
      </c>
      <c r="N6" s="1"/>
      <c r="O6" s="63">
        <v>523</v>
      </c>
    </row>
    <row r="7" spans="1:18">
      <c r="A7" s="77">
        <v>2003</v>
      </c>
      <c r="B7" s="42">
        <v>1307</v>
      </c>
      <c r="C7" s="42">
        <v>441</v>
      </c>
      <c r="D7" s="42">
        <v>812</v>
      </c>
      <c r="E7" s="42">
        <v>525</v>
      </c>
      <c r="F7" s="42">
        <v>1337</v>
      </c>
      <c r="G7" s="42">
        <v>1056</v>
      </c>
      <c r="H7" s="42">
        <v>1017</v>
      </c>
      <c r="I7" s="42">
        <v>50</v>
      </c>
      <c r="J7" s="42">
        <v>494</v>
      </c>
      <c r="K7" s="42">
        <v>339</v>
      </c>
      <c r="L7" s="42">
        <v>691</v>
      </c>
      <c r="M7" s="42">
        <v>380</v>
      </c>
      <c r="N7" s="1"/>
      <c r="O7" s="63">
        <v>530</v>
      </c>
    </row>
    <row r="8" spans="1:18">
      <c r="A8" s="77">
        <v>2004</v>
      </c>
      <c r="B8" s="42">
        <v>2044</v>
      </c>
      <c r="C8" s="42">
        <v>457</v>
      </c>
      <c r="D8" s="42">
        <v>1506</v>
      </c>
      <c r="E8" s="42">
        <v>546</v>
      </c>
      <c r="F8" s="42">
        <v>1626</v>
      </c>
      <c r="G8" s="42">
        <v>1168</v>
      </c>
      <c r="H8" s="42">
        <v>890</v>
      </c>
      <c r="I8" s="42">
        <v>36</v>
      </c>
      <c r="J8" s="42">
        <v>499</v>
      </c>
      <c r="K8" s="42">
        <v>315</v>
      </c>
      <c r="L8" s="42">
        <v>885</v>
      </c>
      <c r="M8" s="42">
        <v>470</v>
      </c>
      <c r="N8" s="1"/>
      <c r="O8" s="63">
        <v>524</v>
      </c>
    </row>
    <row r="9" spans="1:18">
      <c r="A9" s="77">
        <v>2005</v>
      </c>
      <c r="B9" s="42">
        <v>4668</v>
      </c>
      <c r="C9" s="42">
        <v>546</v>
      </c>
      <c r="D9" s="42">
        <v>1665</v>
      </c>
      <c r="E9" s="42">
        <v>668</v>
      </c>
      <c r="F9" s="42">
        <v>1853</v>
      </c>
      <c r="G9" s="42">
        <v>1451</v>
      </c>
      <c r="H9" s="42">
        <v>1012</v>
      </c>
      <c r="I9" s="42">
        <v>40</v>
      </c>
      <c r="J9" s="42">
        <v>575</v>
      </c>
      <c r="K9" s="42">
        <v>328</v>
      </c>
      <c r="L9" s="42">
        <v>1016</v>
      </c>
      <c r="M9" s="42">
        <v>799</v>
      </c>
      <c r="N9" s="1"/>
      <c r="O9" s="63">
        <v>480</v>
      </c>
    </row>
    <row r="10" spans="1:18">
      <c r="A10" s="77">
        <v>2006</v>
      </c>
      <c r="B10" s="42">
        <v>4950</v>
      </c>
      <c r="C10" s="42">
        <v>617</v>
      </c>
      <c r="D10" s="42">
        <v>2292</v>
      </c>
      <c r="E10" s="42">
        <v>718</v>
      </c>
      <c r="F10" s="42">
        <v>2402</v>
      </c>
      <c r="G10" s="42">
        <v>1784</v>
      </c>
      <c r="H10" s="42">
        <v>1244</v>
      </c>
      <c r="I10" s="42">
        <v>49</v>
      </c>
      <c r="J10" s="42">
        <v>705</v>
      </c>
      <c r="K10" s="42">
        <v>385</v>
      </c>
      <c r="L10" s="42">
        <v>1063</v>
      </c>
      <c r="M10" s="42">
        <v>973</v>
      </c>
      <c r="N10" s="1"/>
      <c r="O10" s="63">
        <v>485</v>
      </c>
    </row>
    <row r="11" spans="1:18">
      <c r="A11" s="77">
        <v>2007</v>
      </c>
      <c r="B11" s="42">
        <v>4728</v>
      </c>
      <c r="C11" s="42">
        <v>743</v>
      </c>
      <c r="D11" s="42">
        <v>2494</v>
      </c>
      <c r="E11" s="42">
        <v>775</v>
      </c>
      <c r="F11" s="42">
        <v>2843</v>
      </c>
      <c r="G11" s="42">
        <v>2306</v>
      </c>
      <c r="H11" s="42">
        <v>1119</v>
      </c>
      <c r="I11" s="42">
        <v>51</v>
      </c>
      <c r="J11" s="42">
        <v>880</v>
      </c>
      <c r="K11" s="42">
        <v>323</v>
      </c>
      <c r="L11" s="42">
        <v>1199</v>
      </c>
      <c r="M11" s="42">
        <v>1147</v>
      </c>
      <c r="N11" s="1"/>
      <c r="O11" s="63">
        <v>542</v>
      </c>
    </row>
    <row r="12" spans="1:18">
      <c r="A12" s="77">
        <v>2008</v>
      </c>
      <c r="B12" s="42">
        <v>5963</v>
      </c>
      <c r="C12" s="42">
        <v>1258</v>
      </c>
      <c r="D12" s="42">
        <v>3031</v>
      </c>
      <c r="E12" s="42">
        <v>814</v>
      </c>
      <c r="F12" s="42">
        <v>2605</v>
      </c>
      <c r="G12" s="42">
        <v>2147</v>
      </c>
      <c r="H12" s="42">
        <v>1451</v>
      </c>
      <c r="I12" s="42">
        <v>41</v>
      </c>
      <c r="J12" s="42">
        <v>882</v>
      </c>
      <c r="K12" s="42">
        <v>328</v>
      </c>
      <c r="L12" s="42">
        <v>1242</v>
      </c>
      <c r="M12" s="42">
        <v>1310</v>
      </c>
      <c r="N12" s="1"/>
      <c r="O12" s="63">
        <v>492</v>
      </c>
    </row>
    <row r="13" spans="1:18">
      <c r="A13" s="77">
        <v>2009</v>
      </c>
      <c r="B13" s="42">
        <v>2946</v>
      </c>
      <c r="C13" s="42">
        <v>609</v>
      </c>
      <c r="D13" s="42">
        <v>1491</v>
      </c>
      <c r="E13" s="42">
        <v>500</v>
      </c>
      <c r="F13" s="42">
        <v>1923</v>
      </c>
      <c r="G13" s="42">
        <v>1832</v>
      </c>
      <c r="H13" s="42">
        <v>1192</v>
      </c>
      <c r="I13" s="42">
        <v>44</v>
      </c>
      <c r="J13" s="42">
        <v>468</v>
      </c>
      <c r="K13" s="42">
        <v>295</v>
      </c>
      <c r="L13" s="42">
        <v>781</v>
      </c>
      <c r="M13" s="42">
        <v>672</v>
      </c>
      <c r="N13" s="1"/>
      <c r="O13" s="63">
        <v>540</v>
      </c>
    </row>
    <row r="14" spans="1:18">
      <c r="A14" s="77">
        <v>2010</v>
      </c>
      <c r="B14" s="42">
        <v>2298</v>
      </c>
      <c r="C14" s="42">
        <v>474</v>
      </c>
      <c r="D14" s="42">
        <v>1086</v>
      </c>
      <c r="E14" s="42">
        <v>443</v>
      </c>
      <c r="F14" s="42">
        <v>1507</v>
      </c>
      <c r="G14" s="42">
        <v>1520</v>
      </c>
      <c r="H14" s="42">
        <v>1125</v>
      </c>
      <c r="I14" s="42">
        <v>51</v>
      </c>
      <c r="J14" s="42">
        <v>275</v>
      </c>
      <c r="K14" s="42">
        <v>216</v>
      </c>
      <c r="L14" s="42">
        <v>674</v>
      </c>
      <c r="M14" s="42">
        <v>663</v>
      </c>
      <c r="N14" s="1"/>
      <c r="O14" s="63">
        <v>557</v>
      </c>
    </row>
    <row r="15" spans="1:18">
      <c r="A15" s="77">
        <v>2011</v>
      </c>
      <c r="B15" s="42">
        <v>2472</v>
      </c>
      <c r="C15" s="42">
        <v>757</v>
      </c>
      <c r="D15" s="42">
        <v>1119</v>
      </c>
      <c r="E15" s="42">
        <v>406</v>
      </c>
      <c r="F15" s="42">
        <v>1244</v>
      </c>
      <c r="G15" s="42">
        <v>1291</v>
      </c>
      <c r="H15" s="42">
        <v>1092</v>
      </c>
      <c r="I15" s="42">
        <v>58</v>
      </c>
      <c r="J15" s="42">
        <v>237</v>
      </c>
      <c r="K15" s="42">
        <v>174</v>
      </c>
      <c r="L15" s="42">
        <v>479</v>
      </c>
      <c r="M15" s="42">
        <v>638</v>
      </c>
      <c r="N15" s="1"/>
      <c r="O15" s="63">
        <v>502</v>
      </c>
    </row>
    <row r="16" spans="1:18">
      <c r="A16" s="77">
        <v>2012</v>
      </c>
      <c r="B16" s="42">
        <v>1784</v>
      </c>
      <c r="C16" s="42">
        <v>675</v>
      </c>
      <c r="D16" s="42">
        <v>1026</v>
      </c>
      <c r="E16" s="42">
        <v>483</v>
      </c>
      <c r="F16" s="42">
        <v>1524</v>
      </c>
      <c r="G16" s="42">
        <v>1255</v>
      </c>
      <c r="H16" s="42">
        <v>566</v>
      </c>
      <c r="I16" s="42">
        <v>88</v>
      </c>
      <c r="J16" s="42">
        <v>204</v>
      </c>
      <c r="K16" s="42">
        <v>175</v>
      </c>
      <c r="L16" s="42">
        <v>459</v>
      </c>
      <c r="M16" s="42">
        <v>703</v>
      </c>
      <c r="N16" s="1"/>
      <c r="O16" s="63">
        <v>580</v>
      </c>
    </row>
    <row r="17" spans="1:15">
      <c r="A17" s="77">
        <v>2013</v>
      </c>
      <c r="B17" s="42">
        <v>2292</v>
      </c>
      <c r="C17" s="42">
        <v>806</v>
      </c>
      <c r="D17" s="42">
        <v>1099</v>
      </c>
      <c r="E17" s="42">
        <v>766</v>
      </c>
      <c r="F17" s="42">
        <v>1676</v>
      </c>
      <c r="G17" s="42">
        <v>1391</v>
      </c>
      <c r="H17" s="42">
        <v>750</v>
      </c>
      <c r="I17" s="42">
        <v>45</v>
      </c>
      <c r="J17" s="42">
        <v>185</v>
      </c>
      <c r="K17" s="42">
        <v>251</v>
      </c>
      <c r="L17" s="42">
        <v>581</v>
      </c>
      <c r="M17" s="42">
        <v>812</v>
      </c>
      <c r="N17" s="1"/>
      <c r="O17" s="63">
        <v>553</v>
      </c>
    </row>
    <row r="18" spans="1:15">
      <c r="A18" s="77">
        <v>2014</v>
      </c>
      <c r="B18" s="42">
        <v>2376</v>
      </c>
      <c r="C18" s="42">
        <v>694</v>
      </c>
      <c r="D18" s="42">
        <v>998</v>
      </c>
      <c r="E18" s="42">
        <v>1046</v>
      </c>
      <c r="F18" s="42">
        <v>2058</v>
      </c>
      <c r="G18" s="42">
        <v>1523</v>
      </c>
      <c r="H18" s="42">
        <v>897</v>
      </c>
      <c r="I18" s="42">
        <v>46</v>
      </c>
      <c r="J18" s="42">
        <v>210</v>
      </c>
      <c r="K18" s="42">
        <v>287</v>
      </c>
      <c r="L18" s="42">
        <v>667</v>
      </c>
      <c r="M18" s="42">
        <v>961</v>
      </c>
      <c r="N18" s="1"/>
      <c r="O18" s="63">
        <v>576</v>
      </c>
    </row>
    <row r="19" spans="1:15">
      <c r="A19" s="77">
        <v>2015</v>
      </c>
      <c r="B19" s="42">
        <v>2303</v>
      </c>
      <c r="C19" s="42">
        <v>937</v>
      </c>
      <c r="D19" s="42">
        <v>1152</v>
      </c>
      <c r="E19" s="42">
        <v>1395</v>
      </c>
      <c r="F19" s="42">
        <v>2313</v>
      </c>
      <c r="G19" s="42">
        <v>1619</v>
      </c>
      <c r="H19" s="42">
        <v>818</v>
      </c>
      <c r="I19" s="42">
        <v>41</v>
      </c>
      <c r="J19" s="42">
        <v>204</v>
      </c>
      <c r="K19" s="42">
        <v>343</v>
      </c>
      <c r="L19" s="42">
        <v>778</v>
      </c>
      <c r="M19" s="42">
        <v>1235</v>
      </c>
      <c r="N19" s="1"/>
      <c r="O19" s="63">
        <v>595</v>
      </c>
    </row>
    <row r="20" spans="1:15">
      <c r="A20" s="77">
        <v>2016</v>
      </c>
      <c r="B20" s="42">
        <v>2136</v>
      </c>
      <c r="C20" s="42">
        <v>635</v>
      </c>
      <c r="D20" s="42">
        <v>1086</v>
      </c>
      <c r="E20" s="42">
        <v>1592</v>
      </c>
      <c r="F20" s="42">
        <v>2341</v>
      </c>
      <c r="G20" s="42">
        <v>1720</v>
      </c>
      <c r="H20" s="42">
        <v>825</v>
      </c>
      <c r="I20" s="42">
        <v>50</v>
      </c>
      <c r="J20" s="42">
        <v>214</v>
      </c>
      <c r="K20" s="42">
        <v>345</v>
      </c>
      <c r="L20" s="42">
        <v>789</v>
      </c>
      <c r="M20" s="42">
        <v>1129</v>
      </c>
      <c r="N20" s="1"/>
      <c r="O20" s="63">
        <v>611</v>
      </c>
    </row>
    <row r="21" spans="1:15">
      <c r="A21" s="77">
        <v>2017</v>
      </c>
      <c r="B21" s="42">
        <v>2028</v>
      </c>
      <c r="C21" s="42">
        <v>625</v>
      </c>
      <c r="D21" s="42">
        <v>1069</v>
      </c>
      <c r="E21" s="42">
        <v>1781</v>
      </c>
      <c r="F21" s="42">
        <v>2267</v>
      </c>
      <c r="G21" s="42">
        <v>1866</v>
      </c>
      <c r="H21" s="42">
        <v>793</v>
      </c>
      <c r="I21" s="42">
        <v>40</v>
      </c>
      <c r="J21" s="42">
        <v>239</v>
      </c>
      <c r="K21" s="42">
        <v>332</v>
      </c>
      <c r="L21" s="42">
        <v>830</v>
      </c>
      <c r="M21" s="42">
        <v>1547</v>
      </c>
      <c r="N21" s="1"/>
      <c r="O21" s="63">
        <v>646</v>
      </c>
    </row>
    <row r="22" spans="1:15">
      <c r="A22" s="77">
        <v>2018</v>
      </c>
      <c r="B22" s="42">
        <v>2052</v>
      </c>
      <c r="C22" s="42">
        <v>481</v>
      </c>
      <c r="D22" s="42">
        <v>1247</v>
      </c>
      <c r="E22" s="42">
        <v>1906</v>
      </c>
      <c r="F22" s="42">
        <v>2194</v>
      </c>
      <c r="G22" s="42">
        <v>1840</v>
      </c>
      <c r="H22" s="42">
        <v>816</v>
      </c>
      <c r="I22" s="42">
        <v>36</v>
      </c>
      <c r="J22" s="42">
        <v>288</v>
      </c>
      <c r="K22" s="42">
        <v>338</v>
      </c>
      <c r="L22" s="42">
        <v>937</v>
      </c>
      <c r="M22" s="42">
        <v>1508</v>
      </c>
      <c r="N22" s="1"/>
      <c r="O22" s="63">
        <v>635</v>
      </c>
    </row>
    <row r="23" spans="1:15">
      <c r="A23" s="77">
        <v>2019</v>
      </c>
      <c r="B23" s="42">
        <v>1789</v>
      </c>
      <c r="C23" s="42">
        <v>468</v>
      </c>
      <c r="D23" s="42">
        <v>1193</v>
      </c>
      <c r="E23" s="42">
        <v>1896</v>
      </c>
      <c r="F23" s="42">
        <v>2442</v>
      </c>
      <c r="G23" s="42">
        <v>1695</v>
      </c>
      <c r="H23" s="42">
        <v>703</v>
      </c>
      <c r="I23" s="42">
        <v>36</v>
      </c>
      <c r="J23" s="42">
        <v>139</v>
      </c>
      <c r="K23" s="42">
        <v>299</v>
      </c>
      <c r="L23" s="42">
        <v>860</v>
      </c>
      <c r="M23" s="42">
        <v>1492</v>
      </c>
      <c r="N23" s="1"/>
      <c r="O23" s="63">
        <v>655</v>
      </c>
    </row>
    <row r="24" spans="1:15">
      <c r="A24" s="77">
        <v>2020</v>
      </c>
      <c r="B24" s="42">
        <v>1645</v>
      </c>
      <c r="C24" s="42">
        <v>508</v>
      </c>
      <c r="D24" s="42">
        <v>1308</v>
      </c>
      <c r="E24" s="42">
        <v>2078</v>
      </c>
      <c r="F24" s="42">
        <v>2558</v>
      </c>
      <c r="G24" s="42">
        <v>1894</v>
      </c>
      <c r="H24" s="42">
        <v>670</v>
      </c>
      <c r="I24" s="42">
        <v>32</v>
      </c>
      <c r="J24" s="42">
        <v>142</v>
      </c>
      <c r="K24" s="42">
        <v>251</v>
      </c>
      <c r="L24" s="42">
        <v>886</v>
      </c>
      <c r="M24" s="42">
        <v>1290</v>
      </c>
      <c r="N24" s="1"/>
      <c r="O24" s="63">
        <v>659</v>
      </c>
    </row>
    <row r="25" spans="1:15">
      <c r="A25" s="74">
        <v>2021</v>
      </c>
      <c r="B25" s="42">
        <v>1552</v>
      </c>
      <c r="C25" s="42">
        <v>679</v>
      </c>
      <c r="D25" s="42">
        <v>1401</v>
      </c>
      <c r="E25" s="42">
        <v>2659</v>
      </c>
      <c r="F25" s="42">
        <v>3078</v>
      </c>
      <c r="G25" s="42">
        <v>2087</v>
      </c>
      <c r="H25" s="42">
        <v>577</v>
      </c>
      <c r="I25" s="42">
        <v>44</v>
      </c>
      <c r="J25" s="42">
        <v>161</v>
      </c>
      <c r="K25" s="42">
        <v>219</v>
      </c>
      <c r="L25" s="42">
        <v>622</v>
      </c>
      <c r="M25" s="42">
        <v>1246</v>
      </c>
      <c r="O25" s="63">
        <v>657</v>
      </c>
    </row>
    <row r="26" spans="1:15">
      <c r="A26" s="77">
        <v>2022</v>
      </c>
      <c r="B26" s="42">
        <v>1884</v>
      </c>
      <c r="C26" s="42">
        <v>602</v>
      </c>
      <c r="D26" s="42">
        <v>880</v>
      </c>
      <c r="E26" s="42">
        <v>2672</v>
      </c>
      <c r="F26" s="42">
        <v>3122</v>
      </c>
      <c r="G26" s="42">
        <v>1925</v>
      </c>
      <c r="H26" s="42">
        <v>653</v>
      </c>
      <c r="I26" s="42">
        <v>19</v>
      </c>
      <c r="J26" s="42">
        <v>124</v>
      </c>
      <c r="K26" s="42">
        <v>155</v>
      </c>
      <c r="L26" s="42">
        <v>501</v>
      </c>
      <c r="M26" s="42">
        <v>969</v>
      </c>
      <c r="O26" s="63">
        <v>629</v>
      </c>
    </row>
    <row r="27" spans="1:15">
      <c r="A27" s="77">
        <v>2023</v>
      </c>
      <c r="B27" s="42">
        <v>1504</v>
      </c>
      <c r="C27" s="42">
        <v>636</v>
      </c>
      <c r="D27" s="42">
        <v>778</v>
      </c>
      <c r="E27" s="42">
        <v>2029</v>
      </c>
      <c r="F27" s="42">
        <v>2891</v>
      </c>
      <c r="G27" s="42">
        <v>1800</v>
      </c>
      <c r="H27" s="42">
        <v>660</v>
      </c>
      <c r="I27" s="42">
        <v>28</v>
      </c>
      <c r="J27" s="42">
        <v>86</v>
      </c>
      <c r="K27" s="42">
        <v>146</v>
      </c>
      <c r="L27" s="42">
        <v>439</v>
      </c>
      <c r="M27" s="42">
        <v>764</v>
      </c>
      <c r="O27" s="63">
        <v>642</v>
      </c>
    </row>
    <row r="28" spans="1:15">
      <c r="A28" s="77"/>
      <c r="C28" s="42"/>
    </row>
    <row r="29" spans="1:15">
      <c r="A29" s="77"/>
      <c r="C29" s="42"/>
    </row>
    <row r="30" spans="1:15">
      <c r="A30" s="77"/>
      <c r="C30" s="42"/>
    </row>
    <row r="31" spans="1:15">
      <c r="A31" s="77"/>
      <c r="C31" s="42"/>
    </row>
    <row r="32" spans="1:15">
      <c r="A32" s="77"/>
      <c r="C32" s="42"/>
    </row>
    <row r="33" spans="1:3">
      <c r="A33" s="77"/>
      <c r="C33" s="42"/>
    </row>
    <row r="34" spans="1:3">
      <c r="A34" s="77"/>
      <c r="C34" s="42"/>
    </row>
    <row r="35" spans="1:3">
      <c r="A35" s="77"/>
      <c r="C35" s="42"/>
    </row>
    <row r="36" spans="1:3">
      <c r="A36" s="77"/>
      <c r="C36" s="42"/>
    </row>
    <row r="37" spans="1:3">
      <c r="A37" s="77"/>
      <c r="C37" s="42"/>
    </row>
    <row r="38" spans="1:3">
      <c r="A38" s="77"/>
      <c r="C38" s="42"/>
    </row>
    <row r="39" spans="1:3">
      <c r="A39" s="77"/>
      <c r="C39" s="42"/>
    </row>
    <row r="40" spans="1:3">
      <c r="A40" s="77"/>
      <c r="C40" s="42"/>
    </row>
    <row r="41" spans="1:3">
      <c r="A41" s="77"/>
      <c r="C41" s="42"/>
    </row>
    <row r="42" spans="1:3">
      <c r="A42" s="77"/>
      <c r="C42" s="42"/>
    </row>
    <row r="43" spans="1:3">
      <c r="A43" s="77"/>
      <c r="C43" s="42"/>
    </row>
    <row r="44" spans="1:3">
      <c r="A44" s="77"/>
      <c r="C44" s="42"/>
    </row>
    <row r="45" spans="1:3">
      <c r="A45" s="77"/>
      <c r="C45" s="42"/>
    </row>
    <row r="46" spans="1:3">
      <c r="B46" s="63"/>
      <c r="C46" s="42"/>
    </row>
  </sheetData>
  <mergeCells count="3">
    <mergeCell ref="Q1:R1"/>
    <mergeCell ref="B2:G2"/>
    <mergeCell ref="H2:M2"/>
  </mergeCells>
  <phoneticPr fontId="5" type="noConversion"/>
  <hyperlinks>
    <hyperlink ref="Q1:R1" location="Contents!A1" display="Back to Contents" xr:uid="{00000000-0004-0000-1800-000000000000}"/>
  </hyperlinks>
  <pageMargins left="0.7" right="0.7" top="0.75" bottom="0.75" header="0.3" footer="0.3"/>
  <pageSetup paperSize="9" scale="8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39997558519241921"/>
  </sheetPr>
  <dimension ref="A1:T607"/>
  <sheetViews>
    <sheetView topLeftCell="B1" workbookViewId="0">
      <selection activeCell="B1" sqref="B1"/>
    </sheetView>
  </sheetViews>
  <sheetFormatPr defaultColWidth="8.81640625" defaultRowHeight="12.75" customHeight="1"/>
  <cols>
    <col min="1" max="1" width="8.81640625" hidden="1" customWidth="1"/>
    <col min="2" max="3" width="8.81640625" style="104"/>
    <col min="4" max="11" width="12.81640625" customWidth="1"/>
    <col min="12" max="12" width="5.7265625" customWidth="1"/>
    <col min="13" max="17" width="12.81640625" customWidth="1"/>
    <col min="18" max="18" width="5.7265625" customWidth="1"/>
  </cols>
  <sheetData>
    <row r="1" spans="1:20" ht="25.5" customHeight="1">
      <c r="D1" s="123" t="s">
        <v>489</v>
      </c>
      <c r="E1" s="13"/>
      <c r="F1" s="13"/>
      <c r="G1" s="13"/>
      <c r="H1" s="13"/>
      <c r="I1" s="13"/>
      <c r="J1" s="13"/>
      <c r="K1" s="13"/>
      <c r="L1" s="101"/>
      <c r="M1" s="15" t="s">
        <v>490</v>
      </c>
      <c r="N1" s="162"/>
      <c r="O1" s="162"/>
      <c r="P1" s="162"/>
      <c r="Q1" s="162"/>
      <c r="R1" s="37"/>
      <c r="S1" s="212" t="s">
        <v>79</v>
      </c>
      <c r="T1" s="212"/>
    </row>
    <row r="2" spans="1:20" s="101" customFormat="1" ht="25">
      <c r="B2" s="124" t="s">
        <v>362</v>
      </c>
      <c r="C2" s="124" t="s">
        <v>299</v>
      </c>
      <c r="D2" s="105" t="s">
        <v>491</v>
      </c>
      <c r="E2" s="105" t="s">
        <v>492</v>
      </c>
      <c r="F2" s="105" t="s">
        <v>493</v>
      </c>
      <c r="G2" s="105" t="s">
        <v>494</v>
      </c>
      <c r="H2" s="105" t="s">
        <v>495</v>
      </c>
      <c r="I2" s="105" t="s">
        <v>496</v>
      </c>
      <c r="J2" s="105" t="s">
        <v>497</v>
      </c>
      <c r="K2" s="105" t="s">
        <v>498</v>
      </c>
      <c r="M2" s="105" t="s">
        <v>495</v>
      </c>
      <c r="N2" s="105" t="s">
        <v>496</v>
      </c>
      <c r="O2" s="105" t="s">
        <v>497</v>
      </c>
      <c r="P2" s="105" t="s">
        <v>498</v>
      </c>
      <c r="Q2" s="105" t="s">
        <v>499</v>
      </c>
    </row>
    <row r="3" spans="1:20" ht="12.5">
      <c r="A3">
        <f>IF(B3=B2, A2, A2+1)</f>
        <v>1</v>
      </c>
      <c r="B3" s="42" t="s">
        <v>374</v>
      </c>
      <c r="C3" s="42">
        <v>2000</v>
      </c>
      <c r="D3" s="42">
        <v>55</v>
      </c>
      <c r="E3" s="42">
        <v>11</v>
      </c>
      <c r="F3" s="42">
        <v>5</v>
      </c>
      <c r="G3" s="42">
        <v>33</v>
      </c>
      <c r="H3" s="42">
        <v>18</v>
      </c>
      <c r="I3" s="42">
        <v>123</v>
      </c>
      <c r="J3" s="42">
        <v>6</v>
      </c>
      <c r="K3" s="42">
        <v>0</v>
      </c>
      <c r="L3" s="5"/>
      <c r="M3" s="42">
        <v>14</v>
      </c>
      <c r="N3" s="42">
        <v>122</v>
      </c>
      <c r="O3" s="42">
        <v>8</v>
      </c>
      <c r="P3" s="42">
        <v>1</v>
      </c>
      <c r="Q3" s="42">
        <v>2</v>
      </c>
      <c r="R3" s="42"/>
    </row>
    <row r="4" spans="1:20" ht="12.5">
      <c r="A4">
        <f t="shared" ref="A4:A71" si="0">IF(B4=B3, A3, A3+1)</f>
        <v>1</v>
      </c>
      <c r="B4" s="42" t="s">
        <v>374</v>
      </c>
      <c r="C4" s="42">
        <v>2001</v>
      </c>
      <c r="D4" s="42">
        <v>102</v>
      </c>
      <c r="E4" s="42">
        <v>12</v>
      </c>
      <c r="F4" s="42">
        <v>12</v>
      </c>
      <c r="G4" s="42">
        <v>39</v>
      </c>
      <c r="H4" s="42">
        <v>18</v>
      </c>
      <c r="I4" s="42">
        <v>159</v>
      </c>
      <c r="J4" s="42">
        <v>6</v>
      </c>
      <c r="K4" s="42">
        <v>0</v>
      </c>
      <c r="L4" s="5"/>
      <c r="M4" s="42">
        <v>15</v>
      </c>
      <c r="N4" s="42">
        <v>158</v>
      </c>
      <c r="O4" s="42">
        <v>8</v>
      </c>
      <c r="P4" s="42">
        <v>0</v>
      </c>
      <c r="Q4" s="42">
        <v>2</v>
      </c>
      <c r="R4" s="42"/>
    </row>
    <row r="5" spans="1:20" ht="12.5">
      <c r="A5">
        <f t="shared" si="0"/>
        <v>1</v>
      </c>
      <c r="B5" s="42" t="s">
        <v>374</v>
      </c>
      <c r="C5" s="42">
        <v>2002</v>
      </c>
      <c r="D5" s="42">
        <v>124</v>
      </c>
      <c r="E5" s="42">
        <v>12</v>
      </c>
      <c r="F5" s="42">
        <v>8</v>
      </c>
      <c r="G5" s="42">
        <v>12</v>
      </c>
      <c r="H5" s="42">
        <v>28</v>
      </c>
      <c r="I5" s="42">
        <v>270</v>
      </c>
      <c r="J5" s="42">
        <v>25</v>
      </c>
      <c r="K5" s="42">
        <v>1</v>
      </c>
      <c r="L5" s="5"/>
      <c r="M5" s="42">
        <v>16</v>
      </c>
      <c r="N5" s="42">
        <v>268</v>
      </c>
      <c r="O5" s="42">
        <v>39</v>
      </c>
      <c r="P5" s="42">
        <v>0</v>
      </c>
      <c r="Q5" s="42">
        <v>1</v>
      </c>
      <c r="R5" s="42"/>
    </row>
    <row r="6" spans="1:20" ht="12.5">
      <c r="A6">
        <f t="shared" si="0"/>
        <v>1</v>
      </c>
      <c r="B6" s="42" t="s">
        <v>374</v>
      </c>
      <c r="C6" s="42">
        <v>2003</v>
      </c>
      <c r="D6" s="42">
        <v>176</v>
      </c>
      <c r="E6" s="42">
        <v>13</v>
      </c>
      <c r="F6" s="42">
        <v>11</v>
      </c>
      <c r="G6" s="42">
        <v>19</v>
      </c>
      <c r="H6" s="42">
        <v>28</v>
      </c>
      <c r="I6" s="42">
        <v>223</v>
      </c>
      <c r="J6" s="42">
        <v>5</v>
      </c>
      <c r="K6" s="42">
        <v>0</v>
      </c>
      <c r="L6" s="5"/>
      <c r="M6" s="42">
        <v>11</v>
      </c>
      <c r="N6" s="42">
        <v>221</v>
      </c>
      <c r="O6" s="42">
        <v>23</v>
      </c>
      <c r="P6" s="42">
        <v>0</v>
      </c>
      <c r="Q6" s="42">
        <v>1</v>
      </c>
      <c r="R6" s="42"/>
    </row>
    <row r="7" spans="1:20" ht="12.5">
      <c r="A7">
        <f t="shared" si="0"/>
        <v>1</v>
      </c>
      <c r="B7" s="42" t="s">
        <v>374</v>
      </c>
      <c r="C7" s="42">
        <v>2004</v>
      </c>
      <c r="D7" s="42">
        <v>209</v>
      </c>
      <c r="E7" s="42">
        <v>29</v>
      </c>
      <c r="F7" s="42">
        <v>13</v>
      </c>
      <c r="G7" s="42">
        <v>24</v>
      </c>
      <c r="H7" s="42">
        <v>16</v>
      </c>
      <c r="I7" s="42">
        <v>229</v>
      </c>
      <c r="J7" s="42">
        <v>9</v>
      </c>
      <c r="K7" s="42">
        <v>0</v>
      </c>
      <c r="L7" s="5"/>
      <c r="M7" s="42">
        <v>7</v>
      </c>
      <c r="N7" s="42">
        <v>236</v>
      </c>
      <c r="O7" s="42">
        <v>9</v>
      </c>
      <c r="P7" s="42">
        <v>0</v>
      </c>
      <c r="Q7" s="42">
        <v>2</v>
      </c>
      <c r="R7" s="42"/>
    </row>
    <row r="8" spans="1:20" ht="12.5">
      <c r="A8">
        <f t="shared" si="0"/>
        <v>1</v>
      </c>
      <c r="B8" s="42" t="s">
        <v>374</v>
      </c>
      <c r="C8" s="42">
        <v>2005</v>
      </c>
      <c r="D8" s="42">
        <v>169</v>
      </c>
      <c r="E8" s="42">
        <v>24</v>
      </c>
      <c r="F8" s="42">
        <v>7</v>
      </c>
      <c r="G8" s="42">
        <v>8</v>
      </c>
      <c r="H8" s="42">
        <v>53</v>
      </c>
      <c r="I8" s="42">
        <v>174</v>
      </c>
      <c r="J8" s="42">
        <v>6</v>
      </c>
      <c r="K8" s="42">
        <v>0</v>
      </c>
      <c r="L8" s="5"/>
      <c r="M8" s="42">
        <v>48</v>
      </c>
      <c r="N8" s="42">
        <v>178</v>
      </c>
      <c r="O8" s="42">
        <v>6</v>
      </c>
      <c r="P8" s="42">
        <v>0</v>
      </c>
      <c r="Q8" s="42">
        <v>1</v>
      </c>
      <c r="R8" s="42"/>
    </row>
    <row r="9" spans="1:20" ht="12.5">
      <c r="A9">
        <f t="shared" si="0"/>
        <v>1</v>
      </c>
      <c r="B9" s="42" t="s">
        <v>374</v>
      </c>
      <c r="C9" s="42">
        <v>2006</v>
      </c>
      <c r="D9" s="42">
        <v>92</v>
      </c>
      <c r="E9" s="42">
        <v>32</v>
      </c>
      <c r="F9" s="42">
        <v>4</v>
      </c>
      <c r="G9" s="42">
        <v>9</v>
      </c>
      <c r="H9" s="42">
        <v>21</v>
      </c>
      <c r="I9" s="42">
        <v>198</v>
      </c>
      <c r="J9" s="42">
        <v>1</v>
      </c>
      <c r="K9" s="42">
        <v>0</v>
      </c>
      <c r="L9" s="5"/>
      <c r="M9" s="42">
        <v>15</v>
      </c>
      <c r="N9" s="42">
        <v>201</v>
      </c>
      <c r="O9" s="42">
        <v>1</v>
      </c>
      <c r="P9" s="42">
        <v>2</v>
      </c>
      <c r="Q9" s="42">
        <v>1</v>
      </c>
      <c r="R9" s="42"/>
    </row>
    <row r="10" spans="1:20" ht="12.5">
      <c r="A10">
        <f t="shared" si="0"/>
        <v>1</v>
      </c>
      <c r="B10" s="42" t="s">
        <v>374</v>
      </c>
      <c r="C10" s="42">
        <v>2007</v>
      </c>
      <c r="D10" s="42">
        <v>111</v>
      </c>
      <c r="E10" s="42">
        <v>56</v>
      </c>
      <c r="F10" s="42">
        <v>7</v>
      </c>
      <c r="G10" s="42">
        <v>17</v>
      </c>
      <c r="H10" s="42">
        <v>27</v>
      </c>
      <c r="I10" s="42">
        <v>362</v>
      </c>
      <c r="J10" s="42">
        <v>0</v>
      </c>
      <c r="K10" s="42">
        <v>0</v>
      </c>
      <c r="L10" s="5"/>
      <c r="M10" s="42">
        <v>17</v>
      </c>
      <c r="N10" s="42">
        <v>369</v>
      </c>
      <c r="O10" s="42">
        <v>2</v>
      </c>
      <c r="P10" s="42">
        <v>1</v>
      </c>
      <c r="Q10" s="42">
        <v>0</v>
      </c>
      <c r="R10" s="42"/>
    </row>
    <row r="11" spans="1:20" ht="12.5">
      <c r="A11">
        <f t="shared" si="0"/>
        <v>1</v>
      </c>
      <c r="B11" s="42" t="s">
        <v>374</v>
      </c>
      <c r="C11" s="42">
        <v>2008</v>
      </c>
      <c r="D11" s="42">
        <v>141</v>
      </c>
      <c r="E11" s="42">
        <v>108</v>
      </c>
      <c r="F11" s="42">
        <v>8</v>
      </c>
      <c r="G11" s="42">
        <v>43</v>
      </c>
      <c r="H11" s="42">
        <v>14</v>
      </c>
      <c r="I11" s="42">
        <v>385</v>
      </c>
      <c r="J11" s="42">
        <v>4</v>
      </c>
      <c r="K11" s="42">
        <v>0</v>
      </c>
      <c r="L11" s="5"/>
      <c r="M11" s="42">
        <v>12</v>
      </c>
      <c r="N11" s="42">
        <v>385</v>
      </c>
      <c r="O11" s="42">
        <v>5</v>
      </c>
      <c r="P11" s="42">
        <v>0</v>
      </c>
      <c r="Q11" s="42">
        <v>1</v>
      </c>
      <c r="R11" s="42"/>
    </row>
    <row r="12" spans="1:20" ht="12.5">
      <c r="A12">
        <f t="shared" si="0"/>
        <v>1</v>
      </c>
      <c r="B12" s="42" t="s">
        <v>374</v>
      </c>
      <c r="C12" s="42">
        <v>2009</v>
      </c>
      <c r="D12" s="42">
        <v>261</v>
      </c>
      <c r="E12" s="42">
        <v>129</v>
      </c>
      <c r="F12" s="42">
        <v>0</v>
      </c>
      <c r="G12" s="42">
        <v>25</v>
      </c>
      <c r="H12" s="42">
        <v>1</v>
      </c>
      <c r="I12" s="42">
        <v>45</v>
      </c>
      <c r="J12" s="42">
        <v>0</v>
      </c>
      <c r="K12" s="42">
        <v>0</v>
      </c>
      <c r="L12" s="5"/>
      <c r="M12" s="42">
        <v>0</v>
      </c>
      <c r="N12" s="42">
        <v>42</v>
      </c>
      <c r="O12" s="42">
        <v>3</v>
      </c>
      <c r="P12" s="42">
        <v>1</v>
      </c>
      <c r="Q12" s="42">
        <v>0</v>
      </c>
      <c r="R12" s="42"/>
    </row>
    <row r="13" spans="1:20" ht="12.5">
      <c r="A13">
        <f t="shared" si="0"/>
        <v>1</v>
      </c>
      <c r="B13" s="42" t="s">
        <v>374</v>
      </c>
      <c r="C13" s="42">
        <v>2010</v>
      </c>
      <c r="D13" s="42">
        <v>105</v>
      </c>
      <c r="E13" s="42">
        <v>132</v>
      </c>
      <c r="F13" s="42">
        <v>0</v>
      </c>
      <c r="G13" s="42">
        <v>2</v>
      </c>
      <c r="H13" s="42">
        <v>2</v>
      </c>
      <c r="I13" s="42">
        <v>42</v>
      </c>
      <c r="J13" s="42">
        <v>0</v>
      </c>
      <c r="K13" s="42">
        <v>0</v>
      </c>
      <c r="L13" s="5"/>
      <c r="M13" s="42">
        <v>2</v>
      </c>
      <c r="N13" s="42">
        <v>41</v>
      </c>
      <c r="O13" s="42">
        <v>0</v>
      </c>
      <c r="P13" s="42">
        <v>0</v>
      </c>
      <c r="Q13" s="42">
        <v>1</v>
      </c>
      <c r="R13" s="42"/>
    </row>
    <row r="14" spans="1:20" ht="12.5">
      <c r="A14">
        <f t="shared" si="0"/>
        <v>1</v>
      </c>
      <c r="B14" s="42" t="s">
        <v>374</v>
      </c>
      <c r="C14" s="42">
        <v>2011</v>
      </c>
      <c r="D14" s="42">
        <v>214</v>
      </c>
      <c r="E14" s="42">
        <v>92</v>
      </c>
      <c r="F14" s="42">
        <v>0</v>
      </c>
      <c r="G14" s="42">
        <v>2</v>
      </c>
      <c r="H14" s="42">
        <v>5</v>
      </c>
      <c r="I14" s="42">
        <v>20</v>
      </c>
      <c r="J14" s="42">
        <v>0</v>
      </c>
      <c r="K14" s="42">
        <v>0</v>
      </c>
      <c r="L14" s="5"/>
      <c r="M14" s="42">
        <v>5</v>
      </c>
      <c r="N14" s="42">
        <v>18</v>
      </c>
      <c r="O14" s="42">
        <v>0</v>
      </c>
      <c r="P14" s="42">
        <v>1</v>
      </c>
      <c r="Q14" s="42">
        <v>1</v>
      </c>
      <c r="R14" s="42"/>
    </row>
    <row r="15" spans="1:20" ht="12.5">
      <c r="A15">
        <f t="shared" si="0"/>
        <v>1</v>
      </c>
      <c r="B15" s="42" t="s">
        <v>374</v>
      </c>
      <c r="C15" s="42">
        <v>2012</v>
      </c>
      <c r="D15" s="42">
        <v>189</v>
      </c>
      <c r="E15" s="42">
        <v>107</v>
      </c>
      <c r="F15" s="42">
        <v>3</v>
      </c>
      <c r="G15" s="42">
        <v>1</v>
      </c>
      <c r="H15" s="42">
        <v>39</v>
      </c>
      <c r="I15" s="42">
        <v>18</v>
      </c>
      <c r="J15" s="42">
        <v>1</v>
      </c>
      <c r="K15" s="42">
        <v>1</v>
      </c>
      <c r="L15" s="5"/>
      <c r="M15" s="42">
        <v>40</v>
      </c>
      <c r="N15" s="42">
        <v>18</v>
      </c>
      <c r="O15" s="42">
        <v>1</v>
      </c>
      <c r="P15" s="42">
        <v>0</v>
      </c>
      <c r="Q15" s="42">
        <v>0</v>
      </c>
      <c r="R15" s="42"/>
    </row>
    <row r="16" spans="1:20" ht="12.5">
      <c r="A16">
        <f t="shared" si="0"/>
        <v>1</v>
      </c>
      <c r="B16" s="42" t="s">
        <v>374</v>
      </c>
      <c r="C16" s="42">
        <v>2013</v>
      </c>
      <c r="D16" s="42">
        <v>198</v>
      </c>
      <c r="E16" s="42">
        <v>120</v>
      </c>
      <c r="F16" s="42">
        <v>0</v>
      </c>
      <c r="G16" s="42">
        <v>5</v>
      </c>
      <c r="H16" s="42">
        <v>92</v>
      </c>
      <c r="I16" s="42">
        <v>23</v>
      </c>
      <c r="J16" s="42">
        <v>0</v>
      </c>
      <c r="K16" s="42">
        <v>0</v>
      </c>
      <c r="L16" s="5"/>
      <c r="M16" s="42">
        <v>92</v>
      </c>
      <c r="N16" s="42">
        <v>23</v>
      </c>
      <c r="O16" s="42">
        <v>0</v>
      </c>
      <c r="P16" s="42">
        <v>0</v>
      </c>
      <c r="Q16" s="42">
        <v>0</v>
      </c>
      <c r="R16" s="42"/>
    </row>
    <row r="17" spans="1:18" ht="12.5">
      <c r="A17">
        <f t="shared" si="0"/>
        <v>1</v>
      </c>
      <c r="B17" s="42" t="s">
        <v>374</v>
      </c>
      <c r="C17" s="42">
        <v>2014</v>
      </c>
      <c r="D17" s="42">
        <v>202</v>
      </c>
      <c r="E17" s="42">
        <v>114</v>
      </c>
      <c r="F17" s="42">
        <v>0</v>
      </c>
      <c r="G17" s="42">
        <v>2</v>
      </c>
      <c r="H17" s="42">
        <v>29</v>
      </c>
      <c r="I17" s="42">
        <v>51</v>
      </c>
      <c r="J17" s="42">
        <v>0</v>
      </c>
      <c r="K17" s="42">
        <v>1</v>
      </c>
      <c r="L17" s="5"/>
      <c r="M17" s="42">
        <v>28</v>
      </c>
      <c r="N17" s="42">
        <v>52</v>
      </c>
      <c r="O17" s="42">
        <v>1</v>
      </c>
      <c r="P17" s="42">
        <v>0</v>
      </c>
      <c r="Q17" s="42">
        <v>0</v>
      </c>
      <c r="R17" s="42"/>
    </row>
    <row r="18" spans="1:18" ht="12.5">
      <c r="A18">
        <f t="shared" si="0"/>
        <v>1</v>
      </c>
      <c r="B18" s="42" t="s">
        <v>374</v>
      </c>
      <c r="C18" s="42">
        <v>2015</v>
      </c>
      <c r="D18" s="42">
        <v>138</v>
      </c>
      <c r="E18" s="42">
        <v>190</v>
      </c>
      <c r="F18" s="42">
        <v>1</v>
      </c>
      <c r="G18" s="42">
        <v>1</v>
      </c>
      <c r="H18" s="42">
        <v>38</v>
      </c>
      <c r="I18" s="42">
        <v>31</v>
      </c>
      <c r="J18" s="42">
        <v>3</v>
      </c>
      <c r="K18" s="42">
        <v>0</v>
      </c>
      <c r="L18" s="5"/>
      <c r="M18" s="42">
        <v>36</v>
      </c>
      <c r="N18" s="42">
        <v>32</v>
      </c>
      <c r="O18" s="42">
        <v>4</v>
      </c>
      <c r="P18" s="42">
        <v>0</v>
      </c>
      <c r="Q18" s="42">
        <v>0</v>
      </c>
      <c r="R18" s="42"/>
    </row>
    <row r="19" spans="1:18" ht="12.5">
      <c r="A19">
        <f t="shared" si="0"/>
        <v>1</v>
      </c>
      <c r="B19" s="42" t="s">
        <v>374</v>
      </c>
      <c r="C19" s="42">
        <v>2016</v>
      </c>
      <c r="D19" s="42">
        <v>358</v>
      </c>
      <c r="E19" s="42">
        <v>292</v>
      </c>
      <c r="F19" s="42">
        <v>7</v>
      </c>
      <c r="G19" s="42">
        <v>12</v>
      </c>
      <c r="H19" s="42">
        <v>19</v>
      </c>
      <c r="I19" s="42">
        <v>53</v>
      </c>
      <c r="J19" s="42">
        <v>8</v>
      </c>
      <c r="K19" s="42">
        <v>0</v>
      </c>
      <c r="L19" s="5"/>
      <c r="M19" s="42">
        <v>17</v>
      </c>
      <c r="N19" s="42">
        <v>44</v>
      </c>
      <c r="O19" s="42">
        <v>19</v>
      </c>
      <c r="P19" s="42">
        <v>0</v>
      </c>
      <c r="Q19" s="42">
        <v>0</v>
      </c>
      <c r="R19" s="42"/>
    </row>
    <row r="20" spans="1:18" ht="12.5">
      <c r="A20">
        <f t="shared" si="0"/>
        <v>1</v>
      </c>
      <c r="B20" s="42" t="s">
        <v>374</v>
      </c>
      <c r="C20" s="42">
        <v>2017</v>
      </c>
      <c r="D20" s="42">
        <v>347</v>
      </c>
      <c r="E20" s="42">
        <v>231</v>
      </c>
      <c r="F20" s="42">
        <v>9</v>
      </c>
      <c r="G20" s="42">
        <v>6</v>
      </c>
      <c r="H20" s="42">
        <v>15</v>
      </c>
      <c r="I20" s="42">
        <v>65</v>
      </c>
      <c r="J20" s="42">
        <v>5</v>
      </c>
      <c r="K20" s="42">
        <v>0</v>
      </c>
      <c r="L20" s="5"/>
      <c r="M20" s="42">
        <v>15</v>
      </c>
      <c r="N20" s="42">
        <v>58</v>
      </c>
      <c r="O20" s="42">
        <v>10</v>
      </c>
      <c r="P20" s="42">
        <v>0</v>
      </c>
      <c r="Q20" s="42">
        <v>2</v>
      </c>
      <c r="R20" s="42"/>
    </row>
    <row r="21" spans="1:18" ht="12.5">
      <c r="A21">
        <f t="shared" si="0"/>
        <v>1</v>
      </c>
      <c r="B21" s="42" t="s">
        <v>374</v>
      </c>
      <c r="C21" s="42">
        <v>2018</v>
      </c>
      <c r="D21" s="42">
        <v>580</v>
      </c>
      <c r="E21" s="42">
        <v>275</v>
      </c>
      <c r="F21" s="42">
        <v>4</v>
      </c>
      <c r="G21" s="42">
        <v>1</v>
      </c>
      <c r="H21" s="42">
        <v>36</v>
      </c>
      <c r="I21" s="42">
        <v>42</v>
      </c>
      <c r="J21" s="42">
        <v>2</v>
      </c>
      <c r="K21" s="42">
        <v>0</v>
      </c>
      <c r="L21" s="5"/>
      <c r="M21" s="42">
        <v>31</v>
      </c>
      <c r="N21" s="42">
        <v>41</v>
      </c>
      <c r="O21" s="42">
        <v>6</v>
      </c>
      <c r="P21" s="42">
        <v>2</v>
      </c>
      <c r="Q21" s="42">
        <v>0</v>
      </c>
      <c r="R21" s="42"/>
    </row>
    <row r="22" spans="1:18" ht="12.5">
      <c r="A22">
        <f t="shared" si="0"/>
        <v>1</v>
      </c>
      <c r="B22" s="42" t="s">
        <v>374</v>
      </c>
      <c r="C22" s="42">
        <v>2019</v>
      </c>
      <c r="D22" s="42">
        <v>248</v>
      </c>
      <c r="E22" s="42">
        <v>125</v>
      </c>
      <c r="F22" s="42">
        <v>7</v>
      </c>
      <c r="G22" s="42">
        <v>0</v>
      </c>
      <c r="H22" s="42">
        <v>32</v>
      </c>
      <c r="I22" s="42">
        <v>32</v>
      </c>
      <c r="J22" s="42">
        <v>1</v>
      </c>
      <c r="K22" s="42">
        <v>0</v>
      </c>
      <c r="L22" s="5"/>
      <c r="M22" s="42">
        <v>31</v>
      </c>
      <c r="N22" s="42">
        <v>33</v>
      </c>
      <c r="O22" s="42">
        <v>1</v>
      </c>
      <c r="P22" s="42">
        <v>0</v>
      </c>
      <c r="Q22" s="42">
        <v>0</v>
      </c>
      <c r="R22" s="42"/>
    </row>
    <row r="23" spans="1:18" ht="12.5">
      <c r="A23">
        <f t="shared" si="0"/>
        <v>1</v>
      </c>
      <c r="B23" s="42" t="s">
        <v>374</v>
      </c>
      <c r="C23" s="42">
        <v>2020</v>
      </c>
      <c r="D23" s="42">
        <v>117</v>
      </c>
      <c r="E23" s="42">
        <v>104</v>
      </c>
      <c r="F23" s="42">
        <v>0</v>
      </c>
      <c r="G23" s="42">
        <v>0</v>
      </c>
      <c r="H23" s="42">
        <v>20</v>
      </c>
      <c r="I23" s="42">
        <v>26</v>
      </c>
      <c r="J23" s="42">
        <v>0</v>
      </c>
      <c r="K23" s="42">
        <v>0</v>
      </c>
      <c r="L23" s="5"/>
      <c r="M23" s="42">
        <v>20</v>
      </c>
      <c r="N23" s="42">
        <v>25</v>
      </c>
      <c r="O23" s="42">
        <v>0</v>
      </c>
      <c r="P23" s="42">
        <v>0</v>
      </c>
      <c r="Q23" s="42">
        <v>1</v>
      </c>
      <c r="R23" s="42"/>
    </row>
    <row r="24" spans="1:18" ht="12.5">
      <c r="A24">
        <f t="shared" si="0"/>
        <v>1</v>
      </c>
      <c r="B24" s="42" t="s">
        <v>374</v>
      </c>
      <c r="C24" s="42">
        <v>2021</v>
      </c>
      <c r="D24" s="42">
        <v>168</v>
      </c>
      <c r="E24" s="42">
        <v>187</v>
      </c>
      <c r="F24" s="42">
        <v>0</v>
      </c>
      <c r="G24" s="42">
        <v>5</v>
      </c>
      <c r="H24" s="42">
        <v>6</v>
      </c>
      <c r="I24" s="42">
        <v>22</v>
      </c>
      <c r="J24" s="42">
        <v>0</v>
      </c>
      <c r="K24" s="42">
        <v>0</v>
      </c>
      <c r="L24" s="5"/>
      <c r="M24" s="42">
        <v>4</v>
      </c>
      <c r="N24" s="42">
        <v>22</v>
      </c>
      <c r="O24" s="42">
        <v>0</v>
      </c>
      <c r="P24" s="42">
        <v>0</v>
      </c>
      <c r="Q24" s="42">
        <v>2</v>
      </c>
      <c r="R24" s="42"/>
    </row>
    <row r="25" spans="1:18" ht="12.5">
      <c r="B25" s="193" t="s">
        <v>374</v>
      </c>
      <c r="C25" s="193">
        <v>2022</v>
      </c>
      <c r="D25" s="193">
        <v>150</v>
      </c>
      <c r="E25" s="193">
        <v>277</v>
      </c>
      <c r="F25" s="193">
        <v>1</v>
      </c>
      <c r="G25" s="193">
        <v>6</v>
      </c>
      <c r="H25" s="193">
        <v>3</v>
      </c>
      <c r="I25" s="193">
        <v>40</v>
      </c>
      <c r="J25" s="193">
        <v>0</v>
      </c>
      <c r="K25" s="193">
        <v>0</v>
      </c>
      <c r="L25" s="199"/>
      <c r="M25" s="193">
        <v>2</v>
      </c>
      <c r="N25" s="193">
        <v>38</v>
      </c>
      <c r="O25" s="193">
        <v>1</v>
      </c>
      <c r="P25" s="193">
        <v>1</v>
      </c>
      <c r="Q25" s="193">
        <v>1</v>
      </c>
      <c r="R25" s="42"/>
    </row>
    <row r="26" spans="1:18" ht="12.5">
      <c r="B26" s="193" t="s">
        <v>374</v>
      </c>
      <c r="C26" s="193">
        <v>2023</v>
      </c>
      <c r="D26" s="193">
        <v>116</v>
      </c>
      <c r="E26" s="193">
        <v>202</v>
      </c>
      <c r="F26" s="193">
        <v>0</v>
      </c>
      <c r="G26" s="193">
        <v>1</v>
      </c>
      <c r="H26" s="193">
        <v>1</v>
      </c>
      <c r="I26" s="193">
        <v>44</v>
      </c>
      <c r="J26" s="193">
        <v>3</v>
      </c>
      <c r="K26" s="193">
        <v>0</v>
      </c>
      <c r="L26" s="199"/>
      <c r="M26" s="193">
        <v>0</v>
      </c>
      <c r="N26" s="193">
        <v>43</v>
      </c>
      <c r="O26" s="193">
        <v>6</v>
      </c>
      <c r="P26" s="193">
        <v>0</v>
      </c>
      <c r="Q26" s="193">
        <v>0</v>
      </c>
      <c r="R26" s="42"/>
    </row>
    <row r="27" spans="1:18" ht="12.5">
      <c r="A27">
        <f>IF(B27=B24, A24, A24+1)</f>
        <v>2</v>
      </c>
      <c r="B27" s="42" t="s">
        <v>375</v>
      </c>
      <c r="C27" s="42">
        <v>2000</v>
      </c>
      <c r="D27" s="42">
        <v>5017</v>
      </c>
      <c r="E27" s="42">
        <v>8423</v>
      </c>
      <c r="F27" s="42">
        <v>811</v>
      </c>
      <c r="G27" s="42">
        <v>189</v>
      </c>
      <c r="H27" s="42">
        <v>119</v>
      </c>
      <c r="I27" s="42">
        <v>4751</v>
      </c>
      <c r="J27" s="42">
        <v>40</v>
      </c>
      <c r="K27" s="42">
        <v>8</v>
      </c>
      <c r="L27" s="5"/>
      <c r="M27" s="42">
        <v>77</v>
      </c>
      <c r="N27" s="42">
        <v>4552</v>
      </c>
      <c r="O27" s="42">
        <v>64</v>
      </c>
      <c r="P27" s="42">
        <v>158</v>
      </c>
      <c r="Q27" s="42">
        <v>67</v>
      </c>
      <c r="R27" s="42"/>
    </row>
    <row r="28" spans="1:18" ht="12.5">
      <c r="A28">
        <f t="shared" si="0"/>
        <v>2</v>
      </c>
      <c r="B28" s="42" t="s">
        <v>375</v>
      </c>
      <c r="C28" s="42">
        <v>2001</v>
      </c>
      <c r="D28" s="42">
        <v>3177</v>
      </c>
      <c r="E28" s="42">
        <v>10409</v>
      </c>
      <c r="F28" s="42">
        <v>1286</v>
      </c>
      <c r="G28" s="42">
        <v>141</v>
      </c>
      <c r="H28" s="42">
        <v>122</v>
      </c>
      <c r="I28" s="42">
        <v>4616</v>
      </c>
      <c r="J28" s="42">
        <v>38</v>
      </c>
      <c r="K28" s="42">
        <v>18</v>
      </c>
      <c r="L28" s="5"/>
      <c r="M28" s="42">
        <v>87</v>
      </c>
      <c r="N28" s="42">
        <v>4431</v>
      </c>
      <c r="O28" s="42">
        <v>56</v>
      </c>
      <c r="P28" s="42">
        <v>155</v>
      </c>
      <c r="Q28" s="42">
        <v>65</v>
      </c>
      <c r="R28" s="42"/>
    </row>
    <row r="29" spans="1:18" ht="12.5">
      <c r="A29">
        <f t="shared" si="0"/>
        <v>2</v>
      </c>
      <c r="B29" s="42" t="s">
        <v>375</v>
      </c>
      <c r="C29" s="42">
        <v>2002</v>
      </c>
      <c r="D29" s="42">
        <v>1188</v>
      </c>
      <c r="E29" s="42">
        <v>14019</v>
      </c>
      <c r="F29" s="42">
        <v>1613</v>
      </c>
      <c r="G29" s="42">
        <v>99</v>
      </c>
      <c r="H29" s="42">
        <v>135</v>
      </c>
      <c r="I29" s="42">
        <v>6478</v>
      </c>
      <c r="J29" s="42">
        <v>52</v>
      </c>
      <c r="K29" s="42">
        <v>18</v>
      </c>
      <c r="L29" s="5"/>
      <c r="M29" s="42">
        <v>104</v>
      </c>
      <c r="N29" s="42">
        <v>6233</v>
      </c>
      <c r="O29" s="42">
        <v>81</v>
      </c>
      <c r="P29" s="42">
        <v>201</v>
      </c>
      <c r="Q29" s="42">
        <v>64</v>
      </c>
      <c r="R29" s="42"/>
    </row>
    <row r="30" spans="1:18" ht="12.5">
      <c r="A30">
        <f t="shared" si="0"/>
        <v>2</v>
      </c>
      <c r="B30" s="42" t="s">
        <v>375</v>
      </c>
      <c r="C30" s="42">
        <v>2003</v>
      </c>
      <c r="D30" s="42">
        <v>1627</v>
      </c>
      <c r="E30" s="42">
        <v>14604</v>
      </c>
      <c r="F30" s="42">
        <v>2007</v>
      </c>
      <c r="G30" s="42">
        <v>100</v>
      </c>
      <c r="H30" s="42">
        <v>243</v>
      </c>
      <c r="I30" s="42">
        <v>7749</v>
      </c>
      <c r="J30" s="42">
        <v>63</v>
      </c>
      <c r="K30" s="42">
        <v>4</v>
      </c>
      <c r="L30" s="5"/>
      <c r="M30" s="42">
        <v>176</v>
      </c>
      <c r="N30" s="42">
        <v>7531</v>
      </c>
      <c r="O30" s="42">
        <v>106</v>
      </c>
      <c r="P30" s="42">
        <v>196</v>
      </c>
      <c r="Q30" s="42">
        <v>50</v>
      </c>
      <c r="R30" s="42"/>
    </row>
    <row r="31" spans="1:18" ht="12.5">
      <c r="A31">
        <f t="shared" si="0"/>
        <v>2</v>
      </c>
      <c r="B31" s="42" t="s">
        <v>375</v>
      </c>
      <c r="C31" s="42">
        <v>2004</v>
      </c>
      <c r="D31" s="42">
        <v>1902</v>
      </c>
      <c r="E31" s="42">
        <v>15915</v>
      </c>
      <c r="F31" s="42">
        <v>2429</v>
      </c>
      <c r="G31" s="42">
        <v>113</v>
      </c>
      <c r="H31" s="42">
        <v>420</v>
      </c>
      <c r="I31" s="42">
        <v>8855</v>
      </c>
      <c r="J31" s="42">
        <v>71</v>
      </c>
      <c r="K31" s="42">
        <v>6</v>
      </c>
      <c r="L31" s="5"/>
      <c r="M31" s="42">
        <v>267</v>
      </c>
      <c r="N31" s="42">
        <v>8683</v>
      </c>
      <c r="O31" s="42">
        <v>131</v>
      </c>
      <c r="P31" s="42">
        <v>218</v>
      </c>
      <c r="Q31" s="42">
        <v>53</v>
      </c>
      <c r="R31" s="42"/>
    </row>
    <row r="32" spans="1:18" ht="12.5">
      <c r="A32">
        <f t="shared" si="0"/>
        <v>2</v>
      </c>
      <c r="B32" s="42" t="s">
        <v>375</v>
      </c>
      <c r="C32" s="42">
        <v>2005</v>
      </c>
      <c r="D32" s="42">
        <v>2069</v>
      </c>
      <c r="E32" s="42">
        <v>17401</v>
      </c>
      <c r="F32" s="42">
        <v>2263</v>
      </c>
      <c r="G32" s="42">
        <v>77</v>
      </c>
      <c r="H32" s="42">
        <v>487</v>
      </c>
      <c r="I32" s="42">
        <v>8288</v>
      </c>
      <c r="J32" s="42">
        <v>101</v>
      </c>
      <c r="K32" s="42">
        <v>4</v>
      </c>
      <c r="L32" s="5"/>
      <c r="M32" s="42">
        <v>320</v>
      </c>
      <c r="N32" s="42">
        <v>8112</v>
      </c>
      <c r="O32" s="42">
        <v>153</v>
      </c>
      <c r="P32" s="42">
        <v>235</v>
      </c>
      <c r="Q32" s="42">
        <v>60</v>
      </c>
      <c r="R32" s="42"/>
    </row>
    <row r="33" spans="1:18" ht="12.5">
      <c r="A33">
        <f t="shared" si="0"/>
        <v>2</v>
      </c>
      <c r="B33" s="42" t="s">
        <v>375</v>
      </c>
      <c r="C33" s="42">
        <v>2006</v>
      </c>
      <c r="D33" s="42">
        <v>3031</v>
      </c>
      <c r="E33" s="42">
        <v>15852</v>
      </c>
      <c r="F33" s="42">
        <v>1438</v>
      </c>
      <c r="G33" s="42">
        <v>68</v>
      </c>
      <c r="H33" s="42">
        <v>411</v>
      </c>
      <c r="I33" s="42">
        <v>7162</v>
      </c>
      <c r="J33" s="42">
        <v>68</v>
      </c>
      <c r="K33" s="42">
        <v>7</v>
      </c>
      <c r="L33" s="5"/>
      <c r="M33" s="42">
        <v>293</v>
      </c>
      <c r="N33" s="42">
        <v>6963</v>
      </c>
      <c r="O33" s="42">
        <v>141</v>
      </c>
      <c r="P33" s="42">
        <v>208</v>
      </c>
      <c r="Q33" s="42">
        <v>43</v>
      </c>
      <c r="R33" s="42"/>
    </row>
    <row r="34" spans="1:18" ht="12.5">
      <c r="A34">
        <f t="shared" si="0"/>
        <v>2</v>
      </c>
      <c r="B34" s="42" t="s">
        <v>375</v>
      </c>
      <c r="C34" s="42">
        <v>2007</v>
      </c>
      <c r="D34" s="42">
        <v>3614</v>
      </c>
      <c r="E34" s="42">
        <v>16965</v>
      </c>
      <c r="F34" s="42">
        <v>1090</v>
      </c>
      <c r="G34" s="42">
        <v>56</v>
      </c>
      <c r="H34" s="42">
        <v>367</v>
      </c>
      <c r="I34" s="42">
        <v>7469</v>
      </c>
      <c r="J34" s="42">
        <v>70</v>
      </c>
      <c r="K34" s="42">
        <v>4</v>
      </c>
      <c r="L34" s="5"/>
      <c r="M34" s="42">
        <v>270</v>
      </c>
      <c r="N34" s="42">
        <v>7242</v>
      </c>
      <c r="O34" s="42">
        <v>158</v>
      </c>
      <c r="P34" s="42">
        <v>197</v>
      </c>
      <c r="Q34" s="42">
        <v>43</v>
      </c>
      <c r="R34" s="42"/>
    </row>
    <row r="35" spans="1:18" ht="12.5">
      <c r="A35">
        <f t="shared" si="0"/>
        <v>2</v>
      </c>
      <c r="B35" s="42" t="s">
        <v>375</v>
      </c>
      <c r="C35" s="42">
        <v>2008</v>
      </c>
      <c r="D35" s="42">
        <v>3149</v>
      </c>
      <c r="E35" s="42">
        <v>16062</v>
      </c>
      <c r="F35" s="42">
        <v>857</v>
      </c>
      <c r="G35" s="42">
        <v>56</v>
      </c>
      <c r="H35" s="42">
        <v>418</v>
      </c>
      <c r="I35" s="42">
        <v>4775</v>
      </c>
      <c r="J35" s="42">
        <v>65</v>
      </c>
      <c r="K35" s="42">
        <v>3</v>
      </c>
      <c r="L35" s="5"/>
      <c r="M35" s="42">
        <v>330</v>
      </c>
      <c r="N35" s="42">
        <v>4568</v>
      </c>
      <c r="O35" s="42">
        <v>168</v>
      </c>
      <c r="P35" s="42">
        <v>166</v>
      </c>
      <c r="Q35" s="42">
        <v>29</v>
      </c>
      <c r="R35" s="42"/>
    </row>
    <row r="36" spans="1:18" ht="12.5">
      <c r="A36">
        <f t="shared" si="0"/>
        <v>2</v>
      </c>
      <c r="B36" s="42" t="s">
        <v>375</v>
      </c>
      <c r="C36" s="42">
        <v>2009</v>
      </c>
      <c r="D36" s="42">
        <v>1894</v>
      </c>
      <c r="E36" s="42">
        <v>11157</v>
      </c>
      <c r="F36" s="42">
        <v>478</v>
      </c>
      <c r="G36" s="42">
        <v>55</v>
      </c>
      <c r="H36" s="42">
        <v>251</v>
      </c>
      <c r="I36" s="42">
        <v>2339</v>
      </c>
      <c r="J36" s="42">
        <v>72</v>
      </c>
      <c r="K36" s="42">
        <v>8</v>
      </c>
      <c r="L36" s="5"/>
      <c r="M36" s="42">
        <v>199</v>
      </c>
      <c r="N36" s="42">
        <v>2162</v>
      </c>
      <c r="O36" s="42">
        <v>131</v>
      </c>
      <c r="P36" s="42">
        <v>141</v>
      </c>
      <c r="Q36" s="42">
        <v>37</v>
      </c>
      <c r="R36" s="42"/>
    </row>
    <row r="37" spans="1:18" ht="12.5">
      <c r="A37">
        <f t="shared" si="0"/>
        <v>2</v>
      </c>
      <c r="B37" s="42" t="s">
        <v>375</v>
      </c>
      <c r="C37" s="42">
        <v>2010</v>
      </c>
      <c r="D37" s="42">
        <v>2084</v>
      </c>
      <c r="E37" s="42">
        <v>13977</v>
      </c>
      <c r="F37" s="42">
        <v>532</v>
      </c>
      <c r="G37" s="42">
        <v>50</v>
      </c>
      <c r="H37" s="42">
        <v>270</v>
      </c>
      <c r="I37" s="42">
        <v>2263</v>
      </c>
      <c r="J37" s="42">
        <v>73</v>
      </c>
      <c r="K37" s="42">
        <v>8</v>
      </c>
      <c r="L37" s="5"/>
      <c r="M37" s="42">
        <v>223</v>
      </c>
      <c r="N37" s="42">
        <v>2066</v>
      </c>
      <c r="O37" s="42">
        <v>125</v>
      </c>
      <c r="P37" s="42">
        <v>156</v>
      </c>
      <c r="Q37" s="42">
        <v>44</v>
      </c>
      <c r="R37" s="42"/>
    </row>
    <row r="38" spans="1:18" ht="12.5">
      <c r="A38">
        <f t="shared" si="0"/>
        <v>2</v>
      </c>
      <c r="B38" s="42" t="s">
        <v>375</v>
      </c>
      <c r="C38" s="42">
        <v>2011</v>
      </c>
      <c r="D38" s="42">
        <v>2571</v>
      </c>
      <c r="E38" s="42">
        <v>15466</v>
      </c>
      <c r="F38" s="42">
        <v>361</v>
      </c>
      <c r="G38" s="42">
        <v>40</v>
      </c>
      <c r="H38" s="42">
        <v>339</v>
      </c>
      <c r="I38" s="42">
        <v>2601</v>
      </c>
      <c r="J38" s="42">
        <v>66</v>
      </c>
      <c r="K38" s="42">
        <v>7</v>
      </c>
      <c r="L38" s="5"/>
      <c r="M38" s="42">
        <v>307</v>
      </c>
      <c r="N38" s="42">
        <v>2436</v>
      </c>
      <c r="O38" s="42">
        <v>93</v>
      </c>
      <c r="P38" s="42">
        <v>144</v>
      </c>
      <c r="Q38" s="42">
        <v>33</v>
      </c>
      <c r="R38" s="42"/>
    </row>
    <row r="39" spans="1:18" ht="12.5">
      <c r="A39">
        <f t="shared" si="0"/>
        <v>2</v>
      </c>
      <c r="B39" s="42" t="s">
        <v>375</v>
      </c>
      <c r="C39" s="42">
        <v>2012</v>
      </c>
      <c r="D39" s="42">
        <v>3158</v>
      </c>
      <c r="E39" s="42">
        <v>17964</v>
      </c>
      <c r="F39" s="42">
        <v>305</v>
      </c>
      <c r="G39" s="42">
        <v>54</v>
      </c>
      <c r="H39" s="42">
        <v>544</v>
      </c>
      <c r="I39" s="42">
        <v>2517</v>
      </c>
      <c r="J39" s="42">
        <v>67</v>
      </c>
      <c r="K39" s="42">
        <v>5</v>
      </c>
      <c r="L39" s="5"/>
      <c r="M39" s="42">
        <v>542</v>
      </c>
      <c r="N39" s="42">
        <v>2305</v>
      </c>
      <c r="O39" s="42">
        <v>127</v>
      </c>
      <c r="P39" s="42">
        <v>133</v>
      </c>
      <c r="Q39" s="42">
        <v>26</v>
      </c>
      <c r="R39" s="42"/>
    </row>
    <row r="40" spans="1:18" ht="12.5">
      <c r="A40">
        <f t="shared" si="0"/>
        <v>2</v>
      </c>
      <c r="B40" s="42" t="s">
        <v>375</v>
      </c>
      <c r="C40" s="42">
        <v>2013</v>
      </c>
      <c r="D40" s="42">
        <v>3514</v>
      </c>
      <c r="E40" s="42">
        <v>23539</v>
      </c>
      <c r="F40" s="42">
        <v>336</v>
      </c>
      <c r="G40" s="42">
        <v>39</v>
      </c>
      <c r="H40" s="42">
        <v>656</v>
      </c>
      <c r="I40" s="42">
        <v>4456</v>
      </c>
      <c r="J40" s="42">
        <v>89</v>
      </c>
      <c r="K40" s="42">
        <v>2</v>
      </c>
      <c r="L40" s="5"/>
      <c r="M40" s="42">
        <v>642</v>
      </c>
      <c r="N40" s="42">
        <v>4089</v>
      </c>
      <c r="O40" s="42">
        <v>281</v>
      </c>
      <c r="P40" s="42">
        <v>165</v>
      </c>
      <c r="Q40" s="42">
        <v>26</v>
      </c>
      <c r="R40" s="42"/>
    </row>
    <row r="41" spans="1:18" ht="12.5">
      <c r="A41">
        <f t="shared" si="0"/>
        <v>2</v>
      </c>
      <c r="B41" s="42" t="s">
        <v>375</v>
      </c>
      <c r="C41" s="42">
        <v>2014</v>
      </c>
      <c r="D41" s="42">
        <v>3757</v>
      </c>
      <c r="E41" s="42">
        <v>28240</v>
      </c>
      <c r="F41" s="42">
        <v>356</v>
      </c>
      <c r="G41" s="42">
        <v>36</v>
      </c>
      <c r="H41" s="42">
        <v>740</v>
      </c>
      <c r="I41" s="42">
        <v>5918</v>
      </c>
      <c r="J41" s="42">
        <v>212</v>
      </c>
      <c r="K41" s="42">
        <v>4</v>
      </c>
      <c r="L41" s="5"/>
      <c r="M41" s="42">
        <v>642</v>
      </c>
      <c r="N41" s="42">
        <v>5400</v>
      </c>
      <c r="O41" s="42">
        <v>596</v>
      </c>
      <c r="P41" s="42">
        <v>200</v>
      </c>
      <c r="Q41" s="42">
        <v>36</v>
      </c>
      <c r="R41" s="42"/>
    </row>
    <row r="42" spans="1:18" ht="12.5">
      <c r="A42">
        <f t="shared" si="0"/>
        <v>2</v>
      </c>
      <c r="B42" s="42" t="s">
        <v>375</v>
      </c>
      <c r="C42" s="42">
        <v>2015</v>
      </c>
      <c r="D42" s="42">
        <v>4160</v>
      </c>
      <c r="E42" s="42">
        <v>30341</v>
      </c>
      <c r="F42" s="42">
        <v>325</v>
      </c>
      <c r="G42" s="42">
        <v>49</v>
      </c>
      <c r="H42" s="42">
        <v>833</v>
      </c>
      <c r="I42" s="42">
        <v>6351</v>
      </c>
      <c r="J42" s="42">
        <v>283</v>
      </c>
      <c r="K42" s="42">
        <v>1</v>
      </c>
      <c r="L42" s="5"/>
      <c r="M42" s="42">
        <v>651</v>
      </c>
      <c r="N42" s="42">
        <v>5688</v>
      </c>
      <c r="O42" s="42">
        <v>937</v>
      </c>
      <c r="P42" s="42">
        <v>175</v>
      </c>
      <c r="Q42" s="42">
        <v>17</v>
      </c>
      <c r="R42" s="42"/>
    </row>
    <row r="43" spans="1:18" ht="12.5">
      <c r="A43">
        <f t="shared" si="0"/>
        <v>2</v>
      </c>
      <c r="B43" s="42" t="s">
        <v>375</v>
      </c>
      <c r="C43" s="42">
        <v>2016</v>
      </c>
      <c r="D43" s="42">
        <v>3790</v>
      </c>
      <c r="E43" s="42">
        <v>35963</v>
      </c>
      <c r="F43" s="42">
        <v>361</v>
      </c>
      <c r="G43" s="42">
        <v>43</v>
      </c>
      <c r="H43" s="42">
        <v>841</v>
      </c>
      <c r="I43" s="42">
        <v>8472</v>
      </c>
      <c r="J43" s="42">
        <v>377</v>
      </c>
      <c r="K43" s="42">
        <v>3</v>
      </c>
      <c r="L43" s="5"/>
      <c r="M43" s="42">
        <v>671</v>
      </c>
      <c r="N43" s="42">
        <v>7593</v>
      </c>
      <c r="O43" s="42">
        <v>1191</v>
      </c>
      <c r="P43" s="42">
        <v>205</v>
      </c>
      <c r="Q43" s="42">
        <v>33</v>
      </c>
      <c r="R43" s="42"/>
    </row>
    <row r="44" spans="1:18" ht="12.5">
      <c r="A44">
        <f t="shared" si="0"/>
        <v>2</v>
      </c>
      <c r="B44" s="42" t="s">
        <v>375</v>
      </c>
      <c r="C44" s="42">
        <v>2017</v>
      </c>
      <c r="D44" s="42">
        <v>4195</v>
      </c>
      <c r="E44" s="42">
        <v>41628</v>
      </c>
      <c r="F44" s="42">
        <v>342</v>
      </c>
      <c r="G44" s="42">
        <v>55</v>
      </c>
      <c r="H44" s="42">
        <v>1095</v>
      </c>
      <c r="I44" s="42">
        <v>9780</v>
      </c>
      <c r="J44" s="42">
        <v>405</v>
      </c>
      <c r="K44" s="42">
        <v>3</v>
      </c>
      <c r="L44" s="5"/>
      <c r="M44" s="42">
        <v>907</v>
      </c>
      <c r="N44" s="42">
        <v>8818</v>
      </c>
      <c r="O44" s="42">
        <v>1319</v>
      </c>
      <c r="P44" s="42">
        <v>210</v>
      </c>
      <c r="Q44" s="42">
        <v>29</v>
      </c>
      <c r="R44" s="42"/>
    </row>
    <row r="45" spans="1:18" ht="12.5">
      <c r="A45">
        <f t="shared" si="0"/>
        <v>2</v>
      </c>
      <c r="B45" s="42" t="s">
        <v>375</v>
      </c>
      <c r="C45" s="42">
        <v>2018</v>
      </c>
      <c r="D45" s="42">
        <v>4920</v>
      </c>
      <c r="E45" s="42">
        <v>42886</v>
      </c>
      <c r="F45" s="42">
        <v>107</v>
      </c>
      <c r="G45" s="42">
        <v>43</v>
      </c>
      <c r="H45" s="42">
        <v>1066</v>
      </c>
      <c r="I45" s="42">
        <v>8931</v>
      </c>
      <c r="J45" s="42">
        <v>293</v>
      </c>
      <c r="K45" s="42">
        <v>3</v>
      </c>
      <c r="L45" s="5"/>
      <c r="M45" s="42">
        <v>908</v>
      </c>
      <c r="N45" s="42">
        <v>8036</v>
      </c>
      <c r="O45" s="42">
        <v>1117</v>
      </c>
      <c r="P45" s="42">
        <v>204</v>
      </c>
      <c r="Q45" s="42">
        <v>28</v>
      </c>
      <c r="R45" s="42"/>
    </row>
    <row r="46" spans="1:18" ht="12.5">
      <c r="A46">
        <f t="shared" si="0"/>
        <v>2</v>
      </c>
      <c r="B46" s="42" t="s">
        <v>375</v>
      </c>
      <c r="C46" s="42">
        <v>2019</v>
      </c>
      <c r="D46" s="42">
        <v>4337</v>
      </c>
      <c r="E46" s="42">
        <v>40899</v>
      </c>
      <c r="F46" s="42">
        <v>72</v>
      </c>
      <c r="G46" s="42">
        <v>39</v>
      </c>
      <c r="H46" s="42">
        <v>1029</v>
      </c>
      <c r="I46" s="42">
        <v>8229</v>
      </c>
      <c r="J46" s="42">
        <v>191</v>
      </c>
      <c r="K46" s="42">
        <v>5</v>
      </c>
      <c r="L46" s="5"/>
      <c r="M46" s="42">
        <v>818</v>
      </c>
      <c r="N46" s="42">
        <v>7389</v>
      </c>
      <c r="O46" s="42">
        <v>1026</v>
      </c>
      <c r="P46" s="42">
        <v>182</v>
      </c>
      <c r="Q46" s="42">
        <v>39</v>
      </c>
      <c r="R46" s="42"/>
    </row>
    <row r="47" spans="1:18" ht="12.5">
      <c r="A47">
        <f t="shared" si="0"/>
        <v>2</v>
      </c>
      <c r="B47" s="42" t="s">
        <v>375</v>
      </c>
      <c r="C47" s="42">
        <v>2020</v>
      </c>
      <c r="D47" s="42">
        <v>3802</v>
      </c>
      <c r="E47" s="42">
        <v>31166</v>
      </c>
      <c r="F47" s="42">
        <v>76</v>
      </c>
      <c r="G47" s="42">
        <v>54</v>
      </c>
      <c r="H47" s="42">
        <v>742</v>
      </c>
      <c r="I47" s="42">
        <v>6528</v>
      </c>
      <c r="J47" s="42">
        <v>192</v>
      </c>
      <c r="K47" s="42">
        <v>5</v>
      </c>
      <c r="L47" s="5"/>
      <c r="M47" s="42">
        <v>528</v>
      </c>
      <c r="N47" s="42">
        <v>5797</v>
      </c>
      <c r="O47" s="42">
        <v>952</v>
      </c>
      <c r="P47" s="42">
        <v>163</v>
      </c>
      <c r="Q47" s="42">
        <v>27</v>
      </c>
      <c r="R47" s="42"/>
    </row>
    <row r="48" spans="1:18" ht="12.5">
      <c r="A48">
        <f t="shared" si="0"/>
        <v>2</v>
      </c>
      <c r="B48" s="42" t="s">
        <v>375</v>
      </c>
      <c r="C48" s="42">
        <v>2021</v>
      </c>
      <c r="D48" s="42">
        <v>4409</v>
      </c>
      <c r="E48" s="42">
        <v>43779</v>
      </c>
      <c r="F48" s="42">
        <v>67</v>
      </c>
      <c r="G48" s="42">
        <v>40</v>
      </c>
      <c r="H48" s="42">
        <v>552</v>
      </c>
      <c r="I48" s="42">
        <v>4118</v>
      </c>
      <c r="J48" s="42">
        <v>136</v>
      </c>
      <c r="K48" s="42">
        <v>6</v>
      </c>
      <c r="L48" s="5"/>
      <c r="M48" s="42">
        <v>409</v>
      </c>
      <c r="N48" s="42">
        <v>3442</v>
      </c>
      <c r="O48" s="42">
        <v>784</v>
      </c>
      <c r="P48" s="42">
        <v>157</v>
      </c>
      <c r="Q48" s="42">
        <v>20</v>
      </c>
      <c r="R48" s="42"/>
    </row>
    <row r="49" spans="1:18" ht="12.5">
      <c r="B49" s="42" t="s">
        <v>375</v>
      </c>
      <c r="C49" s="42">
        <v>2022</v>
      </c>
      <c r="D49" s="42">
        <v>3471</v>
      </c>
      <c r="E49" s="42">
        <v>39077</v>
      </c>
      <c r="F49" s="42">
        <v>67</v>
      </c>
      <c r="G49" s="42">
        <v>54</v>
      </c>
      <c r="H49" s="42">
        <v>493</v>
      </c>
      <c r="I49" s="42">
        <v>4989</v>
      </c>
      <c r="J49" s="42">
        <v>128</v>
      </c>
      <c r="K49" s="42">
        <v>8</v>
      </c>
      <c r="L49" s="5"/>
      <c r="M49" s="42">
        <v>309</v>
      </c>
      <c r="N49" s="42">
        <v>4348</v>
      </c>
      <c r="O49" s="42">
        <v>747</v>
      </c>
      <c r="P49" s="42">
        <v>193</v>
      </c>
      <c r="Q49" s="42">
        <v>21</v>
      </c>
      <c r="R49" s="42"/>
    </row>
    <row r="50" spans="1:18" ht="12.5">
      <c r="B50" s="42" t="s">
        <v>375</v>
      </c>
      <c r="C50" s="42">
        <v>2023</v>
      </c>
      <c r="D50" s="42">
        <v>2835</v>
      </c>
      <c r="E50" s="42">
        <v>29366</v>
      </c>
      <c r="F50" s="42">
        <v>50</v>
      </c>
      <c r="G50" s="42">
        <v>43</v>
      </c>
      <c r="H50" s="42">
        <v>270</v>
      </c>
      <c r="I50" s="42">
        <v>4319</v>
      </c>
      <c r="J50" s="42">
        <v>81</v>
      </c>
      <c r="K50" s="42">
        <v>2</v>
      </c>
      <c r="L50" s="5"/>
      <c r="M50" s="42">
        <v>205</v>
      </c>
      <c r="N50" s="42">
        <v>3902</v>
      </c>
      <c r="O50" s="42">
        <v>405</v>
      </c>
      <c r="P50" s="42">
        <v>145</v>
      </c>
      <c r="Q50" s="42">
        <v>15</v>
      </c>
      <c r="R50" s="42"/>
    </row>
    <row r="51" spans="1:18" ht="12.5">
      <c r="A51">
        <f>IF(B51=B48, A48, A48+1)</f>
        <v>3</v>
      </c>
      <c r="B51" s="42" t="s">
        <v>376</v>
      </c>
      <c r="C51" s="42">
        <v>2000</v>
      </c>
      <c r="D51" s="42">
        <v>12080</v>
      </c>
      <c r="E51" s="42">
        <v>32639</v>
      </c>
      <c r="F51" s="42">
        <v>14962</v>
      </c>
      <c r="G51" s="42">
        <v>656</v>
      </c>
      <c r="H51" s="42">
        <v>7529</v>
      </c>
      <c r="I51" s="42">
        <v>109940</v>
      </c>
      <c r="J51" s="42">
        <v>278</v>
      </c>
      <c r="K51" s="42">
        <v>47</v>
      </c>
      <c r="L51" s="5"/>
      <c r="M51" s="42">
        <v>974</v>
      </c>
      <c r="N51" s="42">
        <v>113827</v>
      </c>
      <c r="O51" s="42">
        <v>448</v>
      </c>
      <c r="P51" s="42">
        <v>2087</v>
      </c>
      <c r="Q51" s="42">
        <v>458</v>
      </c>
      <c r="R51" s="42"/>
    </row>
    <row r="52" spans="1:18" ht="12.5">
      <c r="A52">
        <f t="shared" si="0"/>
        <v>3</v>
      </c>
      <c r="B52" s="42" t="s">
        <v>376</v>
      </c>
      <c r="C52" s="42">
        <v>2001</v>
      </c>
      <c r="D52" s="42">
        <v>15757</v>
      </c>
      <c r="E52" s="42">
        <v>29380</v>
      </c>
      <c r="F52" s="42">
        <v>15157</v>
      </c>
      <c r="G52" s="42">
        <v>558</v>
      </c>
      <c r="H52" s="42">
        <v>9338</v>
      </c>
      <c r="I52" s="42">
        <v>120825</v>
      </c>
      <c r="J52" s="42">
        <v>335</v>
      </c>
      <c r="K52" s="42">
        <v>56</v>
      </c>
      <c r="L52" s="5"/>
      <c r="M52" s="42">
        <v>849</v>
      </c>
      <c r="N52" s="42">
        <v>126488</v>
      </c>
      <c r="O52" s="42">
        <v>527</v>
      </c>
      <c r="P52" s="42">
        <v>2298</v>
      </c>
      <c r="Q52" s="42">
        <v>392</v>
      </c>
      <c r="R52" s="42"/>
    </row>
    <row r="53" spans="1:18" ht="12.5">
      <c r="A53">
        <f t="shared" si="0"/>
        <v>3</v>
      </c>
      <c r="B53" s="42" t="s">
        <v>376</v>
      </c>
      <c r="C53" s="42">
        <v>2002</v>
      </c>
      <c r="D53" s="42">
        <v>18535</v>
      </c>
      <c r="E53" s="42">
        <v>31420</v>
      </c>
      <c r="F53" s="42">
        <v>16382</v>
      </c>
      <c r="G53" s="42">
        <v>524</v>
      </c>
      <c r="H53" s="42">
        <v>11624</v>
      </c>
      <c r="I53" s="42">
        <v>126480</v>
      </c>
      <c r="J53" s="42">
        <v>325</v>
      </c>
      <c r="K53" s="42">
        <v>40</v>
      </c>
      <c r="L53" s="5"/>
      <c r="M53" s="42">
        <v>910</v>
      </c>
      <c r="N53" s="42">
        <v>134102</v>
      </c>
      <c r="O53" s="42">
        <v>568</v>
      </c>
      <c r="P53" s="42">
        <v>2494</v>
      </c>
      <c r="Q53" s="42">
        <v>395</v>
      </c>
      <c r="R53" s="42"/>
    </row>
    <row r="54" spans="1:18" ht="12.5">
      <c r="A54">
        <f t="shared" si="0"/>
        <v>3</v>
      </c>
      <c r="B54" s="42" t="s">
        <v>376</v>
      </c>
      <c r="C54" s="42">
        <v>2003</v>
      </c>
      <c r="D54" s="42">
        <v>18930</v>
      </c>
      <c r="E54" s="42">
        <v>34624</v>
      </c>
      <c r="F54" s="42">
        <v>18862</v>
      </c>
      <c r="G54" s="42">
        <v>407</v>
      </c>
      <c r="H54" s="42">
        <v>15384</v>
      </c>
      <c r="I54" s="42">
        <v>143377</v>
      </c>
      <c r="J54" s="42">
        <v>389</v>
      </c>
      <c r="K54" s="42">
        <v>33</v>
      </c>
      <c r="L54" s="5"/>
      <c r="M54" s="42">
        <v>1014</v>
      </c>
      <c r="N54" s="42">
        <v>154046</v>
      </c>
      <c r="O54" s="42">
        <v>707</v>
      </c>
      <c r="P54" s="42">
        <v>3046</v>
      </c>
      <c r="Q54" s="42">
        <v>370</v>
      </c>
      <c r="R54" s="42"/>
    </row>
    <row r="55" spans="1:18" ht="12.5">
      <c r="A55">
        <f t="shared" si="0"/>
        <v>3</v>
      </c>
      <c r="B55" s="42" t="s">
        <v>376</v>
      </c>
      <c r="C55" s="42">
        <v>2004</v>
      </c>
      <c r="D55" s="42">
        <v>19143</v>
      </c>
      <c r="E55" s="42">
        <v>38133</v>
      </c>
      <c r="F55" s="42">
        <v>19027</v>
      </c>
      <c r="G55" s="42">
        <v>372</v>
      </c>
      <c r="H55" s="42">
        <v>18292</v>
      </c>
      <c r="I55" s="42">
        <v>137519</v>
      </c>
      <c r="J55" s="42">
        <v>422</v>
      </c>
      <c r="K55" s="42">
        <v>29</v>
      </c>
      <c r="L55" s="5"/>
      <c r="M55" s="42">
        <v>1279</v>
      </c>
      <c r="N55" s="42">
        <v>150563</v>
      </c>
      <c r="O55" s="42">
        <v>761</v>
      </c>
      <c r="P55" s="42">
        <v>3332</v>
      </c>
      <c r="Q55" s="42">
        <v>327</v>
      </c>
      <c r="R55" s="42"/>
    </row>
    <row r="56" spans="1:18" ht="12.5">
      <c r="A56">
        <f t="shared" si="0"/>
        <v>3</v>
      </c>
      <c r="B56" s="42" t="s">
        <v>376</v>
      </c>
      <c r="C56" s="42">
        <v>2005</v>
      </c>
      <c r="D56" s="42">
        <v>19429</v>
      </c>
      <c r="E56" s="42">
        <v>42010</v>
      </c>
      <c r="F56" s="42">
        <v>17646</v>
      </c>
      <c r="G56" s="42">
        <v>308</v>
      </c>
      <c r="H56" s="42">
        <v>19571</v>
      </c>
      <c r="I56" s="42">
        <v>134854</v>
      </c>
      <c r="J56" s="42">
        <v>436</v>
      </c>
      <c r="K56" s="42">
        <v>27</v>
      </c>
      <c r="L56" s="5"/>
      <c r="M56" s="42">
        <v>1472</v>
      </c>
      <c r="N56" s="42">
        <v>148770</v>
      </c>
      <c r="O56" s="42">
        <v>845</v>
      </c>
      <c r="P56" s="42">
        <v>3477</v>
      </c>
      <c r="Q56" s="42">
        <v>324</v>
      </c>
      <c r="R56" s="42"/>
    </row>
    <row r="57" spans="1:18" ht="12.5">
      <c r="A57">
        <f t="shared" si="0"/>
        <v>3</v>
      </c>
      <c r="B57" s="42" t="s">
        <v>376</v>
      </c>
      <c r="C57" s="42">
        <v>2006</v>
      </c>
      <c r="D57" s="42">
        <v>16806</v>
      </c>
      <c r="E57" s="42">
        <v>46369</v>
      </c>
      <c r="F57" s="42">
        <v>14974</v>
      </c>
      <c r="G57" s="42">
        <v>273</v>
      </c>
      <c r="H57" s="42">
        <v>19396</v>
      </c>
      <c r="I57" s="42">
        <v>106572</v>
      </c>
      <c r="J57" s="42">
        <v>403</v>
      </c>
      <c r="K57" s="42">
        <v>22</v>
      </c>
      <c r="L57" s="5"/>
      <c r="M57" s="42">
        <v>1650</v>
      </c>
      <c r="N57" s="42">
        <v>120575</v>
      </c>
      <c r="O57" s="42">
        <v>887</v>
      </c>
      <c r="P57" s="42">
        <v>2988</v>
      </c>
      <c r="Q57" s="42">
        <v>293</v>
      </c>
      <c r="R57" s="42"/>
    </row>
    <row r="58" spans="1:18" ht="12.5">
      <c r="A58">
        <f t="shared" si="0"/>
        <v>3</v>
      </c>
      <c r="B58" s="42" t="s">
        <v>376</v>
      </c>
      <c r="C58" s="42">
        <v>2007</v>
      </c>
      <c r="D58" s="42">
        <v>16647</v>
      </c>
      <c r="E58" s="42">
        <v>47554</v>
      </c>
      <c r="F58" s="42">
        <v>14946</v>
      </c>
      <c r="G58" s="42">
        <v>266</v>
      </c>
      <c r="H58" s="42">
        <v>22002</v>
      </c>
      <c r="I58" s="42">
        <v>101372</v>
      </c>
      <c r="J58" s="42">
        <v>433</v>
      </c>
      <c r="K58" s="42">
        <v>21</v>
      </c>
      <c r="L58" s="5"/>
      <c r="M58" s="42">
        <v>1648</v>
      </c>
      <c r="N58" s="42">
        <v>117778</v>
      </c>
      <c r="O58" s="42">
        <v>824</v>
      </c>
      <c r="P58" s="42">
        <v>3286</v>
      </c>
      <c r="Q58" s="42">
        <v>292</v>
      </c>
      <c r="R58" s="42"/>
    </row>
    <row r="59" spans="1:18" ht="12.5">
      <c r="A59">
        <f t="shared" si="0"/>
        <v>3</v>
      </c>
      <c r="B59" s="42" t="s">
        <v>376</v>
      </c>
      <c r="C59" s="42">
        <v>2008</v>
      </c>
      <c r="D59" s="42">
        <v>14641</v>
      </c>
      <c r="E59" s="42">
        <v>48623</v>
      </c>
      <c r="F59" s="42">
        <v>11738</v>
      </c>
      <c r="G59" s="42">
        <v>259</v>
      </c>
      <c r="H59" s="42">
        <v>18326</v>
      </c>
      <c r="I59" s="42">
        <v>75804</v>
      </c>
      <c r="J59" s="42">
        <v>344</v>
      </c>
      <c r="K59" s="42">
        <v>28</v>
      </c>
      <c r="L59" s="5"/>
      <c r="M59" s="42">
        <v>1870</v>
      </c>
      <c r="N59" s="42">
        <v>88686</v>
      </c>
      <c r="O59" s="42">
        <v>796</v>
      </c>
      <c r="P59" s="42">
        <v>2841</v>
      </c>
      <c r="Q59" s="42">
        <v>309</v>
      </c>
      <c r="R59" s="42"/>
    </row>
    <row r="60" spans="1:18" ht="12.5">
      <c r="A60">
        <f t="shared" si="0"/>
        <v>3</v>
      </c>
      <c r="B60" s="42" t="s">
        <v>376</v>
      </c>
      <c r="C60" s="42">
        <v>2009</v>
      </c>
      <c r="D60" s="42">
        <v>12110</v>
      </c>
      <c r="E60" s="42">
        <v>36316</v>
      </c>
      <c r="F60" s="42">
        <v>8045</v>
      </c>
      <c r="G60" s="42">
        <v>256</v>
      </c>
      <c r="H60" s="42">
        <v>10338</v>
      </c>
      <c r="I60" s="42">
        <v>62560</v>
      </c>
      <c r="J60" s="42">
        <v>307</v>
      </c>
      <c r="K60" s="42">
        <v>24</v>
      </c>
      <c r="L60" s="5"/>
      <c r="M60" s="42">
        <v>1380</v>
      </c>
      <c r="N60" s="42">
        <v>68094</v>
      </c>
      <c r="O60" s="42">
        <v>738</v>
      </c>
      <c r="P60" s="42">
        <v>2782</v>
      </c>
      <c r="Q60" s="42">
        <v>235</v>
      </c>
      <c r="R60" s="42"/>
    </row>
    <row r="61" spans="1:18" ht="12.5">
      <c r="A61">
        <f t="shared" si="0"/>
        <v>3</v>
      </c>
      <c r="B61" s="42" t="s">
        <v>376</v>
      </c>
      <c r="C61" s="42">
        <v>2010</v>
      </c>
      <c r="D61" s="42">
        <v>13431</v>
      </c>
      <c r="E61" s="42">
        <v>42074</v>
      </c>
      <c r="F61" s="42">
        <v>8548</v>
      </c>
      <c r="G61" s="42">
        <v>261</v>
      </c>
      <c r="H61" s="42">
        <v>12077</v>
      </c>
      <c r="I61" s="42">
        <v>80198</v>
      </c>
      <c r="J61" s="42">
        <v>309</v>
      </c>
      <c r="K61" s="42">
        <v>22</v>
      </c>
      <c r="L61" s="5"/>
      <c r="M61" s="42">
        <v>1680</v>
      </c>
      <c r="N61" s="42">
        <v>87271</v>
      </c>
      <c r="O61" s="42">
        <v>786</v>
      </c>
      <c r="P61" s="42">
        <v>2618</v>
      </c>
      <c r="Q61" s="42">
        <v>251</v>
      </c>
      <c r="R61" s="42"/>
    </row>
    <row r="62" spans="1:18" ht="12.5">
      <c r="A62">
        <f t="shared" si="0"/>
        <v>3</v>
      </c>
      <c r="B62" s="42" t="s">
        <v>376</v>
      </c>
      <c r="C62" s="42">
        <v>2011</v>
      </c>
      <c r="D62" s="42">
        <v>14288</v>
      </c>
      <c r="E62" s="42">
        <v>43442</v>
      </c>
      <c r="F62" s="42">
        <v>8135</v>
      </c>
      <c r="G62" s="42">
        <v>228</v>
      </c>
      <c r="H62" s="42">
        <v>12388</v>
      </c>
      <c r="I62" s="42">
        <v>71438</v>
      </c>
      <c r="J62" s="42">
        <v>293</v>
      </c>
      <c r="K62" s="42">
        <v>15</v>
      </c>
      <c r="L62" s="5"/>
      <c r="M62" s="42">
        <v>2345</v>
      </c>
      <c r="N62" s="42">
        <v>78401</v>
      </c>
      <c r="O62" s="42">
        <v>788</v>
      </c>
      <c r="P62" s="42">
        <v>2403</v>
      </c>
      <c r="Q62" s="42">
        <v>197</v>
      </c>
      <c r="R62" s="42"/>
    </row>
    <row r="63" spans="1:18" ht="12.5">
      <c r="A63">
        <f t="shared" si="0"/>
        <v>3</v>
      </c>
      <c r="B63" s="42" t="s">
        <v>376</v>
      </c>
      <c r="C63" s="42">
        <v>2012</v>
      </c>
      <c r="D63" s="42">
        <v>19263</v>
      </c>
      <c r="E63" s="42">
        <v>50209</v>
      </c>
      <c r="F63" s="42">
        <v>9431</v>
      </c>
      <c r="G63" s="42">
        <v>231</v>
      </c>
      <c r="H63" s="42">
        <v>10762</v>
      </c>
      <c r="I63" s="42">
        <v>70828</v>
      </c>
      <c r="J63" s="42">
        <v>264</v>
      </c>
      <c r="K63" s="42">
        <v>28</v>
      </c>
      <c r="L63" s="5"/>
      <c r="M63" s="42">
        <v>3740</v>
      </c>
      <c r="N63" s="42">
        <v>74667</v>
      </c>
      <c r="O63" s="42">
        <v>849</v>
      </c>
      <c r="P63" s="42">
        <v>2416</v>
      </c>
      <c r="Q63" s="42">
        <v>210</v>
      </c>
      <c r="R63" s="42"/>
    </row>
    <row r="64" spans="1:18" ht="12.5">
      <c r="A64">
        <f t="shared" si="0"/>
        <v>3</v>
      </c>
      <c r="B64" s="42" t="s">
        <v>376</v>
      </c>
      <c r="C64" s="42">
        <v>2013</v>
      </c>
      <c r="D64" s="42">
        <v>21301</v>
      </c>
      <c r="E64" s="42">
        <v>54160</v>
      </c>
      <c r="F64" s="42">
        <v>9160</v>
      </c>
      <c r="G64" s="42">
        <v>193</v>
      </c>
      <c r="H64" s="42">
        <v>14454</v>
      </c>
      <c r="I64" s="42">
        <v>87290</v>
      </c>
      <c r="J64" s="42">
        <v>449</v>
      </c>
      <c r="K64" s="42">
        <v>33</v>
      </c>
      <c r="L64" s="5"/>
      <c r="M64" s="42">
        <v>4158</v>
      </c>
      <c r="N64" s="42">
        <v>94146</v>
      </c>
      <c r="O64" s="42">
        <v>1385</v>
      </c>
      <c r="P64" s="42">
        <v>2316</v>
      </c>
      <c r="Q64" s="42">
        <v>221</v>
      </c>
      <c r="R64" s="42"/>
    </row>
    <row r="65" spans="1:18" ht="12.5">
      <c r="A65">
        <f t="shared" si="0"/>
        <v>3</v>
      </c>
      <c r="B65" s="42" t="s">
        <v>376</v>
      </c>
      <c r="C65" s="42">
        <v>2014</v>
      </c>
      <c r="D65" s="42">
        <v>26966</v>
      </c>
      <c r="E65" s="42">
        <v>57657</v>
      </c>
      <c r="F65" s="42">
        <v>7997</v>
      </c>
      <c r="G65" s="42">
        <v>192</v>
      </c>
      <c r="H65" s="42">
        <v>19609</v>
      </c>
      <c r="I65" s="42">
        <v>112475</v>
      </c>
      <c r="J65" s="42">
        <v>623</v>
      </c>
      <c r="K65" s="42">
        <v>42</v>
      </c>
      <c r="L65" s="5"/>
      <c r="M65" s="42">
        <v>3301</v>
      </c>
      <c r="N65" s="42">
        <v>124752</v>
      </c>
      <c r="O65" s="42">
        <v>2119</v>
      </c>
      <c r="P65" s="42">
        <v>2324</v>
      </c>
      <c r="Q65" s="42">
        <v>254</v>
      </c>
      <c r="R65" s="42"/>
    </row>
    <row r="66" spans="1:18" ht="12.5">
      <c r="A66">
        <f t="shared" si="0"/>
        <v>3</v>
      </c>
      <c r="B66" s="42" t="s">
        <v>376</v>
      </c>
      <c r="C66" s="42">
        <v>2015</v>
      </c>
      <c r="D66" s="42">
        <v>28288</v>
      </c>
      <c r="E66" s="42">
        <v>61724</v>
      </c>
      <c r="F66" s="42">
        <v>7170</v>
      </c>
      <c r="G66" s="42">
        <v>179</v>
      </c>
      <c r="H66" s="42">
        <v>22684</v>
      </c>
      <c r="I66" s="42">
        <v>122791</v>
      </c>
      <c r="J66" s="42">
        <v>861</v>
      </c>
      <c r="K66" s="42">
        <v>26</v>
      </c>
      <c r="L66" s="5"/>
      <c r="M66" s="42">
        <v>2301</v>
      </c>
      <c r="N66" s="42">
        <v>138401</v>
      </c>
      <c r="O66" s="42">
        <v>3005</v>
      </c>
      <c r="P66" s="42">
        <v>2429</v>
      </c>
      <c r="Q66" s="42">
        <v>226</v>
      </c>
      <c r="R66" s="42"/>
    </row>
    <row r="67" spans="1:18" ht="12.5">
      <c r="A67">
        <f t="shared" si="0"/>
        <v>3</v>
      </c>
      <c r="B67" s="42" t="s">
        <v>376</v>
      </c>
      <c r="C67" s="42">
        <v>2016</v>
      </c>
      <c r="D67" s="42">
        <v>30654</v>
      </c>
      <c r="E67" s="42">
        <v>67407</v>
      </c>
      <c r="F67" s="42">
        <v>6938</v>
      </c>
      <c r="G67" s="42">
        <v>225</v>
      </c>
      <c r="H67" s="42">
        <v>23008</v>
      </c>
      <c r="I67" s="42">
        <v>128339</v>
      </c>
      <c r="J67" s="42">
        <v>947</v>
      </c>
      <c r="K67" s="42">
        <v>24</v>
      </c>
      <c r="L67" s="5"/>
      <c r="M67" s="42">
        <v>2517</v>
      </c>
      <c r="N67" s="42">
        <v>143628</v>
      </c>
      <c r="O67" s="42">
        <v>3442</v>
      </c>
      <c r="P67" s="42">
        <v>2402</v>
      </c>
      <c r="Q67" s="42">
        <v>329</v>
      </c>
      <c r="R67" s="42"/>
    </row>
    <row r="68" spans="1:18" ht="12.5">
      <c r="A68">
        <f t="shared" si="0"/>
        <v>3</v>
      </c>
      <c r="B68" s="42" t="s">
        <v>376</v>
      </c>
      <c r="C68" s="42">
        <v>2017</v>
      </c>
      <c r="D68" s="42">
        <v>32920</v>
      </c>
      <c r="E68" s="42">
        <v>73529</v>
      </c>
      <c r="F68" s="42">
        <v>4504</v>
      </c>
      <c r="G68" s="42">
        <v>239</v>
      </c>
      <c r="H68" s="42">
        <v>24994</v>
      </c>
      <c r="I68" s="42">
        <v>142244</v>
      </c>
      <c r="J68" s="42">
        <v>986</v>
      </c>
      <c r="K68" s="42">
        <v>34</v>
      </c>
      <c r="L68" s="5"/>
      <c r="M68" s="42">
        <v>3810</v>
      </c>
      <c r="N68" s="42">
        <v>158036</v>
      </c>
      <c r="O68" s="42">
        <v>3772</v>
      </c>
      <c r="P68" s="42">
        <v>2404</v>
      </c>
      <c r="Q68" s="42">
        <v>236</v>
      </c>
      <c r="R68" s="42"/>
    </row>
    <row r="69" spans="1:18" ht="12.5">
      <c r="A69">
        <f t="shared" si="0"/>
        <v>3</v>
      </c>
      <c r="B69" s="42" t="s">
        <v>376</v>
      </c>
      <c r="C69" s="42">
        <v>2018</v>
      </c>
      <c r="D69" s="42">
        <v>33078</v>
      </c>
      <c r="E69" s="42">
        <v>76312</v>
      </c>
      <c r="F69" s="42">
        <v>1082</v>
      </c>
      <c r="G69" s="42">
        <v>191</v>
      </c>
      <c r="H69" s="42">
        <v>21153</v>
      </c>
      <c r="I69" s="42">
        <v>128640</v>
      </c>
      <c r="J69" s="42">
        <v>608</v>
      </c>
      <c r="K69" s="42">
        <v>37</v>
      </c>
      <c r="L69" s="5"/>
      <c r="M69" s="42">
        <v>2562</v>
      </c>
      <c r="N69" s="42">
        <v>142347</v>
      </c>
      <c r="O69" s="42">
        <v>3001</v>
      </c>
      <c r="P69" s="42">
        <v>2337</v>
      </c>
      <c r="Q69" s="42">
        <v>191</v>
      </c>
      <c r="R69" s="42"/>
    </row>
    <row r="70" spans="1:18" ht="12.5">
      <c r="A70">
        <f t="shared" si="0"/>
        <v>3</v>
      </c>
      <c r="B70" s="42" t="s">
        <v>376</v>
      </c>
      <c r="C70" s="42">
        <v>2019</v>
      </c>
      <c r="D70" s="42">
        <v>33080</v>
      </c>
      <c r="E70" s="42">
        <v>72866</v>
      </c>
      <c r="F70" s="42">
        <v>344</v>
      </c>
      <c r="G70" s="42">
        <v>193</v>
      </c>
      <c r="H70" s="42">
        <v>18141</v>
      </c>
      <c r="I70" s="42">
        <v>124392</v>
      </c>
      <c r="J70" s="42">
        <v>510</v>
      </c>
      <c r="K70" s="42">
        <v>22</v>
      </c>
      <c r="L70" s="5"/>
      <c r="M70" s="42">
        <v>2022</v>
      </c>
      <c r="N70" s="42">
        <v>135687</v>
      </c>
      <c r="O70" s="42">
        <v>3188</v>
      </c>
      <c r="P70" s="42">
        <v>1971</v>
      </c>
      <c r="Q70" s="42">
        <v>199</v>
      </c>
      <c r="R70" s="42"/>
    </row>
    <row r="71" spans="1:18" ht="12.5">
      <c r="A71">
        <f t="shared" si="0"/>
        <v>3</v>
      </c>
      <c r="B71" s="42" t="s">
        <v>376</v>
      </c>
      <c r="C71" s="42">
        <v>2020</v>
      </c>
      <c r="D71" s="42">
        <v>25501</v>
      </c>
      <c r="E71" s="42">
        <v>56706</v>
      </c>
      <c r="F71" s="42">
        <v>370</v>
      </c>
      <c r="G71" s="42">
        <v>166</v>
      </c>
      <c r="H71" s="42">
        <v>17126</v>
      </c>
      <c r="I71" s="42">
        <v>98393</v>
      </c>
      <c r="J71" s="42">
        <v>427</v>
      </c>
      <c r="K71" s="42">
        <v>25</v>
      </c>
      <c r="L71" s="5"/>
      <c r="M71" s="42">
        <v>1584</v>
      </c>
      <c r="N71" s="42">
        <v>109510</v>
      </c>
      <c r="O71" s="42">
        <v>2908</v>
      </c>
      <c r="P71" s="42">
        <v>1782</v>
      </c>
      <c r="Q71" s="42">
        <v>188</v>
      </c>
      <c r="R71" s="42"/>
    </row>
    <row r="72" spans="1:18" ht="12.5">
      <c r="A72">
        <f t="shared" ref="A72:A141" si="1">IF(B72=B71, A71, A71+1)</f>
        <v>3</v>
      </c>
      <c r="B72" s="42" t="s">
        <v>376</v>
      </c>
      <c r="C72" s="42">
        <v>2021</v>
      </c>
      <c r="D72" s="42">
        <v>26802</v>
      </c>
      <c r="E72" s="42">
        <v>85623</v>
      </c>
      <c r="F72" s="42">
        <v>344</v>
      </c>
      <c r="G72" s="42">
        <v>187</v>
      </c>
      <c r="H72" s="42">
        <v>23083</v>
      </c>
      <c r="I72" s="42">
        <v>101407</v>
      </c>
      <c r="J72" s="42">
        <v>318</v>
      </c>
      <c r="K72" s="42">
        <v>17</v>
      </c>
      <c r="L72" s="5"/>
      <c r="M72" s="42">
        <v>2361</v>
      </c>
      <c r="N72" s="42">
        <v>118458</v>
      </c>
      <c r="O72" s="42">
        <v>2180</v>
      </c>
      <c r="P72" s="42">
        <v>1692</v>
      </c>
      <c r="Q72" s="42">
        <v>135</v>
      </c>
      <c r="R72" s="42"/>
    </row>
    <row r="73" spans="1:18" ht="12.5">
      <c r="B73" s="193" t="s">
        <v>376</v>
      </c>
      <c r="C73" s="193">
        <v>2022</v>
      </c>
      <c r="D73" s="193">
        <v>24412</v>
      </c>
      <c r="E73" s="193">
        <v>93428</v>
      </c>
      <c r="F73" s="193">
        <v>358</v>
      </c>
      <c r="G73" s="193">
        <v>175</v>
      </c>
      <c r="H73" s="193">
        <v>19408</v>
      </c>
      <c r="I73" s="193">
        <v>94977</v>
      </c>
      <c r="J73" s="193">
        <v>237</v>
      </c>
      <c r="K73" s="193">
        <v>19</v>
      </c>
      <c r="L73" s="199"/>
      <c r="M73" s="193">
        <v>1564</v>
      </c>
      <c r="N73" s="193">
        <v>109255</v>
      </c>
      <c r="O73" s="193">
        <v>1742</v>
      </c>
      <c r="P73" s="193">
        <v>1975</v>
      </c>
      <c r="Q73" s="193">
        <v>109</v>
      </c>
      <c r="R73" s="42"/>
    </row>
    <row r="74" spans="1:18" ht="12.5">
      <c r="B74" s="193" t="s">
        <v>376</v>
      </c>
      <c r="C74" s="193">
        <v>2023</v>
      </c>
      <c r="D74" s="193">
        <v>25157</v>
      </c>
      <c r="E74" s="193">
        <v>86659</v>
      </c>
      <c r="F74" s="193">
        <v>343</v>
      </c>
      <c r="G74" s="193">
        <v>143</v>
      </c>
      <c r="H74" s="193">
        <v>11907</v>
      </c>
      <c r="I74" s="193">
        <v>107122</v>
      </c>
      <c r="J74" s="193">
        <v>135</v>
      </c>
      <c r="K74" s="193">
        <v>12</v>
      </c>
      <c r="L74" s="199"/>
      <c r="M74" s="193">
        <v>811</v>
      </c>
      <c r="N74" s="193">
        <v>115574</v>
      </c>
      <c r="O74" s="193">
        <v>950</v>
      </c>
      <c r="P74" s="193">
        <v>1745</v>
      </c>
      <c r="Q74" s="193">
        <v>98</v>
      </c>
      <c r="R74" s="42"/>
    </row>
    <row r="75" spans="1:18" ht="12.5">
      <c r="A75">
        <f>IF(B75=B72, A72, A72+1)</f>
        <v>4</v>
      </c>
      <c r="B75" s="42" t="s">
        <v>402</v>
      </c>
      <c r="C75" s="42">
        <v>2000</v>
      </c>
      <c r="D75" s="42">
        <v>17097</v>
      </c>
      <c r="E75" s="42">
        <v>41062</v>
      </c>
      <c r="F75" s="42">
        <v>15773</v>
      </c>
      <c r="G75" s="42">
        <v>845</v>
      </c>
      <c r="H75" s="42">
        <v>7648</v>
      </c>
      <c r="I75" s="42">
        <v>114691</v>
      </c>
      <c r="J75" s="42">
        <v>318</v>
      </c>
      <c r="K75" s="42">
        <v>55</v>
      </c>
      <c r="L75" s="5"/>
      <c r="M75" s="42">
        <v>1051</v>
      </c>
      <c r="N75" s="42">
        <v>118379</v>
      </c>
      <c r="O75" s="42">
        <v>512</v>
      </c>
      <c r="P75" s="42">
        <v>2245</v>
      </c>
      <c r="Q75" s="42">
        <v>525</v>
      </c>
      <c r="R75" s="42"/>
    </row>
    <row r="76" spans="1:18" ht="12.5">
      <c r="A76">
        <f t="shared" si="1"/>
        <v>4</v>
      </c>
      <c r="B76" s="42" t="s">
        <v>402</v>
      </c>
      <c r="C76" s="42">
        <v>2001</v>
      </c>
      <c r="D76" s="42">
        <v>18934</v>
      </c>
      <c r="E76" s="42">
        <v>39789</v>
      </c>
      <c r="F76" s="42">
        <v>16443</v>
      </c>
      <c r="G76" s="42">
        <v>699</v>
      </c>
      <c r="H76" s="42">
        <v>9460</v>
      </c>
      <c r="I76" s="42">
        <v>125441</v>
      </c>
      <c r="J76" s="42">
        <v>373</v>
      </c>
      <c r="K76" s="42">
        <v>74</v>
      </c>
      <c r="L76" s="5"/>
      <c r="M76" s="42">
        <v>936</v>
      </c>
      <c r="N76" s="42">
        <v>130919</v>
      </c>
      <c r="O76" s="42">
        <v>583</v>
      </c>
      <c r="P76" s="42">
        <v>2453</v>
      </c>
      <c r="Q76" s="42">
        <v>457</v>
      </c>
      <c r="R76" s="42"/>
    </row>
    <row r="77" spans="1:18" ht="12.5">
      <c r="A77">
        <f t="shared" si="1"/>
        <v>4</v>
      </c>
      <c r="B77" s="42" t="s">
        <v>402</v>
      </c>
      <c r="C77" s="42">
        <v>2002</v>
      </c>
      <c r="D77" s="42">
        <v>19723</v>
      </c>
      <c r="E77" s="42">
        <v>45439</v>
      </c>
      <c r="F77" s="42">
        <v>17995</v>
      </c>
      <c r="G77" s="42">
        <v>623</v>
      </c>
      <c r="H77" s="42">
        <v>11759</v>
      </c>
      <c r="I77" s="42">
        <v>132958</v>
      </c>
      <c r="J77" s="42">
        <v>377</v>
      </c>
      <c r="K77" s="42">
        <v>58</v>
      </c>
      <c r="L77" s="5"/>
      <c r="M77" s="42">
        <v>1014</v>
      </c>
      <c r="N77" s="42">
        <v>140335</v>
      </c>
      <c r="O77" s="42">
        <v>649</v>
      </c>
      <c r="P77" s="42">
        <v>2695</v>
      </c>
      <c r="Q77" s="42">
        <v>459</v>
      </c>
      <c r="R77" s="42"/>
    </row>
    <row r="78" spans="1:18" ht="12.5">
      <c r="A78">
        <f t="shared" si="1"/>
        <v>4</v>
      </c>
      <c r="B78" s="42" t="s">
        <v>402</v>
      </c>
      <c r="C78" s="42">
        <v>2003</v>
      </c>
      <c r="D78" s="42">
        <v>20557</v>
      </c>
      <c r="E78" s="42">
        <v>49228</v>
      </c>
      <c r="F78" s="42">
        <v>20869</v>
      </c>
      <c r="G78" s="42">
        <v>507</v>
      </c>
      <c r="H78" s="42">
        <v>15627</v>
      </c>
      <c r="I78" s="42">
        <v>151126</v>
      </c>
      <c r="J78" s="42">
        <v>452</v>
      </c>
      <c r="K78" s="42">
        <v>37</v>
      </c>
      <c r="L78" s="5"/>
      <c r="M78" s="42">
        <v>1190</v>
      </c>
      <c r="N78" s="42">
        <v>161577</v>
      </c>
      <c r="O78" s="42">
        <v>813</v>
      </c>
      <c r="P78" s="42">
        <v>3242</v>
      </c>
      <c r="Q78" s="42">
        <v>420</v>
      </c>
      <c r="R78" s="42"/>
    </row>
    <row r="79" spans="1:18" ht="12.5">
      <c r="A79">
        <f t="shared" si="1"/>
        <v>4</v>
      </c>
      <c r="B79" s="42" t="s">
        <v>402</v>
      </c>
      <c r="C79" s="42">
        <v>2004</v>
      </c>
      <c r="D79" s="42">
        <v>21045</v>
      </c>
      <c r="E79" s="42">
        <v>54048</v>
      </c>
      <c r="F79" s="42">
        <v>21456</v>
      </c>
      <c r="G79" s="42">
        <v>485</v>
      </c>
      <c r="H79" s="42">
        <v>18712</v>
      </c>
      <c r="I79" s="42">
        <v>146374</v>
      </c>
      <c r="J79" s="42">
        <v>493</v>
      </c>
      <c r="K79" s="42">
        <v>35</v>
      </c>
      <c r="L79" s="5"/>
      <c r="M79" s="42">
        <v>1546</v>
      </c>
      <c r="N79" s="42">
        <v>159246</v>
      </c>
      <c r="O79" s="42">
        <v>892</v>
      </c>
      <c r="P79" s="42">
        <v>3550</v>
      </c>
      <c r="Q79" s="42">
        <v>380</v>
      </c>
      <c r="R79" s="42"/>
    </row>
    <row r="80" spans="1:18" ht="12.5">
      <c r="A80">
        <f t="shared" si="1"/>
        <v>4</v>
      </c>
      <c r="B80" s="42" t="s">
        <v>402</v>
      </c>
      <c r="C80" s="42">
        <v>2005</v>
      </c>
      <c r="D80" s="42">
        <v>21498</v>
      </c>
      <c r="E80" s="42">
        <v>59411</v>
      </c>
      <c r="F80" s="42">
        <v>19909</v>
      </c>
      <c r="G80" s="42">
        <v>385</v>
      </c>
      <c r="H80" s="42">
        <v>20058</v>
      </c>
      <c r="I80" s="42">
        <v>143142</v>
      </c>
      <c r="J80" s="42">
        <v>537</v>
      </c>
      <c r="K80" s="42">
        <v>31</v>
      </c>
      <c r="L80" s="5"/>
      <c r="M80" s="42">
        <v>1792</v>
      </c>
      <c r="N80" s="42">
        <v>156882</v>
      </c>
      <c r="O80" s="42">
        <v>998</v>
      </c>
      <c r="P80" s="42">
        <v>3712</v>
      </c>
      <c r="Q80" s="42">
        <v>384</v>
      </c>
      <c r="R80" s="42"/>
    </row>
    <row r="81" spans="1:18" ht="12.5">
      <c r="A81">
        <f t="shared" si="1"/>
        <v>4</v>
      </c>
      <c r="B81" s="42" t="s">
        <v>402</v>
      </c>
      <c r="C81" s="42">
        <v>2006</v>
      </c>
      <c r="D81" s="42">
        <v>19837</v>
      </c>
      <c r="E81" s="42">
        <v>62221</v>
      </c>
      <c r="F81" s="42">
        <v>16412</v>
      </c>
      <c r="G81" s="42">
        <v>341</v>
      </c>
      <c r="H81" s="42">
        <v>19807</v>
      </c>
      <c r="I81" s="42">
        <v>113734</v>
      </c>
      <c r="J81" s="42">
        <v>471</v>
      </c>
      <c r="K81" s="42">
        <v>29</v>
      </c>
      <c r="L81" s="5"/>
      <c r="M81" s="42">
        <v>1943</v>
      </c>
      <c r="N81" s="42">
        <v>127538</v>
      </c>
      <c r="O81" s="42">
        <v>1028</v>
      </c>
      <c r="P81" s="42">
        <v>3196</v>
      </c>
      <c r="Q81" s="42">
        <v>336</v>
      </c>
      <c r="R81" s="42"/>
    </row>
    <row r="82" spans="1:18" ht="12.5">
      <c r="A82">
        <f t="shared" si="1"/>
        <v>4</v>
      </c>
      <c r="B82" s="42" t="s">
        <v>402</v>
      </c>
      <c r="C82" s="42">
        <v>2007</v>
      </c>
      <c r="D82" s="42">
        <v>20261</v>
      </c>
      <c r="E82" s="42">
        <v>64519</v>
      </c>
      <c r="F82" s="42">
        <v>16036</v>
      </c>
      <c r="G82" s="42">
        <v>322</v>
      </c>
      <c r="H82" s="42">
        <v>22369</v>
      </c>
      <c r="I82" s="42">
        <v>108841</v>
      </c>
      <c r="J82" s="42">
        <v>503</v>
      </c>
      <c r="K82" s="42">
        <v>25</v>
      </c>
      <c r="L82" s="5"/>
      <c r="M82" s="42">
        <v>1918</v>
      </c>
      <c r="N82" s="42">
        <v>125020</v>
      </c>
      <c r="O82" s="42">
        <v>982</v>
      </c>
      <c r="P82" s="42">
        <v>3483</v>
      </c>
      <c r="Q82" s="42">
        <v>335</v>
      </c>
      <c r="R82" s="42"/>
    </row>
    <row r="83" spans="1:18" ht="12.5">
      <c r="A83">
        <f t="shared" si="1"/>
        <v>4</v>
      </c>
      <c r="B83" s="42" t="s">
        <v>402</v>
      </c>
      <c r="C83" s="42">
        <v>2008</v>
      </c>
      <c r="D83" s="42">
        <v>17790</v>
      </c>
      <c r="E83" s="42">
        <v>64685</v>
      </c>
      <c r="F83" s="42">
        <v>12595</v>
      </c>
      <c r="G83" s="42">
        <v>315</v>
      </c>
      <c r="H83" s="42">
        <v>18744</v>
      </c>
      <c r="I83" s="42">
        <v>80579</v>
      </c>
      <c r="J83" s="42">
        <v>409</v>
      </c>
      <c r="K83" s="42">
        <v>31</v>
      </c>
      <c r="L83" s="5"/>
      <c r="M83" s="42">
        <v>2200</v>
      </c>
      <c r="N83" s="42">
        <v>93254</v>
      </c>
      <c r="O83" s="42">
        <v>964</v>
      </c>
      <c r="P83" s="42">
        <v>3007</v>
      </c>
      <c r="Q83" s="42">
        <v>338</v>
      </c>
      <c r="R83" s="42"/>
    </row>
    <row r="84" spans="1:18" ht="12.5">
      <c r="A84">
        <f t="shared" si="1"/>
        <v>4</v>
      </c>
      <c r="B84" s="42" t="s">
        <v>402</v>
      </c>
      <c r="C84" s="42">
        <v>2009</v>
      </c>
      <c r="D84" s="42">
        <v>14004</v>
      </c>
      <c r="E84" s="42">
        <v>47473</v>
      </c>
      <c r="F84" s="42">
        <v>8523</v>
      </c>
      <c r="G84" s="42">
        <v>311</v>
      </c>
      <c r="H84" s="42">
        <v>10589</v>
      </c>
      <c r="I84" s="42">
        <v>64899</v>
      </c>
      <c r="J84" s="42">
        <v>379</v>
      </c>
      <c r="K84" s="42">
        <v>32</v>
      </c>
      <c r="L84" s="5"/>
      <c r="M84" s="42">
        <v>1579</v>
      </c>
      <c r="N84" s="42">
        <v>70256</v>
      </c>
      <c r="O84" s="42">
        <v>869</v>
      </c>
      <c r="P84" s="42">
        <v>2923</v>
      </c>
      <c r="Q84" s="42">
        <v>272</v>
      </c>
      <c r="R84" s="42"/>
    </row>
    <row r="85" spans="1:18" ht="12.5">
      <c r="A85">
        <f t="shared" si="1"/>
        <v>4</v>
      </c>
      <c r="B85" s="42" t="s">
        <v>402</v>
      </c>
      <c r="C85" s="42">
        <v>2010</v>
      </c>
      <c r="D85" s="42">
        <v>15515</v>
      </c>
      <c r="E85" s="42">
        <v>56051</v>
      </c>
      <c r="F85" s="42">
        <v>9080</v>
      </c>
      <c r="G85" s="42">
        <v>311</v>
      </c>
      <c r="H85" s="42">
        <v>12347</v>
      </c>
      <c r="I85" s="42">
        <v>82461</v>
      </c>
      <c r="J85" s="42">
        <v>382</v>
      </c>
      <c r="K85" s="42">
        <v>30</v>
      </c>
      <c r="L85" s="5"/>
      <c r="M85" s="42">
        <v>1903</v>
      </c>
      <c r="N85" s="42">
        <v>89337</v>
      </c>
      <c r="O85" s="42">
        <v>911</v>
      </c>
      <c r="P85" s="42">
        <v>2774</v>
      </c>
      <c r="Q85" s="42">
        <v>295</v>
      </c>
      <c r="R85" s="42"/>
    </row>
    <row r="86" spans="1:18" ht="12.5">
      <c r="A86">
        <f t="shared" si="1"/>
        <v>4</v>
      </c>
      <c r="B86" s="42" t="s">
        <v>402</v>
      </c>
      <c r="C86" s="42">
        <v>2011</v>
      </c>
      <c r="D86" s="42">
        <v>16859</v>
      </c>
      <c r="E86" s="42">
        <v>58908</v>
      </c>
      <c r="F86" s="42">
        <v>8496</v>
      </c>
      <c r="G86" s="42">
        <v>268</v>
      </c>
      <c r="H86" s="42">
        <v>12727</v>
      </c>
      <c r="I86" s="42">
        <v>74039</v>
      </c>
      <c r="J86" s="42">
        <v>359</v>
      </c>
      <c r="K86" s="42">
        <v>22</v>
      </c>
      <c r="L86" s="5"/>
      <c r="M86" s="42">
        <v>2652</v>
      </c>
      <c r="N86" s="42">
        <v>80837</v>
      </c>
      <c r="O86" s="42">
        <v>881</v>
      </c>
      <c r="P86" s="42">
        <v>2547</v>
      </c>
      <c r="Q86" s="42">
        <v>230</v>
      </c>
      <c r="R86" s="42"/>
    </row>
    <row r="87" spans="1:18" ht="12.5">
      <c r="A87">
        <f t="shared" si="1"/>
        <v>4</v>
      </c>
      <c r="B87" s="42" t="s">
        <v>402</v>
      </c>
      <c r="C87" s="42">
        <v>2012</v>
      </c>
      <c r="D87" s="42">
        <v>22421</v>
      </c>
      <c r="E87" s="42">
        <v>68173</v>
      </c>
      <c r="F87" s="42">
        <v>9736</v>
      </c>
      <c r="G87" s="42">
        <v>285</v>
      </c>
      <c r="H87" s="42">
        <v>11306</v>
      </c>
      <c r="I87" s="42">
        <v>73345</v>
      </c>
      <c r="J87" s="42">
        <v>331</v>
      </c>
      <c r="K87" s="42">
        <v>33</v>
      </c>
      <c r="L87" s="5"/>
      <c r="M87" s="42">
        <v>4282</v>
      </c>
      <c r="N87" s="42">
        <v>76972</v>
      </c>
      <c r="O87" s="42">
        <v>976</v>
      </c>
      <c r="P87" s="42">
        <v>2549</v>
      </c>
      <c r="Q87" s="42">
        <v>236</v>
      </c>
      <c r="R87" s="42"/>
    </row>
    <row r="88" spans="1:18" ht="12.5">
      <c r="A88">
        <f t="shared" si="1"/>
        <v>4</v>
      </c>
      <c r="B88" s="42" t="s">
        <v>402</v>
      </c>
      <c r="C88" s="42">
        <v>2013</v>
      </c>
      <c r="D88" s="42">
        <v>24815</v>
      </c>
      <c r="E88" s="42">
        <v>77699</v>
      </c>
      <c r="F88" s="42">
        <v>9496</v>
      </c>
      <c r="G88" s="42">
        <v>232</v>
      </c>
      <c r="H88" s="42">
        <v>15110</v>
      </c>
      <c r="I88" s="42">
        <v>91746</v>
      </c>
      <c r="J88" s="42">
        <v>538</v>
      </c>
      <c r="K88" s="42">
        <v>35</v>
      </c>
      <c r="L88" s="5"/>
      <c r="M88" s="42">
        <v>4800</v>
      </c>
      <c r="N88" s="42">
        <v>98235</v>
      </c>
      <c r="O88" s="42">
        <v>1666</v>
      </c>
      <c r="P88" s="42">
        <v>2481</v>
      </c>
      <c r="Q88" s="42">
        <v>247</v>
      </c>
      <c r="R88" s="42"/>
    </row>
    <row r="89" spans="1:18" ht="12.5">
      <c r="A89">
        <f t="shared" si="1"/>
        <v>4</v>
      </c>
      <c r="B89" s="42" t="s">
        <v>402</v>
      </c>
      <c r="C89" s="42">
        <v>2014</v>
      </c>
      <c r="D89" s="42">
        <v>30723</v>
      </c>
      <c r="E89" s="42">
        <v>85897</v>
      </c>
      <c r="F89" s="42">
        <v>8353</v>
      </c>
      <c r="G89" s="42">
        <v>228</v>
      </c>
      <c r="H89" s="42">
        <v>20349</v>
      </c>
      <c r="I89" s="42">
        <v>118393</v>
      </c>
      <c r="J89" s="42">
        <v>835</v>
      </c>
      <c r="K89" s="42">
        <v>46</v>
      </c>
      <c r="L89" s="5"/>
      <c r="M89" s="42">
        <v>3943</v>
      </c>
      <c r="N89" s="42">
        <v>130152</v>
      </c>
      <c r="O89" s="42">
        <v>2715</v>
      </c>
      <c r="P89" s="42">
        <v>2524</v>
      </c>
      <c r="Q89" s="42">
        <v>290</v>
      </c>
      <c r="R89" s="42"/>
    </row>
    <row r="90" spans="1:18" ht="12.5">
      <c r="A90">
        <f t="shared" si="1"/>
        <v>4</v>
      </c>
      <c r="B90" s="42" t="s">
        <v>402</v>
      </c>
      <c r="C90" s="42">
        <v>2015</v>
      </c>
      <c r="D90" s="42">
        <v>32448</v>
      </c>
      <c r="E90" s="42">
        <v>92065</v>
      </c>
      <c r="F90" s="42">
        <v>7495</v>
      </c>
      <c r="G90" s="42">
        <v>228</v>
      </c>
      <c r="H90" s="42">
        <v>23517</v>
      </c>
      <c r="I90" s="42">
        <v>129142</v>
      </c>
      <c r="J90" s="42">
        <v>1144</v>
      </c>
      <c r="K90" s="42">
        <v>27</v>
      </c>
      <c r="L90" s="5"/>
      <c r="M90" s="42">
        <v>2952</v>
      </c>
      <c r="N90" s="42">
        <v>144089</v>
      </c>
      <c r="O90" s="42">
        <v>3942</v>
      </c>
      <c r="P90" s="42">
        <v>2604</v>
      </c>
      <c r="Q90" s="42">
        <v>243</v>
      </c>
      <c r="R90" s="42"/>
    </row>
    <row r="91" spans="1:18" ht="12.5">
      <c r="A91">
        <f t="shared" si="1"/>
        <v>4</v>
      </c>
      <c r="B91" s="42" t="s">
        <v>402</v>
      </c>
      <c r="C91" s="42">
        <v>2016</v>
      </c>
      <c r="D91" s="42">
        <v>34444</v>
      </c>
      <c r="E91" s="42">
        <v>103370</v>
      </c>
      <c r="F91" s="42">
        <v>7299</v>
      </c>
      <c r="G91" s="42">
        <v>268</v>
      </c>
      <c r="H91" s="42">
        <v>23849</v>
      </c>
      <c r="I91" s="42">
        <v>136811</v>
      </c>
      <c r="J91" s="42">
        <v>1324</v>
      </c>
      <c r="K91" s="42">
        <v>27</v>
      </c>
      <c r="L91" s="5"/>
      <c r="M91" s="42">
        <v>3188</v>
      </c>
      <c r="N91" s="42">
        <v>151221</v>
      </c>
      <c r="O91" s="42">
        <v>4633</v>
      </c>
      <c r="P91" s="42">
        <v>2607</v>
      </c>
      <c r="Q91" s="42">
        <v>362</v>
      </c>
      <c r="R91" s="42"/>
    </row>
    <row r="92" spans="1:18" ht="12.5">
      <c r="A92">
        <f t="shared" si="1"/>
        <v>4</v>
      </c>
      <c r="B92" s="42" t="s">
        <v>402</v>
      </c>
      <c r="C92" s="42">
        <v>2017</v>
      </c>
      <c r="D92" s="42">
        <v>37115</v>
      </c>
      <c r="E92" s="42">
        <v>115157</v>
      </c>
      <c r="F92" s="42">
        <v>4846</v>
      </c>
      <c r="G92" s="42">
        <v>294</v>
      </c>
      <c r="H92" s="42">
        <v>26089</v>
      </c>
      <c r="I92" s="42">
        <v>152024</v>
      </c>
      <c r="J92" s="42">
        <v>1391</v>
      </c>
      <c r="K92" s="42">
        <v>37</v>
      </c>
      <c r="L92" s="5"/>
      <c r="M92" s="42">
        <v>4717</v>
      </c>
      <c r="N92" s="42">
        <v>166854</v>
      </c>
      <c r="O92" s="42">
        <v>5091</v>
      </c>
      <c r="P92" s="42">
        <v>2614</v>
      </c>
      <c r="Q92" s="42">
        <v>265</v>
      </c>
      <c r="R92" s="42"/>
    </row>
    <row r="93" spans="1:18" ht="12.5">
      <c r="A93">
        <f t="shared" si="1"/>
        <v>4</v>
      </c>
      <c r="B93" s="42" t="s">
        <v>402</v>
      </c>
      <c r="C93" s="42">
        <v>2018</v>
      </c>
      <c r="D93" s="42">
        <v>37998</v>
      </c>
      <c r="E93" s="42">
        <v>119198</v>
      </c>
      <c r="F93" s="42">
        <v>1189</v>
      </c>
      <c r="G93" s="42">
        <v>234</v>
      </c>
      <c r="H93" s="42">
        <v>22219</v>
      </c>
      <c r="I93" s="42">
        <v>137571</v>
      </c>
      <c r="J93" s="42">
        <v>901</v>
      </c>
      <c r="K93" s="42">
        <v>40</v>
      </c>
      <c r="L93" s="5"/>
      <c r="M93" s="42">
        <v>3470</v>
      </c>
      <c r="N93" s="42">
        <v>150383</v>
      </c>
      <c r="O93" s="42">
        <v>4118</v>
      </c>
      <c r="P93" s="42">
        <v>2541</v>
      </c>
      <c r="Q93" s="42">
        <v>219</v>
      </c>
      <c r="R93" s="42"/>
    </row>
    <row r="94" spans="1:18" ht="12.5">
      <c r="A94">
        <f t="shared" si="1"/>
        <v>4</v>
      </c>
      <c r="B94" s="42" t="s">
        <v>402</v>
      </c>
      <c r="C94" s="42">
        <v>2019</v>
      </c>
      <c r="D94" s="42">
        <v>37417</v>
      </c>
      <c r="E94" s="42">
        <v>113765</v>
      </c>
      <c r="F94" s="42">
        <v>416</v>
      </c>
      <c r="G94" s="42">
        <v>232</v>
      </c>
      <c r="H94" s="42">
        <v>19170</v>
      </c>
      <c r="I94" s="42">
        <v>132621</v>
      </c>
      <c r="J94" s="42">
        <v>701</v>
      </c>
      <c r="K94" s="42">
        <v>27</v>
      </c>
      <c r="L94" s="5"/>
      <c r="M94" s="42">
        <v>2840</v>
      </c>
      <c r="N94" s="42">
        <v>143076</v>
      </c>
      <c r="O94" s="42">
        <v>4214</v>
      </c>
      <c r="P94" s="42">
        <v>2153</v>
      </c>
      <c r="Q94" s="42">
        <v>238</v>
      </c>
      <c r="R94" s="42"/>
    </row>
    <row r="95" spans="1:18" ht="12.5">
      <c r="A95">
        <f t="shared" si="1"/>
        <v>4</v>
      </c>
      <c r="B95" s="42" t="s">
        <v>402</v>
      </c>
      <c r="C95" s="42">
        <v>2020</v>
      </c>
      <c r="D95" s="42">
        <v>29303</v>
      </c>
      <c r="E95" s="42">
        <v>87872</v>
      </c>
      <c r="F95" s="42">
        <v>446</v>
      </c>
      <c r="G95" s="42">
        <v>220</v>
      </c>
      <c r="H95" s="42">
        <v>17868</v>
      </c>
      <c r="I95" s="42">
        <v>104921</v>
      </c>
      <c r="J95" s="42">
        <v>619</v>
      </c>
      <c r="K95" s="42">
        <v>30</v>
      </c>
      <c r="L95" s="5"/>
      <c r="M95" s="42">
        <v>2112</v>
      </c>
      <c r="N95" s="42">
        <v>115307</v>
      </c>
      <c r="O95" s="42">
        <v>3860</v>
      </c>
      <c r="P95" s="42">
        <v>1945</v>
      </c>
      <c r="Q95" s="42">
        <v>215</v>
      </c>
      <c r="R95" s="42"/>
    </row>
    <row r="96" spans="1:18" ht="12.5">
      <c r="A96">
        <f t="shared" si="1"/>
        <v>4</v>
      </c>
      <c r="B96" s="42" t="s">
        <v>402</v>
      </c>
      <c r="C96" s="42">
        <v>2021</v>
      </c>
      <c r="D96" s="42">
        <v>31211</v>
      </c>
      <c r="E96" s="42">
        <v>129402</v>
      </c>
      <c r="F96" s="42">
        <v>411</v>
      </c>
      <c r="G96" s="42">
        <v>227</v>
      </c>
      <c r="H96" s="42">
        <v>23635</v>
      </c>
      <c r="I96" s="42">
        <v>105525</v>
      </c>
      <c r="J96" s="42">
        <v>454</v>
      </c>
      <c r="K96" s="42">
        <v>23</v>
      </c>
      <c r="L96" s="5"/>
      <c r="M96" s="42">
        <v>2770</v>
      </c>
      <c r="N96" s="42">
        <v>121900</v>
      </c>
      <c r="O96" s="42">
        <v>2964</v>
      </c>
      <c r="P96" s="42">
        <v>1849</v>
      </c>
      <c r="Q96" s="42">
        <v>155</v>
      </c>
      <c r="R96" s="42"/>
    </row>
    <row r="97" spans="1:18" ht="12.5">
      <c r="B97" s="42" t="s">
        <v>402</v>
      </c>
      <c r="C97" s="42">
        <v>2022</v>
      </c>
      <c r="D97" s="42">
        <v>27883</v>
      </c>
      <c r="E97" s="42">
        <v>132505</v>
      </c>
      <c r="F97" s="42">
        <v>425</v>
      </c>
      <c r="G97" s="42">
        <v>229</v>
      </c>
      <c r="H97" s="42">
        <v>19901</v>
      </c>
      <c r="I97" s="42">
        <v>99966</v>
      </c>
      <c r="J97" s="42">
        <v>365</v>
      </c>
      <c r="K97" s="42">
        <v>27</v>
      </c>
      <c r="L97" s="5"/>
      <c r="M97" s="42">
        <v>1873</v>
      </c>
      <c r="N97" s="42">
        <v>113603</v>
      </c>
      <c r="O97" s="42">
        <v>2489</v>
      </c>
      <c r="P97" s="42">
        <v>2168</v>
      </c>
      <c r="Q97" s="42">
        <v>130</v>
      </c>
      <c r="R97" s="42"/>
    </row>
    <row r="98" spans="1:18" ht="12.5">
      <c r="B98" s="42" t="s">
        <v>402</v>
      </c>
      <c r="C98" s="42">
        <v>2023</v>
      </c>
      <c r="D98" s="42">
        <v>27992</v>
      </c>
      <c r="E98" s="42">
        <v>116025</v>
      </c>
      <c r="F98" s="42">
        <v>393</v>
      </c>
      <c r="G98" s="42">
        <v>186</v>
      </c>
      <c r="H98" s="42">
        <v>12177</v>
      </c>
      <c r="I98" s="42">
        <v>111441</v>
      </c>
      <c r="J98" s="42">
        <v>216</v>
      </c>
      <c r="K98" s="42">
        <v>14</v>
      </c>
      <c r="L98" s="5"/>
      <c r="M98" s="42">
        <v>1016</v>
      </c>
      <c r="N98" s="42">
        <v>119476</v>
      </c>
      <c r="O98" s="42">
        <v>1355</v>
      </c>
      <c r="P98" s="42">
        <v>1890</v>
      </c>
      <c r="Q98" s="42">
        <v>113</v>
      </c>
      <c r="R98" s="42"/>
    </row>
    <row r="99" spans="1:18" ht="12.5">
      <c r="A99">
        <f>IF(B99=B96, A96, A96+1)</f>
        <v>5</v>
      </c>
      <c r="B99" s="42" t="s">
        <v>403</v>
      </c>
      <c r="C99" s="42">
        <v>2000</v>
      </c>
      <c r="D99" s="42">
        <v>1331</v>
      </c>
      <c r="E99" s="42">
        <v>2924</v>
      </c>
      <c r="F99" s="42">
        <v>6</v>
      </c>
      <c r="G99" s="42">
        <v>107</v>
      </c>
      <c r="H99" s="42">
        <v>519</v>
      </c>
      <c r="I99" s="42">
        <v>1417</v>
      </c>
      <c r="J99" s="42">
        <v>29</v>
      </c>
      <c r="K99" s="42">
        <v>390</v>
      </c>
      <c r="L99" s="5"/>
      <c r="M99" s="42">
        <v>337</v>
      </c>
      <c r="N99" s="42">
        <v>841</v>
      </c>
      <c r="O99" s="42">
        <v>99</v>
      </c>
      <c r="P99" s="42">
        <v>282</v>
      </c>
      <c r="Q99" s="42">
        <v>796</v>
      </c>
      <c r="R99" s="42"/>
    </row>
    <row r="100" spans="1:18" ht="12.5">
      <c r="A100">
        <f t="shared" si="1"/>
        <v>5</v>
      </c>
      <c r="B100" s="42" t="s">
        <v>403</v>
      </c>
      <c r="C100" s="42">
        <v>2001</v>
      </c>
      <c r="D100" s="42">
        <v>1502</v>
      </c>
      <c r="E100" s="42">
        <v>2810</v>
      </c>
      <c r="F100" s="42">
        <v>7</v>
      </c>
      <c r="G100" s="42">
        <v>97</v>
      </c>
      <c r="H100" s="42">
        <v>497</v>
      </c>
      <c r="I100" s="42">
        <v>1473</v>
      </c>
      <c r="J100" s="42">
        <v>18</v>
      </c>
      <c r="K100" s="42">
        <v>369</v>
      </c>
      <c r="L100" s="5"/>
      <c r="M100" s="42">
        <v>310</v>
      </c>
      <c r="N100" s="42">
        <v>906</v>
      </c>
      <c r="O100" s="42">
        <v>100</v>
      </c>
      <c r="P100" s="42">
        <v>297</v>
      </c>
      <c r="Q100" s="42">
        <v>744</v>
      </c>
      <c r="R100" s="42"/>
    </row>
    <row r="101" spans="1:18" ht="12.5">
      <c r="A101">
        <f t="shared" si="1"/>
        <v>5</v>
      </c>
      <c r="B101" s="42" t="s">
        <v>403</v>
      </c>
      <c r="C101" s="42">
        <v>2002</v>
      </c>
      <c r="D101" s="42">
        <v>1592</v>
      </c>
      <c r="E101" s="42">
        <v>2851</v>
      </c>
      <c r="F101" s="42">
        <v>6</v>
      </c>
      <c r="G101" s="42">
        <v>86</v>
      </c>
      <c r="H101" s="42">
        <v>606</v>
      </c>
      <c r="I101" s="42">
        <v>1707</v>
      </c>
      <c r="J101" s="42">
        <v>38</v>
      </c>
      <c r="K101" s="42">
        <v>314</v>
      </c>
      <c r="L101" s="5"/>
      <c r="M101" s="42">
        <v>428</v>
      </c>
      <c r="N101" s="42">
        <v>1192</v>
      </c>
      <c r="O101" s="42">
        <v>119</v>
      </c>
      <c r="P101" s="42">
        <v>276</v>
      </c>
      <c r="Q101" s="42">
        <v>650</v>
      </c>
      <c r="R101" s="42"/>
    </row>
    <row r="102" spans="1:18" ht="12.5">
      <c r="A102">
        <f t="shared" si="1"/>
        <v>5</v>
      </c>
      <c r="B102" s="42" t="s">
        <v>403</v>
      </c>
      <c r="C102" s="42">
        <v>2003</v>
      </c>
      <c r="D102" s="42">
        <v>1691</v>
      </c>
      <c r="E102" s="42">
        <v>3620</v>
      </c>
      <c r="F102" s="42">
        <v>2</v>
      </c>
      <c r="G102" s="42">
        <v>164</v>
      </c>
      <c r="H102" s="42">
        <v>669</v>
      </c>
      <c r="I102" s="42">
        <v>1991</v>
      </c>
      <c r="J102" s="42">
        <v>38</v>
      </c>
      <c r="K102" s="42">
        <v>274</v>
      </c>
      <c r="L102" s="5"/>
      <c r="M102" s="42">
        <v>437</v>
      </c>
      <c r="N102" s="42">
        <v>1465</v>
      </c>
      <c r="O102" s="42">
        <v>154</v>
      </c>
      <c r="P102" s="42">
        <v>280</v>
      </c>
      <c r="Q102" s="42">
        <v>636</v>
      </c>
      <c r="R102" s="42"/>
    </row>
    <row r="103" spans="1:18" ht="12.5">
      <c r="A103">
        <f t="shared" si="1"/>
        <v>5</v>
      </c>
      <c r="B103" s="42" t="s">
        <v>403</v>
      </c>
      <c r="C103" s="42">
        <v>2004</v>
      </c>
      <c r="D103" s="42">
        <v>1915</v>
      </c>
      <c r="E103" s="42">
        <v>5230</v>
      </c>
      <c r="F103" s="42">
        <v>4</v>
      </c>
      <c r="G103" s="42">
        <v>246</v>
      </c>
      <c r="H103" s="42">
        <v>895</v>
      </c>
      <c r="I103" s="42">
        <v>1933</v>
      </c>
      <c r="J103" s="42">
        <v>49</v>
      </c>
      <c r="K103" s="42">
        <v>217</v>
      </c>
      <c r="L103" s="5"/>
      <c r="M103" s="42">
        <v>553</v>
      </c>
      <c r="N103" s="42">
        <v>1524</v>
      </c>
      <c r="O103" s="42">
        <v>160</v>
      </c>
      <c r="P103" s="42">
        <v>304</v>
      </c>
      <c r="Q103" s="42">
        <v>553</v>
      </c>
      <c r="R103" s="42"/>
    </row>
    <row r="104" spans="1:18" ht="12.5">
      <c r="A104">
        <f t="shared" si="1"/>
        <v>5</v>
      </c>
      <c r="B104" s="42" t="s">
        <v>403</v>
      </c>
      <c r="C104" s="42">
        <v>2005</v>
      </c>
      <c r="D104" s="42">
        <v>2398</v>
      </c>
      <c r="E104" s="42">
        <v>7689</v>
      </c>
      <c r="F104" s="42">
        <v>31</v>
      </c>
      <c r="G104" s="42">
        <v>808</v>
      </c>
      <c r="H104" s="42">
        <v>1423</v>
      </c>
      <c r="I104" s="42">
        <v>1992</v>
      </c>
      <c r="J104" s="42">
        <v>83</v>
      </c>
      <c r="K104" s="42">
        <v>273</v>
      </c>
      <c r="L104" s="5"/>
      <c r="M104" s="42">
        <v>698</v>
      </c>
      <c r="N104" s="42">
        <v>1730</v>
      </c>
      <c r="O104" s="42">
        <v>237</v>
      </c>
      <c r="P104" s="42">
        <v>376</v>
      </c>
      <c r="Q104" s="42">
        <v>730</v>
      </c>
      <c r="R104" s="42"/>
    </row>
    <row r="105" spans="1:18" ht="12.5">
      <c r="A105">
        <f t="shared" si="1"/>
        <v>5</v>
      </c>
      <c r="B105" s="42" t="s">
        <v>403</v>
      </c>
      <c r="C105" s="42">
        <v>2006</v>
      </c>
      <c r="D105" s="42">
        <v>2752</v>
      </c>
      <c r="E105" s="42">
        <v>9384</v>
      </c>
      <c r="F105" s="42">
        <v>19</v>
      </c>
      <c r="G105" s="42">
        <v>667</v>
      </c>
      <c r="H105" s="42">
        <v>1712</v>
      </c>
      <c r="I105" s="42">
        <v>2354</v>
      </c>
      <c r="J105" s="42">
        <v>67</v>
      </c>
      <c r="K105" s="42">
        <v>287</v>
      </c>
      <c r="L105" s="5"/>
      <c r="M105" s="42">
        <v>841</v>
      </c>
      <c r="N105" s="42">
        <v>2145</v>
      </c>
      <c r="O105" s="42">
        <v>208</v>
      </c>
      <c r="P105" s="42">
        <v>386</v>
      </c>
      <c r="Q105" s="42">
        <v>840</v>
      </c>
      <c r="R105" s="42"/>
    </row>
    <row r="106" spans="1:18" ht="12.5">
      <c r="A106">
        <f t="shared" si="1"/>
        <v>5</v>
      </c>
      <c r="B106" s="42" t="s">
        <v>403</v>
      </c>
      <c r="C106" s="42">
        <v>2007</v>
      </c>
      <c r="D106" s="42">
        <v>3112</v>
      </c>
      <c r="E106" s="42">
        <v>10245</v>
      </c>
      <c r="F106" s="42">
        <v>9</v>
      </c>
      <c r="G106" s="42">
        <v>605</v>
      </c>
      <c r="H106" s="42">
        <v>1983</v>
      </c>
      <c r="I106" s="42">
        <v>2393</v>
      </c>
      <c r="J106" s="42">
        <v>85</v>
      </c>
      <c r="K106" s="42">
        <v>255</v>
      </c>
      <c r="L106" s="5"/>
      <c r="M106" s="42">
        <v>830</v>
      </c>
      <c r="N106" s="42">
        <v>2565</v>
      </c>
      <c r="O106" s="42">
        <v>196</v>
      </c>
      <c r="P106" s="42">
        <v>385</v>
      </c>
      <c r="Q106" s="42">
        <v>740</v>
      </c>
      <c r="R106" s="42"/>
    </row>
    <row r="107" spans="1:18" ht="12.5">
      <c r="A107">
        <f t="shared" si="1"/>
        <v>5</v>
      </c>
      <c r="B107" s="42" t="s">
        <v>403</v>
      </c>
      <c r="C107" s="42">
        <v>2008</v>
      </c>
      <c r="D107" s="42">
        <v>3335</v>
      </c>
      <c r="E107" s="42">
        <v>11984</v>
      </c>
      <c r="F107" s="42">
        <v>9</v>
      </c>
      <c r="G107" s="42">
        <v>634</v>
      </c>
      <c r="H107" s="42">
        <v>2235</v>
      </c>
      <c r="I107" s="42">
        <v>2593</v>
      </c>
      <c r="J107" s="42">
        <v>79</v>
      </c>
      <c r="K107" s="42">
        <v>347</v>
      </c>
      <c r="L107" s="5"/>
      <c r="M107" s="42">
        <v>1066</v>
      </c>
      <c r="N107" s="42">
        <v>2616</v>
      </c>
      <c r="O107" s="42">
        <v>214</v>
      </c>
      <c r="P107" s="42">
        <v>416</v>
      </c>
      <c r="Q107" s="42">
        <v>942</v>
      </c>
      <c r="R107" s="42"/>
    </row>
    <row r="108" spans="1:18" ht="12.5">
      <c r="A108">
        <f t="shared" si="1"/>
        <v>5</v>
      </c>
      <c r="B108" s="42" t="s">
        <v>403</v>
      </c>
      <c r="C108" s="42">
        <v>2009</v>
      </c>
      <c r="D108" s="42">
        <v>2609</v>
      </c>
      <c r="E108" s="42">
        <v>6386</v>
      </c>
      <c r="F108" s="42">
        <v>6</v>
      </c>
      <c r="G108" s="42">
        <v>355</v>
      </c>
      <c r="H108" s="42">
        <v>1285</v>
      </c>
      <c r="I108" s="42">
        <v>1798</v>
      </c>
      <c r="J108" s="42">
        <v>69</v>
      </c>
      <c r="K108" s="42">
        <v>303</v>
      </c>
      <c r="L108" s="5"/>
      <c r="M108" s="42">
        <v>823</v>
      </c>
      <c r="N108" s="42">
        <v>1290</v>
      </c>
      <c r="O108" s="42">
        <v>193</v>
      </c>
      <c r="P108" s="42">
        <v>351</v>
      </c>
      <c r="Q108" s="42">
        <v>798</v>
      </c>
      <c r="R108" s="42"/>
    </row>
    <row r="109" spans="1:18" ht="12.5">
      <c r="A109">
        <f t="shared" si="1"/>
        <v>5</v>
      </c>
      <c r="B109" s="42" t="s">
        <v>403</v>
      </c>
      <c r="C109" s="42">
        <v>2010</v>
      </c>
      <c r="D109" s="42">
        <v>2335</v>
      </c>
      <c r="E109" s="42">
        <v>4737</v>
      </c>
      <c r="F109" s="42">
        <v>4</v>
      </c>
      <c r="G109" s="42">
        <v>275</v>
      </c>
      <c r="H109" s="42">
        <v>1190</v>
      </c>
      <c r="I109" s="42">
        <v>1442</v>
      </c>
      <c r="J109" s="42">
        <v>79</v>
      </c>
      <c r="K109" s="42">
        <v>298</v>
      </c>
      <c r="L109" s="5"/>
      <c r="M109" s="42">
        <v>907</v>
      </c>
      <c r="N109" s="42">
        <v>832</v>
      </c>
      <c r="O109" s="42">
        <v>231</v>
      </c>
      <c r="P109" s="42">
        <v>322</v>
      </c>
      <c r="Q109" s="42">
        <v>717</v>
      </c>
      <c r="R109" s="42"/>
    </row>
    <row r="110" spans="1:18" ht="12.5">
      <c r="A110">
        <f t="shared" si="1"/>
        <v>5</v>
      </c>
      <c r="B110" s="42" t="s">
        <v>403</v>
      </c>
      <c r="C110" s="42">
        <v>2011</v>
      </c>
      <c r="D110" s="42">
        <v>2047</v>
      </c>
      <c r="E110" s="42">
        <v>5054</v>
      </c>
      <c r="F110" s="42">
        <v>9</v>
      </c>
      <c r="G110" s="42">
        <v>202</v>
      </c>
      <c r="H110" s="42">
        <v>1107</v>
      </c>
      <c r="I110" s="42">
        <v>1287</v>
      </c>
      <c r="J110" s="42">
        <v>31</v>
      </c>
      <c r="K110" s="42">
        <v>258</v>
      </c>
      <c r="L110" s="5"/>
      <c r="M110" s="42">
        <v>887</v>
      </c>
      <c r="N110" s="42">
        <v>620</v>
      </c>
      <c r="O110" s="42">
        <v>159</v>
      </c>
      <c r="P110" s="42">
        <v>347</v>
      </c>
      <c r="Q110" s="42">
        <v>670</v>
      </c>
      <c r="R110" s="42"/>
    </row>
    <row r="111" spans="1:18" ht="12.5">
      <c r="A111">
        <f t="shared" si="1"/>
        <v>5</v>
      </c>
      <c r="B111" s="42" t="s">
        <v>403</v>
      </c>
      <c r="C111" s="42">
        <v>2012</v>
      </c>
      <c r="D111" s="42">
        <v>2214</v>
      </c>
      <c r="E111" s="42">
        <v>4484</v>
      </c>
      <c r="F111" s="42">
        <v>5</v>
      </c>
      <c r="G111" s="42">
        <v>50</v>
      </c>
      <c r="H111" s="42">
        <v>1085</v>
      </c>
      <c r="I111" s="42">
        <v>926</v>
      </c>
      <c r="J111" s="42">
        <v>29</v>
      </c>
      <c r="K111" s="42">
        <v>157</v>
      </c>
      <c r="L111" s="5"/>
      <c r="M111" s="42">
        <v>901</v>
      </c>
      <c r="N111" s="42">
        <v>315</v>
      </c>
      <c r="O111" s="42">
        <v>190</v>
      </c>
      <c r="P111" s="42">
        <v>308</v>
      </c>
      <c r="Q111" s="42">
        <v>483</v>
      </c>
      <c r="R111" s="42"/>
    </row>
    <row r="112" spans="1:18" ht="12.5">
      <c r="A112">
        <f t="shared" si="1"/>
        <v>5</v>
      </c>
      <c r="B112" s="42" t="s">
        <v>403</v>
      </c>
      <c r="C112" s="42">
        <v>2013</v>
      </c>
      <c r="D112" s="42">
        <v>2514</v>
      </c>
      <c r="E112" s="42">
        <v>5473</v>
      </c>
      <c r="F112" s="42">
        <v>4</v>
      </c>
      <c r="G112" s="42">
        <v>38</v>
      </c>
      <c r="H112" s="42">
        <v>1300</v>
      </c>
      <c r="I112" s="42">
        <v>1078</v>
      </c>
      <c r="J112" s="42">
        <v>31</v>
      </c>
      <c r="K112" s="42">
        <v>216</v>
      </c>
      <c r="L112" s="5"/>
      <c r="M112" s="42">
        <v>980</v>
      </c>
      <c r="N112" s="42">
        <v>474</v>
      </c>
      <c r="O112" s="42">
        <v>212</v>
      </c>
      <c r="P112" s="42">
        <v>330</v>
      </c>
      <c r="Q112" s="42">
        <v>629</v>
      </c>
      <c r="R112" s="42"/>
    </row>
    <row r="113" spans="1:18" ht="12.5">
      <c r="A113">
        <f t="shared" si="1"/>
        <v>5</v>
      </c>
      <c r="B113" s="42" t="s">
        <v>403</v>
      </c>
      <c r="C113" s="42">
        <v>2014</v>
      </c>
      <c r="D113" s="42">
        <v>2616</v>
      </c>
      <c r="E113" s="42">
        <v>6020</v>
      </c>
      <c r="F113" s="42">
        <v>5</v>
      </c>
      <c r="G113" s="42">
        <v>48</v>
      </c>
      <c r="H113" s="42">
        <v>1520</v>
      </c>
      <c r="I113" s="42">
        <v>1312</v>
      </c>
      <c r="J113" s="42">
        <v>32</v>
      </c>
      <c r="K113" s="42">
        <v>208</v>
      </c>
      <c r="L113" s="5"/>
      <c r="M113" s="42">
        <v>1073</v>
      </c>
      <c r="N113" s="42">
        <v>733</v>
      </c>
      <c r="O113" s="42">
        <v>246</v>
      </c>
      <c r="P113" s="42">
        <v>399</v>
      </c>
      <c r="Q113" s="42">
        <v>621</v>
      </c>
      <c r="R113" s="42"/>
    </row>
    <row r="114" spans="1:18" ht="12.5">
      <c r="A114">
        <f t="shared" si="1"/>
        <v>5</v>
      </c>
      <c r="B114" s="42" t="s">
        <v>403</v>
      </c>
      <c r="C114" s="42">
        <v>2015</v>
      </c>
      <c r="D114" s="42">
        <v>3197</v>
      </c>
      <c r="E114" s="42">
        <v>6498</v>
      </c>
      <c r="F114" s="42">
        <v>5</v>
      </c>
      <c r="G114" s="42">
        <v>44</v>
      </c>
      <c r="H114" s="42">
        <v>1817</v>
      </c>
      <c r="I114" s="42">
        <v>1405</v>
      </c>
      <c r="J114" s="42">
        <v>19</v>
      </c>
      <c r="K114" s="42">
        <v>181</v>
      </c>
      <c r="L114" s="5"/>
      <c r="M114" s="42">
        <v>1189</v>
      </c>
      <c r="N114" s="42">
        <v>854</v>
      </c>
      <c r="O114" s="42">
        <v>336</v>
      </c>
      <c r="P114" s="42">
        <v>351</v>
      </c>
      <c r="Q114" s="42">
        <v>692</v>
      </c>
      <c r="R114" s="42"/>
    </row>
    <row r="115" spans="1:18" ht="12.5">
      <c r="A115">
        <f t="shared" si="1"/>
        <v>5</v>
      </c>
      <c r="B115" s="42" t="s">
        <v>403</v>
      </c>
      <c r="C115" s="42">
        <v>2016</v>
      </c>
      <c r="D115" s="42">
        <v>3388</v>
      </c>
      <c r="E115" s="42">
        <v>6074</v>
      </c>
      <c r="F115" s="42">
        <v>8</v>
      </c>
      <c r="G115" s="42">
        <v>38</v>
      </c>
      <c r="H115" s="42">
        <v>1737</v>
      </c>
      <c r="I115" s="42">
        <v>1398</v>
      </c>
      <c r="J115" s="42">
        <v>27</v>
      </c>
      <c r="K115" s="42">
        <v>193</v>
      </c>
      <c r="L115" s="5"/>
      <c r="M115" s="42">
        <v>1055</v>
      </c>
      <c r="N115" s="42">
        <v>949</v>
      </c>
      <c r="O115" s="42">
        <v>369</v>
      </c>
      <c r="P115" s="42">
        <v>377</v>
      </c>
      <c r="Q115" s="42">
        <v>605</v>
      </c>
      <c r="R115" s="42"/>
    </row>
    <row r="116" spans="1:18" ht="12.5">
      <c r="A116">
        <f t="shared" si="1"/>
        <v>5</v>
      </c>
      <c r="B116" s="42" t="s">
        <v>403</v>
      </c>
      <c r="C116" s="42">
        <v>2017</v>
      </c>
      <c r="D116" s="42">
        <v>3575</v>
      </c>
      <c r="E116" s="42">
        <v>6055</v>
      </c>
      <c r="F116" s="42">
        <v>9</v>
      </c>
      <c r="G116" s="42">
        <v>36</v>
      </c>
      <c r="H116" s="42">
        <v>2165</v>
      </c>
      <c r="I116" s="42">
        <v>1386</v>
      </c>
      <c r="J116" s="42">
        <v>53</v>
      </c>
      <c r="K116" s="42">
        <v>176</v>
      </c>
      <c r="L116" s="5"/>
      <c r="M116" s="42">
        <v>1297</v>
      </c>
      <c r="N116" s="42">
        <v>1170</v>
      </c>
      <c r="O116" s="42">
        <v>412</v>
      </c>
      <c r="P116" s="42">
        <v>306</v>
      </c>
      <c r="Q116" s="42">
        <v>595</v>
      </c>
      <c r="R116" s="42"/>
    </row>
    <row r="117" spans="1:18" ht="12.5">
      <c r="A117">
        <f t="shared" si="1"/>
        <v>5</v>
      </c>
      <c r="B117" s="42" t="s">
        <v>403</v>
      </c>
      <c r="C117" s="42">
        <v>2018</v>
      </c>
      <c r="D117" s="42">
        <v>3376</v>
      </c>
      <c r="E117" s="42">
        <v>6403</v>
      </c>
      <c r="F117" s="42">
        <v>14</v>
      </c>
      <c r="G117" s="42">
        <v>68</v>
      </c>
      <c r="H117" s="42">
        <v>2238</v>
      </c>
      <c r="I117" s="42">
        <v>1464</v>
      </c>
      <c r="J117" s="42">
        <v>24</v>
      </c>
      <c r="K117" s="42">
        <v>195</v>
      </c>
      <c r="L117" s="5"/>
      <c r="M117" s="42">
        <v>1233</v>
      </c>
      <c r="N117" s="42">
        <v>1327</v>
      </c>
      <c r="O117" s="42">
        <v>406</v>
      </c>
      <c r="P117" s="42">
        <v>331</v>
      </c>
      <c r="Q117" s="42">
        <v>624</v>
      </c>
      <c r="R117" s="42"/>
    </row>
    <row r="118" spans="1:18" ht="12.5">
      <c r="A118">
        <f t="shared" si="1"/>
        <v>5</v>
      </c>
      <c r="B118" s="42" t="s">
        <v>403</v>
      </c>
      <c r="C118" s="42">
        <v>2019</v>
      </c>
      <c r="D118" s="42">
        <v>3301</v>
      </c>
      <c r="E118" s="42">
        <v>6352</v>
      </c>
      <c r="F118" s="42">
        <v>16</v>
      </c>
      <c r="G118" s="42">
        <v>30</v>
      </c>
      <c r="H118" s="42">
        <v>2190</v>
      </c>
      <c r="I118" s="42">
        <v>1153</v>
      </c>
      <c r="J118" s="42">
        <v>37</v>
      </c>
      <c r="K118" s="42">
        <v>155</v>
      </c>
      <c r="L118" s="5"/>
      <c r="M118" s="42">
        <v>1240</v>
      </c>
      <c r="N118" s="42">
        <v>1066</v>
      </c>
      <c r="O118" s="42">
        <v>388</v>
      </c>
      <c r="P118" s="42">
        <v>280</v>
      </c>
      <c r="Q118" s="42">
        <v>562</v>
      </c>
      <c r="R118" s="42"/>
    </row>
    <row r="119" spans="1:18" ht="12.5">
      <c r="A119">
        <f t="shared" si="1"/>
        <v>5</v>
      </c>
      <c r="B119" s="42" t="s">
        <v>403</v>
      </c>
      <c r="C119" s="42">
        <v>2020</v>
      </c>
      <c r="D119" s="42">
        <v>3421</v>
      </c>
      <c r="E119" s="42">
        <v>6754</v>
      </c>
      <c r="F119" s="42">
        <v>17</v>
      </c>
      <c r="G119" s="42">
        <v>37</v>
      </c>
      <c r="H119" s="42">
        <v>2059</v>
      </c>
      <c r="I119" s="42">
        <v>1055</v>
      </c>
      <c r="J119" s="42">
        <v>34</v>
      </c>
      <c r="K119" s="42">
        <v>127</v>
      </c>
      <c r="L119" s="5"/>
      <c r="M119" s="42">
        <v>1202</v>
      </c>
      <c r="N119" s="42">
        <v>906</v>
      </c>
      <c r="O119" s="42">
        <v>320</v>
      </c>
      <c r="P119" s="42">
        <v>277</v>
      </c>
      <c r="Q119" s="42">
        <v>574</v>
      </c>
      <c r="R119" s="42"/>
    </row>
    <row r="120" spans="1:18" ht="12.5">
      <c r="A120">
        <f t="shared" si="1"/>
        <v>5</v>
      </c>
      <c r="B120" s="42" t="s">
        <v>403</v>
      </c>
      <c r="C120" s="42">
        <v>2021</v>
      </c>
      <c r="D120" s="42">
        <v>3848</v>
      </c>
      <c r="E120" s="42">
        <v>8005</v>
      </c>
      <c r="F120" s="42">
        <v>16</v>
      </c>
      <c r="G120" s="42">
        <v>30</v>
      </c>
      <c r="H120" s="42">
        <v>1784</v>
      </c>
      <c r="I120" s="42">
        <v>947</v>
      </c>
      <c r="J120" s="42">
        <v>13</v>
      </c>
      <c r="K120" s="42">
        <v>133</v>
      </c>
      <c r="L120" s="5"/>
      <c r="M120" s="42">
        <v>1052</v>
      </c>
      <c r="N120" s="42">
        <v>766</v>
      </c>
      <c r="O120" s="42">
        <v>223</v>
      </c>
      <c r="P120" s="42">
        <v>312</v>
      </c>
      <c r="Q120" s="42">
        <v>524</v>
      </c>
      <c r="R120" s="42"/>
    </row>
    <row r="121" spans="1:18" ht="12.5">
      <c r="B121" s="193" t="s">
        <v>403</v>
      </c>
      <c r="C121" s="193">
        <v>2022</v>
      </c>
      <c r="D121" s="193">
        <v>3488</v>
      </c>
      <c r="E121" s="193">
        <v>8170</v>
      </c>
      <c r="F121" s="193">
        <v>11</v>
      </c>
      <c r="G121" s="193">
        <v>37</v>
      </c>
      <c r="H121" s="193">
        <v>1393</v>
      </c>
      <c r="I121" s="193">
        <v>907</v>
      </c>
      <c r="J121" s="193">
        <v>12</v>
      </c>
      <c r="K121" s="193">
        <v>111</v>
      </c>
      <c r="L121" s="199"/>
      <c r="M121" s="193">
        <v>815</v>
      </c>
      <c r="N121" s="193">
        <v>623</v>
      </c>
      <c r="O121" s="193">
        <v>203</v>
      </c>
      <c r="P121" s="193">
        <v>310</v>
      </c>
      <c r="Q121" s="193">
        <v>476</v>
      </c>
      <c r="R121" s="42"/>
    </row>
    <row r="122" spans="1:18" ht="12.5">
      <c r="B122" s="193" t="s">
        <v>403</v>
      </c>
      <c r="C122" s="193">
        <v>2023</v>
      </c>
      <c r="D122" s="193">
        <v>3194</v>
      </c>
      <c r="E122" s="193">
        <v>6787</v>
      </c>
      <c r="F122" s="193">
        <v>24</v>
      </c>
      <c r="G122" s="193">
        <v>188</v>
      </c>
      <c r="H122" s="193">
        <v>1163</v>
      </c>
      <c r="I122" s="193">
        <v>820</v>
      </c>
      <c r="J122" s="193">
        <v>15</v>
      </c>
      <c r="K122" s="193">
        <v>133</v>
      </c>
      <c r="L122" s="199"/>
      <c r="M122" s="193">
        <v>670</v>
      </c>
      <c r="N122" s="193">
        <v>569</v>
      </c>
      <c r="O122" s="193">
        <v>185</v>
      </c>
      <c r="P122" s="193">
        <v>242</v>
      </c>
      <c r="Q122" s="193">
        <v>466</v>
      </c>
      <c r="R122" s="42"/>
    </row>
    <row r="123" spans="1:18" ht="12.5">
      <c r="A123">
        <f>IF(B123=B120, A120, A120+1)</f>
        <v>6</v>
      </c>
      <c r="B123" s="42" t="s">
        <v>404</v>
      </c>
      <c r="C123" s="42">
        <v>2000</v>
      </c>
      <c r="D123" s="42">
        <v>1261</v>
      </c>
      <c r="E123" s="42">
        <v>337</v>
      </c>
      <c r="F123" s="42">
        <v>22</v>
      </c>
      <c r="G123" s="42">
        <v>351</v>
      </c>
      <c r="H123" s="42">
        <v>884</v>
      </c>
      <c r="I123" s="42">
        <v>475</v>
      </c>
      <c r="J123" s="42">
        <v>28</v>
      </c>
      <c r="K123" s="42">
        <v>847</v>
      </c>
      <c r="L123" s="5"/>
      <c r="M123" s="42">
        <v>131</v>
      </c>
      <c r="N123" s="42">
        <v>208</v>
      </c>
      <c r="O123" s="42">
        <v>26</v>
      </c>
      <c r="P123" s="42">
        <v>64</v>
      </c>
      <c r="Q123" s="42">
        <v>1805</v>
      </c>
      <c r="R123" s="42"/>
    </row>
    <row r="124" spans="1:18" ht="12.5">
      <c r="A124">
        <f t="shared" si="1"/>
        <v>6</v>
      </c>
      <c r="B124" s="42" t="s">
        <v>404</v>
      </c>
      <c r="C124" s="42">
        <v>2001</v>
      </c>
      <c r="D124" s="42">
        <v>1914</v>
      </c>
      <c r="E124" s="42">
        <v>351</v>
      </c>
      <c r="F124" s="42">
        <v>47</v>
      </c>
      <c r="G124" s="42">
        <v>453</v>
      </c>
      <c r="H124" s="42">
        <v>972</v>
      </c>
      <c r="I124" s="42">
        <v>453</v>
      </c>
      <c r="J124" s="42">
        <v>39</v>
      </c>
      <c r="K124" s="42">
        <v>852</v>
      </c>
      <c r="L124" s="5"/>
      <c r="M124" s="42">
        <v>122</v>
      </c>
      <c r="N124" s="42">
        <v>218</v>
      </c>
      <c r="O124" s="42">
        <v>28</v>
      </c>
      <c r="P124" s="42">
        <v>58</v>
      </c>
      <c r="Q124" s="42">
        <v>1890</v>
      </c>
      <c r="R124" s="42"/>
    </row>
    <row r="125" spans="1:18" ht="12.5">
      <c r="A125">
        <f t="shared" si="1"/>
        <v>6</v>
      </c>
      <c r="B125" s="42" t="s">
        <v>404</v>
      </c>
      <c r="C125" s="42">
        <v>2002</v>
      </c>
      <c r="D125" s="42">
        <v>2363</v>
      </c>
      <c r="E125" s="42">
        <v>398</v>
      </c>
      <c r="F125" s="42">
        <v>55</v>
      </c>
      <c r="G125" s="42">
        <v>516</v>
      </c>
      <c r="H125" s="42">
        <v>1045</v>
      </c>
      <c r="I125" s="42">
        <v>481</v>
      </c>
      <c r="J125" s="42">
        <v>32</v>
      </c>
      <c r="K125" s="42">
        <v>835</v>
      </c>
      <c r="L125" s="5"/>
      <c r="M125" s="42">
        <v>162</v>
      </c>
      <c r="N125" s="42">
        <v>247</v>
      </c>
      <c r="O125" s="42">
        <v>29</v>
      </c>
      <c r="P125" s="42">
        <v>68</v>
      </c>
      <c r="Q125" s="42">
        <v>1887</v>
      </c>
      <c r="R125" s="42"/>
    </row>
    <row r="126" spans="1:18" ht="12.5">
      <c r="A126">
        <f t="shared" si="1"/>
        <v>6</v>
      </c>
      <c r="B126" s="42" t="s">
        <v>404</v>
      </c>
      <c r="C126" s="42">
        <v>2003</v>
      </c>
      <c r="D126" s="42">
        <v>2197</v>
      </c>
      <c r="E126" s="42">
        <v>573</v>
      </c>
      <c r="F126" s="42">
        <v>37</v>
      </c>
      <c r="G126" s="42">
        <v>480</v>
      </c>
      <c r="H126" s="42">
        <v>1096</v>
      </c>
      <c r="I126" s="42">
        <v>656</v>
      </c>
      <c r="J126" s="42">
        <v>39</v>
      </c>
      <c r="K126" s="42">
        <v>830</v>
      </c>
      <c r="L126" s="5"/>
      <c r="M126" s="42">
        <v>184</v>
      </c>
      <c r="N126" s="42">
        <v>376</v>
      </c>
      <c r="O126" s="42">
        <v>32</v>
      </c>
      <c r="P126" s="42">
        <v>66</v>
      </c>
      <c r="Q126" s="42">
        <v>1963</v>
      </c>
      <c r="R126" s="42"/>
    </row>
    <row r="127" spans="1:18" ht="12.5">
      <c r="A127">
        <f t="shared" si="1"/>
        <v>6</v>
      </c>
      <c r="B127" s="42" t="s">
        <v>404</v>
      </c>
      <c r="C127" s="42">
        <v>2004</v>
      </c>
      <c r="D127" s="42">
        <v>2364</v>
      </c>
      <c r="E127" s="42">
        <v>602</v>
      </c>
      <c r="F127" s="42">
        <v>40</v>
      </c>
      <c r="G127" s="42">
        <v>451</v>
      </c>
      <c r="H127" s="42">
        <v>1076</v>
      </c>
      <c r="I127" s="42">
        <v>739</v>
      </c>
      <c r="J127" s="42">
        <v>29</v>
      </c>
      <c r="K127" s="42">
        <v>889</v>
      </c>
      <c r="L127" s="5"/>
      <c r="M127" s="42">
        <v>211</v>
      </c>
      <c r="N127" s="42">
        <v>457</v>
      </c>
      <c r="O127" s="42">
        <v>18</v>
      </c>
      <c r="P127" s="42">
        <v>96</v>
      </c>
      <c r="Q127" s="42">
        <v>1951</v>
      </c>
      <c r="R127" s="42"/>
    </row>
    <row r="128" spans="1:18" ht="12.5">
      <c r="A128">
        <f t="shared" si="1"/>
        <v>6</v>
      </c>
      <c r="B128" s="42" t="s">
        <v>404</v>
      </c>
      <c r="C128" s="42">
        <v>2005</v>
      </c>
      <c r="D128" s="42">
        <v>2597</v>
      </c>
      <c r="E128" s="42">
        <v>778</v>
      </c>
      <c r="F128" s="42">
        <v>52</v>
      </c>
      <c r="G128" s="42">
        <v>491</v>
      </c>
      <c r="H128" s="42">
        <v>1087</v>
      </c>
      <c r="I128" s="42">
        <v>837</v>
      </c>
      <c r="J128" s="42">
        <v>30</v>
      </c>
      <c r="K128" s="42">
        <v>730</v>
      </c>
      <c r="L128" s="5"/>
      <c r="M128" s="42">
        <v>220</v>
      </c>
      <c r="N128" s="42">
        <v>486</v>
      </c>
      <c r="O128" s="42">
        <v>26</v>
      </c>
      <c r="P128" s="42">
        <v>82</v>
      </c>
      <c r="Q128" s="42">
        <v>1870</v>
      </c>
      <c r="R128" s="42"/>
    </row>
    <row r="129" spans="1:18" ht="12.5">
      <c r="A129">
        <f t="shared" si="1"/>
        <v>6</v>
      </c>
      <c r="B129" s="42" t="s">
        <v>404</v>
      </c>
      <c r="C129" s="42">
        <v>2006</v>
      </c>
      <c r="D129" s="42">
        <v>2075</v>
      </c>
      <c r="E129" s="42">
        <v>883</v>
      </c>
      <c r="F129" s="42">
        <v>40</v>
      </c>
      <c r="G129" s="42">
        <v>488</v>
      </c>
      <c r="H129" s="42">
        <v>919</v>
      </c>
      <c r="I129" s="42">
        <v>791</v>
      </c>
      <c r="J129" s="42">
        <v>22</v>
      </c>
      <c r="K129" s="42">
        <v>660</v>
      </c>
      <c r="L129" s="5"/>
      <c r="M129" s="42">
        <v>178</v>
      </c>
      <c r="N129" s="42">
        <v>397</v>
      </c>
      <c r="O129" s="42">
        <v>17</v>
      </c>
      <c r="P129" s="42">
        <v>73</v>
      </c>
      <c r="Q129" s="42">
        <v>1727</v>
      </c>
      <c r="R129" s="42"/>
    </row>
    <row r="130" spans="1:18" ht="12.5">
      <c r="A130">
        <f t="shared" si="1"/>
        <v>6</v>
      </c>
      <c r="B130" s="42" t="s">
        <v>404</v>
      </c>
      <c r="C130" s="42">
        <v>2007</v>
      </c>
      <c r="D130" s="42">
        <v>2063</v>
      </c>
      <c r="E130" s="42">
        <v>988</v>
      </c>
      <c r="F130" s="42">
        <v>50</v>
      </c>
      <c r="G130" s="42">
        <v>600</v>
      </c>
      <c r="H130" s="42">
        <v>742</v>
      </c>
      <c r="I130" s="42">
        <v>519</v>
      </c>
      <c r="J130" s="42">
        <v>23</v>
      </c>
      <c r="K130" s="42">
        <v>438</v>
      </c>
      <c r="L130" s="5"/>
      <c r="M130" s="42">
        <v>203</v>
      </c>
      <c r="N130" s="42">
        <v>382</v>
      </c>
      <c r="O130" s="42">
        <v>21</v>
      </c>
      <c r="P130" s="42">
        <v>75</v>
      </c>
      <c r="Q130" s="42">
        <v>1041</v>
      </c>
      <c r="R130" s="42"/>
    </row>
    <row r="131" spans="1:18" ht="12.5">
      <c r="A131">
        <f t="shared" si="1"/>
        <v>6</v>
      </c>
      <c r="B131" s="42" t="s">
        <v>404</v>
      </c>
      <c r="C131" s="42">
        <v>2008</v>
      </c>
      <c r="D131" s="42">
        <v>2510</v>
      </c>
      <c r="E131" s="42">
        <v>1010</v>
      </c>
      <c r="F131" s="42">
        <v>60</v>
      </c>
      <c r="G131" s="42">
        <v>562</v>
      </c>
      <c r="H131" s="42">
        <v>766</v>
      </c>
      <c r="I131" s="42">
        <v>491</v>
      </c>
      <c r="J131" s="42">
        <v>25</v>
      </c>
      <c r="K131" s="42">
        <v>467</v>
      </c>
      <c r="L131" s="5"/>
      <c r="M131" s="42">
        <v>193</v>
      </c>
      <c r="N131" s="42">
        <v>331</v>
      </c>
      <c r="O131" s="42">
        <v>26</v>
      </c>
      <c r="P131" s="42">
        <v>106</v>
      </c>
      <c r="Q131" s="42">
        <v>1095</v>
      </c>
      <c r="R131" s="42"/>
    </row>
    <row r="132" spans="1:18" ht="12.5">
      <c r="A132">
        <f t="shared" si="1"/>
        <v>6</v>
      </c>
      <c r="B132" s="42" t="s">
        <v>404</v>
      </c>
      <c r="C132" s="42">
        <v>2009</v>
      </c>
      <c r="D132" s="42">
        <v>1862</v>
      </c>
      <c r="E132" s="42">
        <v>679</v>
      </c>
      <c r="F132" s="42">
        <v>59</v>
      </c>
      <c r="G132" s="42">
        <v>463</v>
      </c>
      <c r="H132" s="42">
        <v>898</v>
      </c>
      <c r="I132" s="42">
        <v>451</v>
      </c>
      <c r="J132" s="42">
        <v>23</v>
      </c>
      <c r="K132" s="42">
        <v>675</v>
      </c>
      <c r="L132" s="5"/>
      <c r="M132" s="42">
        <v>389</v>
      </c>
      <c r="N132" s="42">
        <v>313</v>
      </c>
      <c r="O132" s="42">
        <v>21</v>
      </c>
      <c r="P132" s="42">
        <v>324</v>
      </c>
      <c r="Q132" s="42">
        <v>1000</v>
      </c>
      <c r="R132" s="42"/>
    </row>
    <row r="133" spans="1:18" ht="12.5">
      <c r="A133">
        <f t="shared" si="1"/>
        <v>6</v>
      </c>
      <c r="B133" s="42" t="s">
        <v>404</v>
      </c>
      <c r="C133" s="42">
        <v>2010</v>
      </c>
      <c r="D133" s="42">
        <v>1508</v>
      </c>
      <c r="E133" s="42">
        <v>706</v>
      </c>
      <c r="F133" s="42">
        <v>44</v>
      </c>
      <c r="G133" s="42">
        <v>282</v>
      </c>
      <c r="H133" s="42">
        <v>1023</v>
      </c>
      <c r="I133" s="42">
        <v>548</v>
      </c>
      <c r="J133" s="42">
        <v>20</v>
      </c>
      <c r="K133" s="42">
        <v>640</v>
      </c>
      <c r="L133" s="5"/>
      <c r="M133" s="42">
        <v>589</v>
      </c>
      <c r="N133" s="42">
        <v>413</v>
      </c>
      <c r="O133" s="42">
        <v>24</v>
      </c>
      <c r="P133" s="42">
        <v>440</v>
      </c>
      <c r="Q133" s="42">
        <v>765</v>
      </c>
      <c r="R133" s="42"/>
    </row>
    <row r="134" spans="1:18" ht="12.5">
      <c r="A134">
        <f t="shared" si="1"/>
        <v>6</v>
      </c>
      <c r="B134" s="42" t="s">
        <v>404</v>
      </c>
      <c r="C134" s="42">
        <v>2011</v>
      </c>
      <c r="D134" s="42">
        <v>1733</v>
      </c>
      <c r="E134" s="42">
        <v>658</v>
      </c>
      <c r="F134" s="42">
        <v>31</v>
      </c>
      <c r="G134" s="42">
        <v>277</v>
      </c>
      <c r="H134" s="42">
        <v>1075</v>
      </c>
      <c r="I134" s="42">
        <v>778</v>
      </c>
      <c r="J134" s="42">
        <v>28</v>
      </c>
      <c r="K134" s="42">
        <v>663</v>
      </c>
      <c r="L134" s="5"/>
      <c r="M134" s="42">
        <v>672</v>
      </c>
      <c r="N134" s="42">
        <v>614</v>
      </c>
      <c r="O134" s="42">
        <v>32</v>
      </c>
      <c r="P134" s="42">
        <v>616</v>
      </c>
      <c r="Q134" s="42">
        <v>610</v>
      </c>
      <c r="R134" s="42"/>
    </row>
    <row r="135" spans="1:18" ht="12.5">
      <c r="A135">
        <f t="shared" si="1"/>
        <v>6</v>
      </c>
      <c r="B135" s="42" t="s">
        <v>404</v>
      </c>
      <c r="C135" s="42">
        <v>2012</v>
      </c>
      <c r="D135" s="42">
        <v>2125</v>
      </c>
      <c r="E135" s="42">
        <v>734</v>
      </c>
      <c r="F135" s="42">
        <v>29</v>
      </c>
      <c r="G135" s="42">
        <v>280</v>
      </c>
      <c r="H135" s="42">
        <v>1106</v>
      </c>
      <c r="I135" s="42">
        <v>591</v>
      </c>
      <c r="J135" s="42">
        <v>19</v>
      </c>
      <c r="K135" s="42">
        <v>610</v>
      </c>
      <c r="L135" s="5"/>
      <c r="M135" s="42">
        <v>678</v>
      </c>
      <c r="N135" s="42">
        <v>455</v>
      </c>
      <c r="O135" s="42">
        <v>13</v>
      </c>
      <c r="P135" s="42">
        <v>597</v>
      </c>
      <c r="Q135" s="42">
        <v>584</v>
      </c>
      <c r="R135" s="42"/>
    </row>
    <row r="136" spans="1:18" ht="12.5">
      <c r="A136">
        <f t="shared" si="1"/>
        <v>6</v>
      </c>
      <c r="B136" s="42" t="s">
        <v>404</v>
      </c>
      <c r="C136" s="42">
        <v>2013</v>
      </c>
      <c r="D136" s="42">
        <v>2240</v>
      </c>
      <c r="E136" s="42">
        <v>661</v>
      </c>
      <c r="F136" s="42">
        <v>29</v>
      </c>
      <c r="G136" s="42">
        <v>322</v>
      </c>
      <c r="H136" s="42">
        <v>1118</v>
      </c>
      <c r="I136" s="42">
        <v>603</v>
      </c>
      <c r="J136" s="42">
        <v>17</v>
      </c>
      <c r="K136" s="42">
        <v>582</v>
      </c>
      <c r="L136" s="5"/>
      <c r="M136" s="42">
        <v>677</v>
      </c>
      <c r="N136" s="42">
        <v>458</v>
      </c>
      <c r="O136" s="42">
        <v>17</v>
      </c>
      <c r="P136" s="42">
        <v>631</v>
      </c>
      <c r="Q136" s="42">
        <v>538</v>
      </c>
      <c r="R136" s="42"/>
    </row>
    <row r="137" spans="1:18" ht="12.5">
      <c r="A137">
        <f t="shared" si="1"/>
        <v>6</v>
      </c>
      <c r="B137" s="42" t="s">
        <v>404</v>
      </c>
      <c r="C137" s="42">
        <v>2014</v>
      </c>
      <c r="D137" s="42">
        <v>2591</v>
      </c>
      <c r="E137" s="42">
        <v>995</v>
      </c>
      <c r="F137" s="42">
        <v>26</v>
      </c>
      <c r="G137" s="42">
        <v>333</v>
      </c>
      <c r="H137" s="42">
        <v>1196</v>
      </c>
      <c r="I137" s="42">
        <v>694</v>
      </c>
      <c r="J137" s="42">
        <v>41</v>
      </c>
      <c r="K137" s="42">
        <v>632</v>
      </c>
      <c r="L137" s="5"/>
      <c r="M137" s="42">
        <v>741</v>
      </c>
      <c r="N137" s="42">
        <v>524</v>
      </c>
      <c r="O137" s="42">
        <v>53</v>
      </c>
      <c r="P137" s="42">
        <v>680</v>
      </c>
      <c r="Q137" s="42">
        <v>565</v>
      </c>
      <c r="R137" s="42"/>
    </row>
    <row r="138" spans="1:18" ht="12.5">
      <c r="A138">
        <f t="shared" si="1"/>
        <v>6</v>
      </c>
      <c r="B138" s="42" t="s">
        <v>404</v>
      </c>
      <c r="C138" s="42">
        <v>2015</v>
      </c>
      <c r="D138" s="42">
        <v>2373</v>
      </c>
      <c r="E138" s="42">
        <v>1013</v>
      </c>
      <c r="F138" s="42">
        <v>20</v>
      </c>
      <c r="G138" s="42">
        <v>339</v>
      </c>
      <c r="H138" s="42">
        <v>1222</v>
      </c>
      <c r="I138" s="42">
        <v>707</v>
      </c>
      <c r="J138" s="42">
        <v>57</v>
      </c>
      <c r="K138" s="42">
        <v>641</v>
      </c>
      <c r="L138" s="5"/>
      <c r="M138" s="42">
        <v>732</v>
      </c>
      <c r="N138" s="42">
        <v>532</v>
      </c>
      <c r="O138" s="42">
        <v>86</v>
      </c>
      <c r="P138" s="42">
        <v>718</v>
      </c>
      <c r="Q138" s="42">
        <v>559</v>
      </c>
      <c r="R138" s="42"/>
    </row>
    <row r="139" spans="1:18" ht="12.5">
      <c r="A139">
        <f t="shared" si="1"/>
        <v>6</v>
      </c>
      <c r="B139" s="42" t="s">
        <v>404</v>
      </c>
      <c r="C139" s="42">
        <v>2016</v>
      </c>
      <c r="D139" s="42">
        <v>2279</v>
      </c>
      <c r="E139" s="42">
        <v>1151</v>
      </c>
      <c r="F139" s="42">
        <v>30</v>
      </c>
      <c r="G139" s="42">
        <v>333</v>
      </c>
      <c r="H139" s="42">
        <v>1301</v>
      </c>
      <c r="I139" s="42">
        <v>915</v>
      </c>
      <c r="J139" s="42">
        <v>67</v>
      </c>
      <c r="K139" s="42">
        <v>736</v>
      </c>
      <c r="L139" s="5"/>
      <c r="M139" s="42">
        <v>825</v>
      </c>
      <c r="N139" s="42">
        <v>702</v>
      </c>
      <c r="O139" s="42">
        <v>86</v>
      </c>
      <c r="P139" s="42">
        <v>850</v>
      </c>
      <c r="Q139" s="42">
        <v>557</v>
      </c>
      <c r="R139" s="42"/>
    </row>
    <row r="140" spans="1:18" ht="12.5">
      <c r="A140">
        <f t="shared" si="1"/>
        <v>6</v>
      </c>
      <c r="B140" s="42" t="s">
        <v>404</v>
      </c>
      <c r="C140" s="42">
        <v>2017</v>
      </c>
      <c r="D140" s="42">
        <v>2611</v>
      </c>
      <c r="E140" s="42">
        <v>1233</v>
      </c>
      <c r="F140" s="42">
        <v>24</v>
      </c>
      <c r="G140" s="42">
        <v>416</v>
      </c>
      <c r="H140" s="42">
        <v>1242</v>
      </c>
      <c r="I140" s="42">
        <v>899</v>
      </c>
      <c r="J140" s="42">
        <v>75</v>
      </c>
      <c r="K140" s="42">
        <v>625</v>
      </c>
      <c r="L140" s="5"/>
      <c r="M140" s="42">
        <v>804</v>
      </c>
      <c r="N140" s="42">
        <v>703</v>
      </c>
      <c r="O140" s="42">
        <v>90</v>
      </c>
      <c r="P140" s="42">
        <v>723</v>
      </c>
      <c r="Q140" s="42">
        <v>523</v>
      </c>
      <c r="R140" s="42"/>
    </row>
    <row r="141" spans="1:18" ht="12.5">
      <c r="A141">
        <f t="shared" si="1"/>
        <v>6</v>
      </c>
      <c r="B141" s="42" t="s">
        <v>404</v>
      </c>
      <c r="C141" s="42">
        <v>2018</v>
      </c>
      <c r="D141" s="42">
        <v>2910</v>
      </c>
      <c r="E141" s="42">
        <v>1156</v>
      </c>
      <c r="F141" s="42">
        <v>23</v>
      </c>
      <c r="G141" s="42">
        <v>405</v>
      </c>
      <c r="H141" s="42">
        <v>1169</v>
      </c>
      <c r="I141" s="42">
        <v>755</v>
      </c>
      <c r="J141" s="42">
        <v>65</v>
      </c>
      <c r="K141" s="42">
        <v>557</v>
      </c>
      <c r="L141" s="5"/>
      <c r="M141" s="42">
        <v>725</v>
      </c>
      <c r="N141" s="42">
        <v>543</v>
      </c>
      <c r="O141" s="42">
        <v>79</v>
      </c>
      <c r="P141" s="42">
        <v>618</v>
      </c>
      <c r="Q141" s="42">
        <v>582</v>
      </c>
      <c r="R141" s="42"/>
    </row>
    <row r="142" spans="1:18" ht="12.5">
      <c r="A142">
        <f t="shared" ref="A142:A207" si="2">IF(B142=B141, A141, A141+1)</f>
        <v>6</v>
      </c>
      <c r="B142" s="42" t="s">
        <v>404</v>
      </c>
      <c r="C142" s="42">
        <v>2019</v>
      </c>
      <c r="D142" s="42">
        <v>2713</v>
      </c>
      <c r="E142" s="42">
        <v>1334</v>
      </c>
      <c r="F142" s="42">
        <v>17</v>
      </c>
      <c r="G142" s="42">
        <v>374</v>
      </c>
      <c r="H142" s="42">
        <v>1109</v>
      </c>
      <c r="I142" s="42">
        <v>894</v>
      </c>
      <c r="J142" s="42">
        <v>30</v>
      </c>
      <c r="K142" s="42">
        <v>537</v>
      </c>
      <c r="L142" s="5"/>
      <c r="M142" s="42">
        <v>691</v>
      </c>
      <c r="N142" s="42">
        <v>726</v>
      </c>
      <c r="O142" s="42">
        <v>30</v>
      </c>
      <c r="P142" s="42">
        <v>638</v>
      </c>
      <c r="Q142" s="42">
        <v>492</v>
      </c>
      <c r="R142" s="42"/>
    </row>
    <row r="143" spans="1:18" ht="12.5">
      <c r="A143">
        <f t="shared" si="2"/>
        <v>6</v>
      </c>
      <c r="B143" s="42" t="s">
        <v>404</v>
      </c>
      <c r="C143" s="42">
        <v>2020</v>
      </c>
      <c r="D143" s="42">
        <v>2207</v>
      </c>
      <c r="E143" s="42">
        <v>1007</v>
      </c>
      <c r="F143" s="42">
        <v>23</v>
      </c>
      <c r="G143" s="42">
        <v>343</v>
      </c>
      <c r="H143" s="42">
        <v>1025</v>
      </c>
      <c r="I143" s="42">
        <v>690</v>
      </c>
      <c r="J143" s="42">
        <v>20</v>
      </c>
      <c r="K143" s="42">
        <v>530</v>
      </c>
      <c r="L143" s="5"/>
      <c r="M143" s="42">
        <v>656</v>
      </c>
      <c r="N143" s="42">
        <v>560</v>
      </c>
      <c r="O143" s="42">
        <v>22</v>
      </c>
      <c r="P143" s="42">
        <v>595</v>
      </c>
      <c r="Q143" s="42">
        <v>439</v>
      </c>
      <c r="R143" s="42"/>
    </row>
    <row r="144" spans="1:18" ht="12.5">
      <c r="A144">
        <f t="shared" si="2"/>
        <v>6</v>
      </c>
      <c r="B144" s="42" t="s">
        <v>404</v>
      </c>
      <c r="C144" s="42">
        <v>2021</v>
      </c>
      <c r="D144" s="42">
        <v>2777</v>
      </c>
      <c r="E144" s="42">
        <v>1562</v>
      </c>
      <c r="F144" s="42">
        <v>19</v>
      </c>
      <c r="G144" s="42">
        <v>362</v>
      </c>
      <c r="H144" s="42">
        <v>1183</v>
      </c>
      <c r="I144" s="42">
        <v>747</v>
      </c>
      <c r="J144" s="42">
        <v>31</v>
      </c>
      <c r="K144" s="42">
        <v>587</v>
      </c>
      <c r="L144" s="5"/>
      <c r="M144" s="42">
        <v>705</v>
      </c>
      <c r="N144" s="42">
        <v>578</v>
      </c>
      <c r="O144" s="42">
        <v>34</v>
      </c>
      <c r="P144" s="42">
        <v>658</v>
      </c>
      <c r="Q144" s="42">
        <v>583</v>
      </c>
      <c r="R144" s="42"/>
    </row>
    <row r="145" spans="1:18" ht="12.5">
      <c r="B145" s="42" t="s">
        <v>404</v>
      </c>
      <c r="C145" s="42">
        <v>2022</v>
      </c>
      <c r="D145" s="42">
        <v>2988</v>
      </c>
      <c r="E145" s="42">
        <v>1681</v>
      </c>
      <c r="F145" s="42">
        <v>33</v>
      </c>
      <c r="G145" s="42">
        <v>316</v>
      </c>
      <c r="H145" s="42">
        <v>1009</v>
      </c>
      <c r="I145" s="42">
        <v>651</v>
      </c>
      <c r="J145" s="42">
        <v>24</v>
      </c>
      <c r="K145" s="42">
        <v>574</v>
      </c>
      <c r="L145" s="5"/>
      <c r="M145" s="42">
        <v>647</v>
      </c>
      <c r="N145" s="42">
        <v>504</v>
      </c>
      <c r="O145" s="42">
        <v>32</v>
      </c>
      <c r="P145" s="42">
        <v>641</v>
      </c>
      <c r="Q145" s="42">
        <v>441</v>
      </c>
      <c r="R145" s="42"/>
    </row>
    <row r="146" spans="1:18" ht="12.5">
      <c r="B146" s="42" t="s">
        <v>404</v>
      </c>
      <c r="C146" s="42">
        <v>2023</v>
      </c>
      <c r="D146" s="42">
        <v>2750</v>
      </c>
      <c r="E146" s="42">
        <v>1472</v>
      </c>
      <c r="F146" s="42">
        <v>46</v>
      </c>
      <c r="G146" s="42">
        <v>365</v>
      </c>
      <c r="H146" s="42">
        <v>1010</v>
      </c>
      <c r="I146" s="42">
        <v>676</v>
      </c>
      <c r="J146" s="42">
        <v>25</v>
      </c>
      <c r="K146" s="42">
        <v>433</v>
      </c>
      <c r="L146" s="5"/>
      <c r="M146" s="42">
        <v>637</v>
      </c>
      <c r="N146" s="42">
        <v>510</v>
      </c>
      <c r="O146" s="42">
        <v>30</v>
      </c>
      <c r="P146" s="42">
        <v>498</v>
      </c>
      <c r="Q146" s="42">
        <v>477</v>
      </c>
      <c r="R146" s="42"/>
    </row>
    <row r="147" spans="1:18" ht="12.5">
      <c r="A147">
        <f>IF(B147=B144, A144, A144+1)</f>
        <v>7</v>
      </c>
      <c r="B147" s="42" t="s">
        <v>405</v>
      </c>
      <c r="C147" s="42">
        <v>2000</v>
      </c>
      <c r="D147" s="42">
        <v>969</v>
      </c>
      <c r="E147" s="42">
        <v>1758</v>
      </c>
      <c r="F147" s="42">
        <v>174</v>
      </c>
      <c r="G147" s="42">
        <v>97</v>
      </c>
      <c r="H147" s="42">
        <v>126</v>
      </c>
      <c r="I147" s="42">
        <v>2676</v>
      </c>
      <c r="J147" s="42">
        <v>12</v>
      </c>
      <c r="K147" s="42">
        <v>6</v>
      </c>
      <c r="L147" s="5"/>
      <c r="M147" s="42">
        <v>67</v>
      </c>
      <c r="N147" s="42">
        <v>2630</v>
      </c>
      <c r="O147" s="42">
        <v>51</v>
      </c>
      <c r="P147" s="42">
        <v>37</v>
      </c>
      <c r="Q147" s="42">
        <v>35</v>
      </c>
      <c r="R147" s="42"/>
    </row>
    <row r="148" spans="1:18" ht="12.5">
      <c r="A148">
        <f t="shared" si="2"/>
        <v>7</v>
      </c>
      <c r="B148" s="42" t="s">
        <v>405</v>
      </c>
      <c r="C148" s="42">
        <v>2001</v>
      </c>
      <c r="D148" s="42">
        <v>904</v>
      </c>
      <c r="E148" s="42">
        <v>1675</v>
      </c>
      <c r="F148" s="42">
        <v>179</v>
      </c>
      <c r="G148" s="42">
        <v>83</v>
      </c>
      <c r="H148" s="42">
        <v>120</v>
      </c>
      <c r="I148" s="42">
        <v>2813</v>
      </c>
      <c r="J148" s="42">
        <v>17</v>
      </c>
      <c r="K148" s="42">
        <v>6</v>
      </c>
      <c r="L148" s="5"/>
      <c r="M148" s="42">
        <v>83</v>
      </c>
      <c r="N148" s="42">
        <v>2777</v>
      </c>
      <c r="O148" s="42">
        <v>31</v>
      </c>
      <c r="P148" s="42">
        <v>23</v>
      </c>
      <c r="Q148" s="42">
        <v>42</v>
      </c>
      <c r="R148" s="42"/>
    </row>
    <row r="149" spans="1:18" ht="12.5">
      <c r="A149">
        <f t="shared" si="2"/>
        <v>7</v>
      </c>
      <c r="B149" s="42" t="s">
        <v>405</v>
      </c>
      <c r="C149" s="42">
        <v>2002</v>
      </c>
      <c r="D149" s="42">
        <v>965</v>
      </c>
      <c r="E149" s="42">
        <v>2097</v>
      </c>
      <c r="F149" s="42">
        <v>300</v>
      </c>
      <c r="G149" s="42">
        <v>55</v>
      </c>
      <c r="H149" s="42">
        <v>147</v>
      </c>
      <c r="I149" s="42">
        <v>3892</v>
      </c>
      <c r="J149" s="42">
        <v>21</v>
      </c>
      <c r="K149" s="42">
        <v>5</v>
      </c>
      <c r="L149" s="5"/>
      <c r="M149" s="42">
        <v>86</v>
      </c>
      <c r="N149" s="42">
        <v>3842</v>
      </c>
      <c r="O149" s="42">
        <v>45</v>
      </c>
      <c r="P149" s="42">
        <v>46</v>
      </c>
      <c r="Q149" s="42">
        <v>46</v>
      </c>
      <c r="R149" s="42"/>
    </row>
    <row r="150" spans="1:18" ht="12.5">
      <c r="A150">
        <f t="shared" si="2"/>
        <v>7</v>
      </c>
      <c r="B150" s="42" t="s">
        <v>405</v>
      </c>
      <c r="C150" s="42">
        <v>2003</v>
      </c>
      <c r="D150" s="42">
        <v>798</v>
      </c>
      <c r="E150" s="42">
        <v>2519</v>
      </c>
      <c r="F150" s="42">
        <v>571</v>
      </c>
      <c r="G150" s="42">
        <v>43</v>
      </c>
      <c r="H150" s="42">
        <v>153</v>
      </c>
      <c r="I150" s="42">
        <v>4892</v>
      </c>
      <c r="J150" s="42">
        <v>10</v>
      </c>
      <c r="K150" s="42">
        <v>6</v>
      </c>
      <c r="L150" s="5"/>
      <c r="M150" s="42">
        <v>97</v>
      </c>
      <c r="N150" s="42">
        <v>4842</v>
      </c>
      <c r="O150" s="42">
        <v>27</v>
      </c>
      <c r="P150" s="42">
        <v>52</v>
      </c>
      <c r="Q150" s="42">
        <v>43</v>
      </c>
      <c r="R150" s="42"/>
    </row>
    <row r="151" spans="1:18" ht="12.5">
      <c r="A151">
        <f t="shared" si="2"/>
        <v>7</v>
      </c>
      <c r="B151" s="42" t="s">
        <v>405</v>
      </c>
      <c r="C151" s="42">
        <v>2004</v>
      </c>
      <c r="D151" s="42">
        <v>1007</v>
      </c>
      <c r="E151" s="42">
        <v>2981</v>
      </c>
      <c r="F151" s="42">
        <v>471</v>
      </c>
      <c r="G151" s="42">
        <v>43</v>
      </c>
      <c r="H151" s="42">
        <v>200</v>
      </c>
      <c r="I151" s="42">
        <v>6069</v>
      </c>
      <c r="J151" s="42">
        <v>15</v>
      </c>
      <c r="K151" s="42">
        <v>7</v>
      </c>
      <c r="L151" s="5"/>
      <c r="M151" s="42">
        <v>142</v>
      </c>
      <c r="N151" s="42">
        <v>6003</v>
      </c>
      <c r="O151" s="42">
        <v>40</v>
      </c>
      <c r="P151" s="42">
        <v>55</v>
      </c>
      <c r="Q151" s="42">
        <v>51</v>
      </c>
      <c r="R151" s="42"/>
    </row>
    <row r="152" spans="1:18" ht="12.5">
      <c r="A152">
        <f t="shared" si="2"/>
        <v>7</v>
      </c>
      <c r="B152" s="42" t="s">
        <v>405</v>
      </c>
      <c r="C152" s="42">
        <v>2005</v>
      </c>
      <c r="D152" s="42">
        <v>1147</v>
      </c>
      <c r="E152" s="42">
        <v>2957</v>
      </c>
      <c r="F152" s="42">
        <v>620</v>
      </c>
      <c r="G152" s="42">
        <v>34</v>
      </c>
      <c r="H152" s="42">
        <v>195</v>
      </c>
      <c r="I152" s="42">
        <v>5271</v>
      </c>
      <c r="J152" s="42">
        <v>18</v>
      </c>
      <c r="K152" s="42">
        <v>5</v>
      </c>
      <c r="L152" s="5"/>
      <c r="M152" s="42">
        <v>136</v>
      </c>
      <c r="N152" s="42">
        <v>5220</v>
      </c>
      <c r="O152" s="42">
        <v>35</v>
      </c>
      <c r="P152" s="42">
        <v>61</v>
      </c>
      <c r="Q152" s="42">
        <v>37</v>
      </c>
      <c r="R152" s="42"/>
    </row>
    <row r="153" spans="1:18" ht="12.5">
      <c r="A153">
        <f t="shared" si="2"/>
        <v>7</v>
      </c>
      <c r="B153" s="42" t="s">
        <v>405</v>
      </c>
      <c r="C153" s="42">
        <v>2006</v>
      </c>
      <c r="D153" s="42">
        <v>971</v>
      </c>
      <c r="E153" s="42">
        <v>2442</v>
      </c>
      <c r="F153" s="42">
        <v>468</v>
      </c>
      <c r="G153" s="42">
        <v>28</v>
      </c>
      <c r="H153" s="42">
        <v>198</v>
      </c>
      <c r="I153" s="42">
        <v>4733</v>
      </c>
      <c r="J153" s="42">
        <v>17</v>
      </c>
      <c r="K153" s="42">
        <v>8</v>
      </c>
      <c r="L153" s="5"/>
      <c r="M153" s="42">
        <v>145</v>
      </c>
      <c r="N153" s="42">
        <v>4671</v>
      </c>
      <c r="O153" s="42">
        <v>36</v>
      </c>
      <c r="P153" s="42">
        <v>41</v>
      </c>
      <c r="Q153" s="42">
        <v>63</v>
      </c>
      <c r="R153" s="42"/>
    </row>
    <row r="154" spans="1:18" ht="12.5">
      <c r="A154">
        <f t="shared" si="2"/>
        <v>7</v>
      </c>
      <c r="B154" s="42" t="s">
        <v>405</v>
      </c>
      <c r="C154" s="42">
        <v>2007</v>
      </c>
      <c r="D154" s="42">
        <v>851</v>
      </c>
      <c r="E154" s="42">
        <v>2791</v>
      </c>
      <c r="F154" s="42">
        <v>457</v>
      </c>
      <c r="G154" s="42">
        <v>36</v>
      </c>
      <c r="H154" s="42">
        <v>186</v>
      </c>
      <c r="I154" s="42">
        <v>4578</v>
      </c>
      <c r="J154" s="42">
        <v>48</v>
      </c>
      <c r="K154" s="42">
        <v>5</v>
      </c>
      <c r="L154" s="5"/>
      <c r="M154" s="42">
        <v>136</v>
      </c>
      <c r="N154" s="42">
        <v>4542</v>
      </c>
      <c r="O154" s="42">
        <v>64</v>
      </c>
      <c r="P154" s="42">
        <v>40</v>
      </c>
      <c r="Q154" s="42">
        <v>35</v>
      </c>
      <c r="R154" s="42"/>
    </row>
    <row r="155" spans="1:18" ht="12.5">
      <c r="A155">
        <f t="shared" si="2"/>
        <v>7</v>
      </c>
      <c r="B155" s="42" t="s">
        <v>405</v>
      </c>
      <c r="C155" s="42">
        <v>2008</v>
      </c>
      <c r="D155" s="42">
        <v>1203</v>
      </c>
      <c r="E155" s="42">
        <v>2587</v>
      </c>
      <c r="F155" s="42">
        <v>496</v>
      </c>
      <c r="G155" s="42">
        <v>37</v>
      </c>
      <c r="H155" s="42">
        <v>278</v>
      </c>
      <c r="I155" s="42">
        <v>3341</v>
      </c>
      <c r="J155" s="42">
        <v>12</v>
      </c>
      <c r="K155" s="42">
        <v>7</v>
      </c>
      <c r="L155" s="5"/>
      <c r="M155" s="42">
        <v>162</v>
      </c>
      <c r="N155" s="42">
        <v>3338</v>
      </c>
      <c r="O155" s="42">
        <v>70</v>
      </c>
      <c r="P155" s="42">
        <v>29</v>
      </c>
      <c r="Q155" s="42">
        <v>39</v>
      </c>
      <c r="R155" s="42"/>
    </row>
    <row r="156" spans="1:18" ht="12.5">
      <c r="A156">
        <f t="shared" si="2"/>
        <v>7</v>
      </c>
      <c r="B156" s="42" t="s">
        <v>405</v>
      </c>
      <c r="C156" s="42">
        <v>2009</v>
      </c>
      <c r="D156" s="42">
        <v>950</v>
      </c>
      <c r="E156" s="42">
        <v>1182</v>
      </c>
      <c r="F156" s="42">
        <v>251</v>
      </c>
      <c r="G156" s="42">
        <v>34</v>
      </c>
      <c r="H156" s="42">
        <v>149</v>
      </c>
      <c r="I156" s="42">
        <v>725</v>
      </c>
      <c r="J156" s="42">
        <v>10</v>
      </c>
      <c r="K156" s="42">
        <v>1</v>
      </c>
      <c r="L156" s="5"/>
      <c r="M156" s="42">
        <v>58</v>
      </c>
      <c r="N156" s="42">
        <v>680</v>
      </c>
      <c r="O156" s="42">
        <v>100</v>
      </c>
      <c r="P156" s="42">
        <v>24</v>
      </c>
      <c r="Q156" s="42">
        <v>23</v>
      </c>
      <c r="R156" s="42"/>
    </row>
    <row r="157" spans="1:18" ht="12.5">
      <c r="A157">
        <f t="shared" si="2"/>
        <v>7</v>
      </c>
      <c r="B157" s="42" t="s">
        <v>405</v>
      </c>
      <c r="C157" s="42">
        <v>2010</v>
      </c>
      <c r="D157" s="42">
        <v>1072</v>
      </c>
      <c r="E157" s="42">
        <v>1152</v>
      </c>
      <c r="F157" s="42">
        <v>172</v>
      </c>
      <c r="G157" s="42">
        <v>27</v>
      </c>
      <c r="H157" s="42">
        <v>82</v>
      </c>
      <c r="I157" s="42">
        <v>614</v>
      </c>
      <c r="J157" s="42">
        <v>13</v>
      </c>
      <c r="K157" s="42">
        <v>3</v>
      </c>
      <c r="L157" s="5"/>
      <c r="M157" s="42">
        <v>53</v>
      </c>
      <c r="N157" s="42">
        <v>589</v>
      </c>
      <c r="O157" s="42">
        <v>18</v>
      </c>
      <c r="P157" s="42">
        <v>28</v>
      </c>
      <c r="Q157" s="42">
        <v>24</v>
      </c>
      <c r="R157" s="42"/>
    </row>
    <row r="158" spans="1:18" ht="12.5">
      <c r="A158">
        <f t="shared" si="2"/>
        <v>7</v>
      </c>
      <c r="B158" s="42" t="s">
        <v>405</v>
      </c>
      <c r="C158" s="42">
        <v>2011</v>
      </c>
      <c r="D158" s="42">
        <v>1448</v>
      </c>
      <c r="E158" s="42">
        <v>1213</v>
      </c>
      <c r="F158" s="42">
        <v>189</v>
      </c>
      <c r="G158" s="42">
        <v>18</v>
      </c>
      <c r="H158" s="42">
        <v>173</v>
      </c>
      <c r="I158" s="42">
        <v>498</v>
      </c>
      <c r="J158" s="42">
        <v>37</v>
      </c>
      <c r="K158" s="42">
        <v>1</v>
      </c>
      <c r="L158" s="5"/>
      <c r="M158" s="42">
        <v>95</v>
      </c>
      <c r="N158" s="42">
        <v>530</v>
      </c>
      <c r="O158" s="42">
        <v>44</v>
      </c>
      <c r="P158" s="42">
        <v>15</v>
      </c>
      <c r="Q158" s="42">
        <v>25</v>
      </c>
      <c r="R158" s="42"/>
    </row>
    <row r="159" spans="1:18" ht="12.5">
      <c r="A159">
        <f t="shared" si="2"/>
        <v>7</v>
      </c>
      <c r="B159" s="42" t="s">
        <v>405</v>
      </c>
      <c r="C159" s="42">
        <v>2012</v>
      </c>
      <c r="D159" s="42">
        <v>1273</v>
      </c>
      <c r="E159" s="42">
        <v>1691</v>
      </c>
      <c r="F159" s="42">
        <v>166</v>
      </c>
      <c r="G159" s="42">
        <v>24</v>
      </c>
      <c r="H159" s="42">
        <v>165</v>
      </c>
      <c r="I159" s="42">
        <v>553</v>
      </c>
      <c r="J159" s="42">
        <v>21</v>
      </c>
      <c r="K159" s="42">
        <v>2</v>
      </c>
      <c r="L159" s="5"/>
      <c r="M159" s="42">
        <v>171</v>
      </c>
      <c r="N159" s="42">
        <v>485</v>
      </c>
      <c r="O159" s="42">
        <v>41</v>
      </c>
      <c r="P159" s="42">
        <v>26</v>
      </c>
      <c r="Q159" s="42">
        <v>18</v>
      </c>
      <c r="R159" s="42"/>
    </row>
    <row r="160" spans="1:18" ht="12.5">
      <c r="A160">
        <f t="shared" si="2"/>
        <v>7</v>
      </c>
      <c r="B160" s="42" t="s">
        <v>405</v>
      </c>
      <c r="C160" s="42">
        <v>2013</v>
      </c>
      <c r="D160" s="42">
        <v>1791</v>
      </c>
      <c r="E160" s="42">
        <v>1989</v>
      </c>
      <c r="F160" s="42">
        <v>216</v>
      </c>
      <c r="G160" s="42">
        <v>33</v>
      </c>
      <c r="H160" s="42">
        <v>234</v>
      </c>
      <c r="I160" s="42">
        <v>964</v>
      </c>
      <c r="J160" s="42">
        <v>16</v>
      </c>
      <c r="K160" s="42">
        <v>2</v>
      </c>
      <c r="L160" s="5"/>
      <c r="M160" s="42">
        <v>212</v>
      </c>
      <c r="N160" s="42">
        <v>926</v>
      </c>
      <c r="O160" s="42">
        <v>35</v>
      </c>
      <c r="P160" s="42">
        <v>21</v>
      </c>
      <c r="Q160" s="42">
        <v>22</v>
      </c>
      <c r="R160" s="42"/>
    </row>
    <row r="161" spans="1:18" ht="12.5">
      <c r="A161">
        <f t="shared" si="2"/>
        <v>7</v>
      </c>
      <c r="B161" s="42" t="s">
        <v>405</v>
      </c>
      <c r="C161" s="42">
        <v>2014</v>
      </c>
      <c r="D161" s="42">
        <v>1951</v>
      </c>
      <c r="E161" s="42">
        <v>2681</v>
      </c>
      <c r="F161" s="42">
        <v>277</v>
      </c>
      <c r="G161" s="42">
        <v>32</v>
      </c>
      <c r="H161" s="42">
        <v>240</v>
      </c>
      <c r="I161" s="42">
        <v>1158</v>
      </c>
      <c r="J161" s="42">
        <v>30</v>
      </c>
      <c r="K161" s="42">
        <v>2</v>
      </c>
      <c r="L161" s="5"/>
      <c r="M161" s="42">
        <v>215</v>
      </c>
      <c r="N161" s="42">
        <v>1126</v>
      </c>
      <c r="O161" s="42">
        <v>51</v>
      </c>
      <c r="P161" s="42">
        <v>21</v>
      </c>
      <c r="Q161" s="42">
        <v>17</v>
      </c>
      <c r="R161" s="42"/>
    </row>
    <row r="162" spans="1:18" ht="12.5">
      <c r="A162">
        <f t="shared" si="2"/>
        <v>7</v>
      </c>
      <c r="B162" s="173" t="s">
        <v>405</v>
      </c>
      <c r="C162" s="173">
        <v>2015</v>
      </c>
      <c r="D162" s="173">
        <v>1788</v>
      </c>
      <c r="E162" s="173">
        <v>2776</v>
      </c>
      <c r="F162" s="173">
        <v>280</v>
      </c>
      <c r="G162" s="173">
        <v>38</v>
      </c>
      <c r="H162" s="173">
        <v>184</v>
      </c>
      <c r="I162" s="173">
        <v>1511</v>
      </c>
      <c r="J162" s="173">
        <v>81</v>
      </c>
      <c r="K162" s="173">
        <v>4</v>
      </c>
      <c r="M162" s="176">
        <v>157</v>
      </c>
      <c r="N162" s="176">
        <v>1451</v>
      </c>
      <c r="O162" s="176">
        <v>128</v>
      </c>
      <c r="P162" s="176">
        <v>29</v>
      </c>
      <c r="Q162" s="176">
        <v>15</v>
      </c>
    </row>
    <row r="163" spans="1:18" ht="12.5">
      <c r="A163">
        <f t="shared" si="2"/>
        <v>7</v>
      </c>
      <c r="B163" s="173" t="s">
        <v>405</v>
      </c>
      <c r="C163" s="173">
        <v>2016</v>
      </c>
      <c r="D163" s="173">
        <v>1622</v>
      </c>
      <c r="E163" s="173">
        <v>2668</v>
      </c>
      <c r="F163" s="173">
        <v>240</v>
      </c>
      <c r="G163" s="173">
        <v>33</v>
      </c>
      <c r="H163" s="173">
        <v>180</v>
      </c>
      <c r="I163" s="173">
        <v>1568</v>
      </c>
      <c r="J163" s="173">
        <v>74</v>
      </c>
      <c r="K163" s="173">
        <v>2</v>
      </c>
      <c r="M163" s="176">
        <v>131</v>
      </c>
      <c r="N163" s="176">
        <v>1498</v>
      </c>
      <c r="O163" s="176">
        <v>145</v>
      </c>
      <c r="P163" s="176">
        <v>36</v>
      </c>
      <c r="Q163" s="176">
        <v>14</v>
      </c>
    </row>
    <row r="164" spans="1:18" ht="12.5">
      <c r="A164">
        <f t="shared" si="2"/>
        <v>7</v>
      </c>
      <c r="B164" s="173" t="s">
        <v>405</v>
      </c>
      <c r="C164" s="173">
        <v>2017</v>
      </c>
      <c r="D164" s="173">
        <v>2135</v>
      </c>
      <c r="E164" s="173">
        <v>3252</v>
      </c>
      <c r="F164" s="173">
        <v>330</v>
      </c>
      <c r="G164" s="173">
        <v>42</v>
      </c>
      <c r="H164" s="173">
        <v>240</v>
      </c>
      <c r="I164" s="173">
        <v>1937</v>
      </c>
      <c r="J164" s="173">
        <v>103</v>
      </c>
      <c r="K164" s="173">
        <v>2</v>
      </c>
      <c r="M164" s="176">
        <v>195</v>
      </c>
      <c r="N164" s="176">
        <v>1820</v>
      </c>
      <c r="O164" s="176">
        <v>202</v>
      </c>
      <c r="P164" s="176">
        <v>40</v>
      </c>
      <c r="Q164" s="176">
        <v>25</v>
      </c>
    </row>
    <row r="165" spans="1:18" ht="12.5">
      <c r="A165">
        <f t="shared" si="2"/>
        <v>7</v>
      </c>
      <c r="B165" s="173" t="s">
        <v>405</v>
      </c>
      <c r="C165" s="173">
        <v>2018</v>
      </c>
      <c r="D165" s="173">
        <v>2266</v>
      </c>
      <c r="E165" s="173">
        <v>3203</v>
      </c>
      <c r="F165" s="173">
        <v>439</v>
      </c>
      <c r="G165" s="173">
        <v>44</v>
      </c>
      <c r="H165" s="173">
        <v>257</v>
      </c>
      <c r="I165" s="173">
        <v>1995</v>
      </c>
      <c r="J165" s="173">
        <v>63</v>
      </c>
      <c r="K165" s="173">
        <v>8</v>
      </c>
      <c r="M165" s="176">
        <v>207</v>
      </c>
      <c r="N165" s="176">
        <v>1899</v>
      </c>
      <c r="O165" s="176">
        <v>165</v>
      </c>
      <c r="P165" s="176">
        <v>33</v>
      </c>
      <c r="Q165" s="176">
        <v>19</v>
      </c>
    </row>
    <row r="166" spans="1:18" ht="12.5">
      <c r="A166">
        <f t="shared" si="2"/>
        <v>7</v>
      </c>
      <c r="B166" s="173" t="s">
        <v>405</v>
      </c>
      <c r="C166" s="173">
        <v>2019</v>
      </c>
      <c r="D166" s="173">
        <v>2163</v>
      </c>
      <c r="E166" s="173">
        <v>3329</v>
      </c>
      <c r="F166" s="173">
        <v>424</v>
      </c>
      <c r="G166" s="173">
        <v>35</v>
      </c>
      <c r="H166" s="173">
        <v>210</v>
      </c>
      <c r="I166" s="173">
        <v>1975</v>
      </c>
      <c r="J166" s="173">
        <v>88</v>
      </c>
      <c r="K166" s="173">
        <v>0</v>
      </c>
      <c r="M166" s="176">
        <v>169</v>
      </c>
      <c r="N166" s="176">
        <v>1900</v>
      </c>
      <c r="O166" s="176">
        <v>160</v>
      </c>
      <c r="P166" s="176">
        <v>32</v>
      </c>
      <c r="Q166" s="176">
        <v>16</v>
      </c>
    </row>
    <row r="167" spans="1:18" ht="12.5">
      <c r="A167">
        <f t="shared" si="2"/>
        <v>7</v>
      </c>
      <c r="B167" s="173" t="s">
        <v>405</v>
      </c>
      <c r="C167" s="173">
        <v>2020</v>
      </c>
      <c r="D167" s="173">
        <v>1953</v>
      </c>
      <c r="E167" s="173">
        <v>2561</v>
      </c>
      <c r="F167" s="173">
        <v>301</v>
      </c>
      <c r="G167" s="173">
        <v>20</v>
      </c>
      <c r="H167" s="173">
        <v>181</v>
      </c>
      <c r="I167" s="173">
        <v>1764</v>
      </c>
      <c r="J167" s="173">
        <v>81</v>
      </c>
      <c r="K167" s="173">
        <v>2</v>
      </c>
      <c r="L167" s="42"/>
      <c r="M167" s="176">
        <v>112</v>
      </c>
      <c r="N167" s="176">
        <v>1705</v>
      </c>
      <c r="O167" s="176">
        <v>171</v>
      </c>
      <c r="P167" s="176">
        <v>27</v>
      </c>
      <c r="Q167" s="176">
        <v>13</v>
      </c>
    </row>
    <row r="168" spans="1:18" ht="12.5">
      <c r="A168">
        <f t="shared" si="2"/>
        <v>7</v>
      </c>
      <c r="B168" s="173" t="s">
        <v>405</v>
      </c>
      <c r="C168" s="173">
        <v>2021</v>
      </c>
      <c r="D168" s="173">
        <v>2346</v>
      </c>
      <c r="E168" s="173">
        <v>3392</v>
      </c>
      <c r="F168" s="173">
        <v>362</v>
      </c>
      <c r="G168" s="173">
        <v>30</v>
      </c>
      <c r="H168" s="173">
        <v>203</v>
      </c>
      <c r="I168" s="173">
        <v>2453</v>
      </c>
      <c r="J168" s="173">
        <v>67</v>
      </c>
      <c r="K168" s="173">
        <v>3</v>
      </c>
      <c r="L168" s="42"/>
      <c r="M168" s="176">
        <v>139</v>
      </c>
      <c r="N168" s="176">
        <v>2390</v>
      </c>
      <c r="O168" s="176">
        <v>153</v>
      </c>
      <c r="P168" s="176">
        <v>25</v>
      </c>
      <c r="Q168" s="176">
        <v>19</v>
      </c>
    </row>
    <row r="169" spans="1:18" ht="12.5">
      <c r="A169">
        <f t="shared" si="2"/>
        <v>7</v>
      </c>
      <c r="B169" s="198" t="s">
        <v>405</v>
      </c>
      <c r="C169" s="173">
        <v>2022</v>
      </c>
      <c r="D169" s="193">
        <v>2648</v>
      </c>
      <c r="E169" s="193">
        <v>4112</v>
      </c>
      <c r="F169" s="193">
        <v>338</v>
      </c>
      <c r="G169" s="193">
        <v>35</v>
      </c>
      <c r="H169" s="193">
        <v>175</v>
      </c>
      <c r="I169" s="193">
        <v>2382</v>
      </c>
      <c r="J169" s="193">
        <v>60</v>
      </c>
      <c r="K169" s="193">
        <v>2</v>
      </c>
      <c r="L169" s="200"/>
      <c r="M169" s="193">
        <v>121</v>
      </c>
      <c r="N169" s="193">
        <v>2327</v>
      </c>
      <c r="O169" s="193">
        <v>140</v>
      </c>
      <c r="P169" s="193">
        <v>20</v>
      </c>
      <c r="Q169" s="193">
        <v>12</v>
      </c>
    </row>
    <row r="170" spans="1:18" ht="12.5">
      <c r="A170">
        <f t="shared" si="2"/>
        <v>7</v>
      </c>
      <c r="B170" s="198" t="s">
        <v>405</v>
      </c>
      <c r="C170" s="173">
        <v>2023</v>
      </c>
      <c r="D170" s="193">
        <v>3559</v>
      </c>
      <c r="E170" s="193">
        <v>4031</v>
      </c>
      <c r="F170" s="193">
        <v>292</v>
      </c>
      <c r="G170" s="193">
        <v>40</v>
      </c>
      <c r="H170" s="193">
        <v>121</v>
      </c>
      <c r="I170" s="193">
        <v>1748</v>
      </c>
      <c r="J170" s="193">
        <v>45</v>
      </c>
      <c r="K170" s="193">
        <v>2</v>
      </c>
      <c r="L170" s="200"/>
      <c r="M170" s="193">
        <v>79</v>
      </c>
      <c r="N170" s="193">
        <v>1697</v>
      </c>
      <c r="O170" s="193">
        <v>104</v>
      </c>
      <c r="P170" s="193">
        <v>19</v>
      </c>
      <c r="Q170" s="193">
        <v>17</v>
      </c>
    </row>
    <row r="171" spans="1:18" ht="12.5">
      <c r="A171">
        <f t="shared" si="2"/>
        <v>8</v>
      </c>
    </row>
    <row r="172" spans="1:18" ht="12.5">
      <c r="A172">
        <f t="shared" si="2"/>
        <v>8</v>
      </c>
    </row>
    <row r="173" spans="1:18" ht="12.5">
      <c r="A173">
        <f t="shared" si="2"/>
        <v>8</v>
      </c>
    </row>
    <row r="174" spans="1:18" ht="12.5">
      <c r="A174">
        <f t="shared" si="2"/>
        <v>8</v>
      </c>
    </row>
    <row r="175" spans="1:18" ht="12.5">
      <c r="A175">
        <f t="shared" si="2"/>
        <v>8</v>
      </c>
    </row>
    <row r="176" spans="1:18" ht="12.5">
      <c r="A176">
        <f t="shared" si="2"/>
        <v>8</v>
      </c>
    </row>
    <row r="177" spans="1:1" ht="12.5">
      <c r="A177">
        <f t="shared" si="2"/>
        <v>8</v>
      </c>
    </row>
    <row r="178" spans="1:1" ht="12.5">
      <c r="A178">
        <f t="shared" si="2"/>
        <v>8</v>
      </c>
    </row>
    <row r="179" spans="1:1" ht="12.5">
      <c r="A179">
        <f t="shared" si="2"/>
        <v>8</v>
      </c>
    </row>
    <row r="180" spans="1:1" ht="12.5">
      <c r="A180">
        <f t="shared" si="2"/>
        <v>8</v>
      </c>
    </row>
    <row r="181" spans="1:1" ht="12.5">
      <c r="A181">
        <f t="shared" si="2"/>
        <v>8</v>
      </c>
    </row>
    <row r="182" spans="1:1" ht="12.5">
      <c r="A182">
        <f t="shared" si="2"/>
        <v>8</v>
      </c>
    </row>
    <row r="183" spans="1:1" ht="12.5">
      <c r="A183">
        <f t="shared" si="2"/>
        <v>8</v>
      </c>
    </row>
    <row r="184" spans="1:1" ht="12.5">
      <c r="A184">
        <f t="shared" si="2"/>
        <v>8</v>
      </c>
    </row>
    <row r="185" spans="1:1" ht="12.5">
      <c r="A185">
        <f t="shared" si="2"/>
        <v>8</v>
      </c>
    </row>
    <row r="186" spans="1:1" ht="12.5">
      <c r="A186">
        <f t="shared" si="2"/>
        <v>8</v>
      </c>
    </row>
    <row r="187" spans="1:1" ht="12.5">
      <c r="A187">
        <f t="shared" si="2"/>
        <v>8</v>
      </c>
    </row>
    <row r="188" spans="1:1" ht="12.5">
      <c r="A188">
        <f t="shared" si="2"/>
        <v>8</v>
      </c>
    </row>
    <row r="189" spans="1:1" ht="12.5">
      <c r="A189">
        <f t="shared" si="2"/>
        <v>8</v>
      </c>
    </row>
    <row r="190" spans="1:1" ht="12.5">
      <c r="A190">
        <f t="shared" si="2"/>
        <v>8</v>
      </c>
    </row>
    <row r="191" spans="1:1" ht="12.5">
      <c r="A191">
        <f t="shared" si="2"/>
        <v>8</v>
      </c>
    </row>
    <row r="192" spans="1:1" ht="12.5">
      <c r="A192">
        <f t="shared" si="2"/>
        <v>8</v>
      </c>
    </row>
    <row r="193" spans="1:1" ht="12.5">
      <c r="A193">
        <f t="shared" si="2"/>
        <v>8</v>
      </c>
    </row>
    <row r="194" spans="1:1" ht="12.5">
      <c r="A194">
        <f t="shared" si="2"/>
        <v>8</v>
      </c>
    </row>
    <row r="195" spans="1:1" ht="12.5">
      <c r="A195">
        <f t="shared" si="2"/>
        <v>8</v>
      </c>
    </row>
    <row r="196" spans="1:1" ht="12.5">
      <c r="A196">
        <f t="shared" si="2"/>
        <v>8</v>
      </c>
    </row>
    <row r="197" spans="1:1" ht="12.5">
      <c r="A197">
        <f t="shared" si="2"/>
        <v>8</v>
      </c>
    </row>
    <row r="198" spans="1:1" ht="12.5">
      <c r="A198">
        <f t="shared" si="2"/>
        <v>8</v>
      </c>
    </row>
    <row r="199" spans="1:1" ht="12.5">
      <c r="A199">
        <f t="shared" si="2"/>
        <v>8</v>
      </c>
    </row>
    <row r="200" spans="1:1" ht="12.5">
      <c r="A200">
        <f t="shared" si="2"/>
        <v>8</v>
      </c>
    </row>
    <row r="201" spans="1:1" ht="12.5">
      <c r="A201">
        <f t="shared" si="2"/>
        <v>8</v>
      </c>
    </row>
    <row r="202" spans="1:1" ht="12.5">
      <c r="A202">
        <f t="shared" si="2"/>
        <v>8</v>
      </c>
    </row>
    <row r="203" spans="1:1" ht="12.5">
      <c r="A203">
        <f t="shared" si="2"/>
        <v>8</v>
      </c>
    </row>
    <row r="204" spans="1:1" ht="12.5">
      <c r="A204">
        <f t="shared" si="2"/>
        <v>8</v>
      </c>
    </row>
    <row r="205" spans="1:1" ht="12.5">
      <c r="A205">
        <f t="shared" si="2"/>
        <v>8</v>
      </c>
    </row>
    <row r="206" spans="1:1" ht="12.5">
      <c r="A206">
        <f t="shared" si="2"/>
        <v>8</v>
      </c>
    </row>
    <row r="207" spans="1:1" ht="12.5">
      <c r="A207">
        <f t="shared" si="2"/>
        <v>8</v>
      </c>
    </row>
    <row r="208" spans="1:1" ht="12.5">
      <c r="A208">
        <f t="shared" ref="A208:A271" si="3">IF(B208=B207, A207, A207+1)</f>
        <v>8</v>
      </c>
    </row>
    <row r="209" spans="1:1" ht="12.5">
      <c r="A209">
        <f t="shared" si="3"/>
        <v>8</v>
      </c>
    </row>
    <row r="210" spans="1:1" ht="12.5">
      <c r="A210">
        <f t="shared" si="3"/>
        <v>8</v>
      </c>
    </row>
    <row r="211" spans="1:1" ht="12.5">
      <c r="A211">
        <f t="shared" si="3"/>
        <v>8</v>
      </c>
    </row>
    <row r="212" spans="1:1" ht="12.5">
      <c r="A212">
        <f t="shared" si="3"/>
        <v>8</v>
      </c>
    </row>
    <row r="213" spans="1:1" ht="12.5">
      <c r="A213">
        <f t="shared" si="3"/>
        <v>8</v>
      </c>
    </row>
    <row r="214" spans="1:1" ht="12.5">
      <c r="A214">
        <f t="shared" si="3"/>
        <v>8</v>
      </c>
    </row>
    <row r="215" spans="1:1" ht="12.5">
      <c r="A215">
        <f t="shared" si="3"/>
        <v>8</v>
      </c>
    </row>
    <row r="216" spans="1:1" ht="12.5">
      <c r="A216">
        <f t="shared" si="3"/>
        <v>8</v>
      </c>
    </row>
    <row r="217" spans="1:1" ht="12.5">
      <c r="A217">
        <f t="shared" si="3"/>
        <v>8</v>
      </c>
    </row>
    <row r="218" spans="1:1" ht="12.5">
      <c r="A218">
        <f t="shared" si="3"/>
        <v>8</v>
      </c>
    </row>
    <row r="219" spans="1:1" ht="12.5">
      <c r="A219">
        <f t="shared" si="3"/>
        <v>8</v>
      </c>
    </row>
    <row r="220" spans="1:1" ht="12.5">
      <c r="A220">
        <f t="shared" si="3"/>
        <v>8</v>
      </c>
    </row>
    <row r="221" spans="1:1" ht="12.5">
      <c r="A221">
        <f t="shared" si="3"/>
        <v>8</v>
      </c>
    </row>
    <row r="222" spans="1:1" ht="12.5">
      <c r="A222">
        <f t="shared" si="3"/>
        <v>8</v>
      </c>
    </row>
    <row r="223" spans="1:1" ht="12.5">
      <c r="A223">
        <f t="shared" si="3"/>
        <v>8</v>
      </c>
    </row>
    <row r="224" spans="1:1" ht="12.5">
      <c r="A224">
        <f t="shared" si="3"/>
        <v>8</v>
      </c>
    </row>
    <row r="225" spans="1:1" ht="12.5">
      <c r="A225">
        <f t="shared" si="3"/>
        <v>8</v>
      </c>
    </row>
    <row r="226" spans="1:1" ht="12.5">
      <c r="A226">
        <f t="shared" si="3"/>
        <v>8</v>
      </c>
    </row>
    <row r="227" spans="1:1" ht="12.5">
      <c r="A227">
        <f t="shared" si="3"/>
        <v>8</v>
      </c>
    </row>
    <row r="228" spans="1:1" ht="12.5">
      <c r="A228">
        <f t="shared" si="3"/>
        <v>8</v>
      </c>
    </row>
    <row r="229" spans="1:1" ht="12.5">
      <c r="A229">
        <f t="shared" si="3"/>
        <v>8</v>
      </c>
    </row>
    <row r="230" spans="1:1" ht="12.5">
      <c r="A230">
        <f t="shared" si="3"/>
        <v>8</v>
      </c>
    </row>
    <row r="231" spans="1:1" ht="12.5">
      <c r="A231">
        <f t="shared" si="3"/>
        <v>8</v>
      </c>
    </row>
    <row r="232" spans="1:1" ht="12.5">
      <c r="A232">
        <f t="shared" si="3"/>
        <v>8</v>
      </c>
    </row>
    <row r="233" spans="1:1" ht="12.5">
      <c r="A233">
        <f t="shared" si="3"/>
        <v>8</v>
      </c>
    </row>
    <row r="234" spans="1:1" ht="12.5">
      <c r="A234">
        <f t="shared" si="3"/>
        <v>8</v>
      </c>
    </row>
    <row r="235" spans="1:1" ht="12.5">
      <c r="A235">
        <f t="shared" si="3"/>
        <v>8</v>
      </c>
    </row>
    <row r="236" spans="1:1" ht="12.5">
      <c r="A236">
        <f t="shared" si="3"/>
        <v>8</v>
      </c>
    </row>
    <row r="237" spans="1:1" ht="12.5">
      <c r="A237">
        <f t="shared" si="3"/>
        <v>8</v>
      </c>
    </row>
    <row r="238" spans="1:1" ht="12.5">
      <c r="A238">
        <f t="shared" si="3"/>
        <v>8</v>
      </c>
    </row>
    <row r="239" spans="1:1" ht="12.5">
      <c r="A239">
        <f t="shared" si="3"/>
        <v>8</v>
      </c>
    </row>
    <row r="240" spans="1:1" ht="12.5">
      <c r="A240">
        <f t="shared" si="3"/>
        <v>8</v>
      </c>
    </row>
    <row r="241" spans="1:1" ht="12.5">
      <c r="A241">
        <f t="shared" si="3"/>
        <v>8</v>
      </c>
    </row>
    <row r="242" spans="1:1" ht="12.5">
      <c r="A242">
        <f t="shared" si="3"/>
        <v>8</v>
      </c>
    </row>
    <row r="243" spans="1:1" ht="12.5">
      <c r="A243">
        <f t="shared" si="3"/>
        <v>8</v>
      </c>
    </row>
    <row r="244" spans="1:1" ht="12.5">
      <c r="A244">
        <f t="shared" si="3"/>
        <v>8</v>
      </c>
    </row>
    <row r="245" spans="1:1" ht="12.5">
      <c r="A245">
        <f t="shared" si="3"/>
        <v>8</v>
      </c>
    </row>
    <row r="246" spans="1:1" ht="12.5">
      <c r="A246">
        <f t="shared" si="3"/>
        <v>8</v>
      </c>
    </row>
    <row r="247" spans="1:1" ht="12.5">
      <c r="A247">
        <f t="shared" si="3"/>
        <v>8</v>
      </c>
    </row>
    <row r="248" spans="1:1" ht="12.5">
      <c r="A248">
        <f t="shared" si="3"/>
        <v>8</v>
      </c>
    </row>
    <row r="249" spans="1:1" ht="12.5">
      <c r="A249">
        <f t="shared" si="3"/>
        <v>8</v>
      </c>
    </row>
    <row r="250" spans="1:1" ht="12.5">
      <c r="A250">
        <f t="shared" si="3"/>
        <v>8</v>
      </c>
    </row>
    <row r="251" spans="1:1" ht="12.5">
      <c r="A251">
        <f t="shared" si="3"/>
        <v>8</v>
      </c>
    </row>
    <row r="252" spans="1:1" ht="12.5">
      <c r="A252">
        <f t="shared" si="3"/>
        <v>8</v>
      </c>
    </row>
    <row r="253" spans="1:1" ht="12.5">
      <c r="A253">
        <f t="shared" si="3"/>
        <v>8</v>
      </c>
    </row>
    <row r="254" spans="1:1" ht="12.5">
      <c r="A254">
        <f t="shared" si="3"/>
        <v>8</v>
      </c>
    </row>
    <row r="255" spans="1:1" ht="12.5">
      <c r="A255">
        <f t="shared" si="3"/>
        <v>8</v>
      </c>
    </row>
    <row r="256" spans="1:1" ht="12.5">
      <c r="A256">
        <f t="shared" si="3"/>
        <v>8</v>
      </c>
    </row>
    <row r="257" spans="1:1" ht="12.5">
      <c r="A257">
        <f t="shared" si="3"/>
        <v>8</v>
      </c>
    </row>
    <row r="258" spans="1:1" ht="12.5">
      <c r="A258">
        <f t="shared" si="3"/>
        <v>8</v>
      </c>
    </row>
    <row r="259" spans="1:1" ht="12.5">
      <c r="A259">
        <f t="shared" si="3"/>
        <v>8</v>
      </c>
    </row>
    <row r="260" spans="1:1" ht="12.5">
      <c r="A260">
        <f t="shared" si="3"/>
        <v>8</v>
      </c>
    </row>
    <row r="261" spans="1:1" ht="12.5">
      <c r="A261">
        <f t="shared" si="3"/>
        <v>8</v>
      </c>
    </row>
    <row r="262" spans="1:1" ht="12.5">
      <c r="A262">
        <f t="shared" si="3"/>
        <v>8</v>
      </c>
    </row>
    <row r="263" spans="1:1" ht="12.5">
      <c r="A263">
        <f t="shared" si="3"/>
        <v>8</v>
      </c>
    </row>
    <row r="264" spans="1:1" ht="12.5">
      <c r="A264">
        <f t="shared" si="3"/>
        <v>8</v>
      </c>
    </row>
    <row r="265" spans="1:1" ht="12.5">
      <c r="A265">
        <f t="shared" si="3"/>
        <v>8</v>
      </c>
    </row>
    <row r="266" spans="1:1" ht="12.5">
      <c r="A266">
        <f t="shared" si="3"/>
        <v>8</v>
      </c>
    </row>
    <row r="267" spans="1:1" ht="12.5">
      <c r="A267">
        <f t="shared" si="3"/>
        <v>8</v>
      </c>
    </row>
    <row r="268" spans="1:1" ht="12.5">
      <c r="A268">
        <f t="shared" si="3"/>
        <v>8</v>
      </c>
    </row>
    <row r="269" spans="1:1" ht="12.5">
      <c r="A269">
        <f t="shared" si="3"/>
        <v>8</v>
      </c>
    </row>
    <row r="270" spans="1:1" ht="12.5">
      <c r="A270">
        <f t="shared" si="3"/>
        <v>8</v>
      </c>
    </row>
    <row r="271" spans="1:1" ht="12.5">
      <c r="A271">
        <f t="shared" si="3"/>
        <v>8</v>
      </c>
    </row>
    <row r="272" spans="1:1" ht="12.5">
      <c r="A272">
        <f t="shared" ref="A272:A335" si="4">IF(B272=B271, A271, A271+1)</f>
        <v>8</v>
      </c>
    </row>
    <row r="273" spans="1:1" ht="12.5">
      <c r="A273">
        <f t="shared" si="4"/>
        <v>8</v>
      </c>
    </row>
    <row r="274" spans="1:1" ht="12.5">
      <c r="A274">
        <f t="shared" si="4"/>
        <v>8</v>
      </c>
    </row>
    <row r="275" spans="1:1" ht="12.5">
      <c r="A275">
        <f t="shared" si="4"/>
        <v>8</v>
      </c>
    </row>
    <row r="276" spans="1:1" ht="12.5">
      <c r="A276">
        <f t="shared" si="4"/>
        <v>8</v>
      </c>
    </row>
    <row r="277" spans="1:1" ht="12.5">
      <c r="A277">
        <f t="shared" si="4"/>
        <v>8</v>
      </c>
    </row>
    <row r="278" spans="1:1" ht="12.5">
      <c r="A278">
        <f t="shared" si="4"/>
        <v>8</v>
      </c>
    </row>
    <row r="279" spans="1:1" ht="12.5">
      <c r="A279">
        <f t="shared" si="4"/>
        <v>8</v>
      </c>
    </row>
    <row r="280" spans="1:1" ht="12.5">
      <c r="A280">
        <f t="shared" si="4"/>
        <v>8</v>
      </c>
    </row>
    <row r="281" spans="1:1" ht="12.5">
      <c r="A281">
        <f t="shared" si="4"/>
        <v>8</v>
      </c>
    </row>
    <row r="282" spans="1:1" ht="12.5">
      <c r="A282">
        <f t="shared" si="4"/>
        <v>8</v>
      </c>
    </row>
    <row r="283" spans="1:1" ht="12.5">
      <c r="A283">
        <f t="shared" si="4"/>
        <v>8</v>
      </c>
    </row>
    <row r="284" spans="1:1" ht="12.5">
      <c r="A284">
        <f t="shared" si="4"/>
        <v>8</v>
      </c>
    </row>
    <row r="285" spans="1:1" ht="12.5">
      <c r="A285">
        <f t="shared" si="4"/>
        <v>8</v>
      </c>
    </row>
    <row r="286" spans="1:1" ht="12.5">
      <c r="A286">
        <f t="shared" si="4"/>
        <v>8</v>
      </c>
    </row>
    <row r="287" spans="1:1" ht="12.5">
      <c r="A287">
        <f t="shared" si="4"/>
        <v>8</v>
      </c>
    </row>
    <row r="288" spans="1:1" ht="12.5">
      <c r="A288">
        <f t="shared" si="4"/>
        <v>8</v>
      </c>
    </row>
    <row r="289" spans="1:1" ht="12.5">
      <c r="A289">
        <f t="shared" si="4"/>
        <v>8</v>
      </c>
    </row>
    <row r="290" spans="1:1" ht="12.5">
      <c r="A290">
        <f t="shared" si="4"/>
        <v>8</v>
      </c>
    </row>
    <row r="291" spans="1:1" ht="12.5">
      <c r="A291">
        <f t="shared" si="4"/>
        <v>8</v>
      </c>
    </row>
    <row r="292" spans="1:1" ht="12.5">
      <c r="A292">
        <f t="shared" si="4"/>
        <v>8</v>
      </c>
    </row>
    <row r="293" spans="1:1" ht="12.5">
      <c r="A293">
        <f t="shared" si="4"/>
        <v>8</v>
      </c>
    </row>
    <row r="294" spans="1:1" ht="12.5">
      <c r="A294">
        <f t="shared" si="4"/>
        <v>8</v>
      </c>
    </row>
    <row r="295" spans="1:1" ht="12.5">
      <c r="A295">
        <f t="shared" si="4"/>
        <v>8</v>
      </c>
    </row>
    <row r="296" spans="1:1" ht="12.5">
      <c r="A296">
        <f t="shared" si="4"/>
        <v>8</v>
      </c>
    </row>
    <row r="297" spans="1:1" ht="12.5">
      <c r="A297">
        <f t="shared" si="4"/>
        <v>8</v>
      </c>
    </row>
    <row r="298" spans="1:1" ht="12.5">
      <c r="A298">
        <f t="shared" si="4"/>
        <v>8</v>
      </c>
    </row>
    <row r="299" spans="1:1" ht="12.5">
      <c r="A299">
        <f t="shared" si="4"/>
        <v>8</v>
      </c>
    </row>
    <row r="300" spans="1:1" ht="12.5">
      <c r="A300">
        <f t="shared" si="4"/>
        <v>8</v>
      </c>
    </row>
    <row r="301" spans="1:1" ht="12.5">
      <c r="A301">
        <f t="shared" si="4"/>
        <v>8</v>
      </c>
    </row>
    <row r="302" spans="1:1" ht="12.5">
      <c r="A302">
        <f t="shared" si="4"/>
        <v>8</v>
      </c>
    </row>
    <row r="303" spans="1:1" ht="12.5">
      <c r="A303">
        <f t="shared" si="4"/>
        <v>8</v>
      </c>
    </row>
    <row r="304" spans="1:1" ht="12.5">
      <c r="A304">
        <f t="shared" si="4"/>
        <v>8</v>
      </c>
    </row>
    <row r="305" spans="1:1" ht="12.5">
      <c r="A305">
        <f t="shared" si="4"/>
        <v>8</v>
      </c>
    </row>
    <row r="306" spans="1:1" ht="12.5">
      <c r="A306">
        <f t="shared" si="4"/>
        <v>8</v>
      </c>
    </row>
    <row r="307" spans="1:1" ht="12.5">
      <c r="A307">
        <f t="shared" si="4"/>
        <v>8</v>
      </c>
    </row>
    <row r="308" spans="1:1" ht="12.5">
      <c r="A308">
        <f t="shared" si="4"/>
        <v>8</v>
      </c>
    </row>
    <row r="309" spans="1:1" ht="12.5">
      <c r="A309">
        <f t="shared" si="4"/>
        <v>8</v>
      </c>
    </row>
    <row r="310" spans="1:1" ht="12.5">
      <c r="A310">
        <f t="shared" si="4"/>
        <v>8</v>
      </c>
    </row>
    <row r="311" spans="1:1" ht="12.5">
      <c r="A311">
        <f t="shared" si="4"/>
        <v>8</v>
      </c>
    </row>
    <row r="312" spans="1:1" ht="12.5">
      <c r="A312">
        <f t="shared" si="4"/>
        <v>8</v>
      </c>
    </row>
    <row r="313" spans="1:1" ht="12.5">
      <c r="A313">
        <f t="shared" si="4"/>
        <v>8</v>
      </c>
    </row>
    <row r="314" spans="1:1" ht="12.5">
      <c r="A314">
        <f t="shared" si="4"/>
        <v>8</v>
      </c>
    </row>
    <row r="315" spans="1:1" ht="12.5">
      <c r="A315">
        <f t="shared" si="4"/>
        <v>8</v>
      </c>
    </row>
    <row r="316" spans="1:1" ht="12.5">
      <c r="A316">
        <f t="shared" si="4"/>
        <v>8</v>
      </c>
    </row>
    <row r="317" spans="1:1" ht="12.5">
      <c r="A317">
        <f t="shared" si="4"/>
        <v>8</v>
      </c>
    </row>
    <row r="318" spans="1:1" ht="12.5">
      <c r="A318">
        <f t="shared" si="4"/>
        <v>8</v>
      </c>
    </row>
    <row r="319" spans="1:1" ht="12.5">
      <c r="A319">
        <f t="shared" si="4"/>
        <v>8</v>
      </c>
    </row>
    <row r="320" spans="1:1" ht="12.5">
      <c r="A320">
        <f t="shared" si="4"/>
        <v>8</v>
      </c>
    </row>
    <row r="321" spans="1:1" ht="12.5">
      <c r="A321">
        <f t="shared" si="4"/>
        <v>8</v>
      </c>
    </row>
    <row r="322" spans="1:1" ht="12.5">
      <c r="A322">
        <f t="shared" si="4"/>
        <v>8</v>
      </c>
    </row>
    <row r="323" spans="1:1" ht="12.5">
      <c r="A323">
        <f t="shared" si="4"/>
        <v>8</v>
      </c>
    </row>
    <row r="324" spans="1:1" ht="12.5">
      <c r="A324">
        <f t="shared" si="4"/>
        <v>8</v>
      </c>
    </row>
    <row r="325" spans="1:1" ht="12.5">
      <c r="A325">
        <f t="shared" si="4"/>
        <v>8</v>
      </c>
    </row>
    <row r="326" spans="1:1" ht="12.5">
      <c r="A326">
        <f t="shared" si="4"/>
        <v>8</v>
      </c>
    </row>
    <row r="327" spans="1:1" ht="12.5">
      <c r="A327">
        <f t="shared" si="4"/>
        <v>8</v>
      </c>
    </row>
    <row r="328" spans="1:1" ht="12.5">
      <c r="A328">
        <f t="shared" si="4"/>
        <v>8</v>
      </c>
    </row>
    <row r="329" spans="1:1" ht="12.5">
      <c r="A329">
        <f t="shared" si="4"/>
        <v>8</v>
      </c>
    </row>
    <row r="330" spans="1:1" ht="12.5">
      <c r="A330">
        <f t="shared" si="4"/>
        <v>8</v>
      </c>
    </row>
    <row r="331" spans="1:1" ht="12.5">
      <c r="A331">
        <f t="shared" si="4"/>
        <v>8</v>
      </c>
    </row>
    <row r="332" spans="1:1" ht="12.5">
      <c r="A332">
        <f t="shared" si="4"/>
        <v>8</v>
      </c>
    </row>
    <row r="333" spans="1:1" ht="12.5">
      <c r="A333">
        <f t="shared" si="4"/>
        <v>8</v>
      </c>
    </row>
    <row r="334" spans="1:1" ht="12.5">
      <c r="A334">
        <f t="shared" si="4"/>
        <v>8</v>
      </c>
    </row>
    <row r="335" spans="1:1" ht="12.5">
      <c r="A335">
        <f t="shared" si="4"/>
        <v>8</v>
      </c>
    </row>
    <row r="336" spans="1:1" ht="12.5">
      <c r="A336">
        <f t="shared" ref="A336:A399" si="5">IF(B336=B335, A335, A335+1)</f>
        <v>8</v>
      </c>
    </row>
    <row r="337" spans="1:1" ht="12.5">
      <c r="A337">
        <f t="shared" si="5"/>
        <v>8</v>
      </c>
    </row>
    <row r="338" spans="1:1" ht="12.5">
      <c r="A338">
        <f t="shared" si="5"/>
        <v>8</v>
      </c>
    </row>
    <row r="339" spans="1:1" ht="12.5">
      <c r="A339">
        <f t="shared" si="5"/>
        <v>8</v>
      </c>
    </row>
    <row r="340" spans="1:1" ht="12.5">
      <c r="A340">
        <f t="shared" si="5"/>
        <v>8</v>
      </c>
    </row>
    <row r="341" spans="1:1" ht="12.5">
      <c r="A341">
        <f t="shared" si="5"/>
        <v>8</v>
      </c>
    </row>
    <row r="342" spans="1:1" ht="12.5">
      <c r="A342">
        <f t="shared" si="5"/>
        <v>8</v>
      </c>
    </row>
    <row r="343" spans="1:1" ht="12.5">
      <c r="A343">
        <f t="shared" si="5"/>
        <v>8</v>
      </c>
    </row>
    <row r="344" spans="1:1" ht="12.5">
      <c r="A344">
        <f t="shared" si="5"/>
        <v>8</v>
      </c>
    </row>
    <row r="345" spans="1:1" ht="12.5">
      <c r="A345">
        <f t="shared" si="5"/>
        <v>8</v>
      </c>
    </row>
    <row r="346" spans="1:1" ht="12.5">
      <c r="A346">
        <f t="shared" si="5"/>
        <v>8</v>
      </c>
    </row>
    <row r="347" spans="1:1" ht="12.5">
      <c r="A347">
        <f t="shared" si="5"/>
        <v>8</v>
      </c>
    </row>
    <row r="348" spans="1:1" ht="12.5">
      <c r="A348">
        <f t="shared" si="5"/>
        <v>8</v>
      </c>
    </row>
    <row r="349" spans="1:1" ht="12.5">
      <c r="A349">
        <f t="shared" si="5"/>
        <v>8</v>
      </c>
    </row>
    <row r="350" spans="1:1" ht="12.5">
      <c r="A350">
        <f t="shared" si="5"/>
        <v>8</v>
      </c>
    </row>
    <row r="351" spans="1:1" ht="12.5">
      <c r="A351">
        <f t="shared" si="5"/>
        <v>8</v>
      </c>
    </row>
    <row r="352" spans="1:1" ht="12.5">
      <c r="A352">
        <f t="shared" si="5"/>
        <v>8</v>
      </c>
    </row>
    <row r="353" spans="1:1" ht="12.5">
      <c r="A353">
        <f t="shared" si="5"/>
        <v>8</v>
      </c>
    </row>
    <row r="354" spans="1:1" ht="12.5">
      <c r="A354">
        <f t="shared" si="5"/>
        <v>8</v>
      </c>
    </row>
    <row r="355" spans="1:1" ht="12.5">
      <c r="A355">
        <f t="shared" si="5"/>
        <v>8</v>
      </c>
    </row>
    <row r="356" spans="1:1" ht="12.5">
      <c r="A356">
        <f t="shared" si="5"/>
        <v>8</v>
      </c>
    </row>
    <row r="357" spans="1:1" ht="12.5">
      <c r="A357">
        <f t="shared" si="5"/>
        <v>8</v>
      </c>
    </row>
    <row r="358" spans="1:1" ht="12.5">
      <c r="A358">
        <f t="shared" si="5"/>
        <v>8</v>
      </c>
    </row>
    <row r="359" spans="1:1" ht="12.5">
      <c r="A359">
        <f t="shared" si="5"/>
        <v>8</v>
      </c>
    </row>
    <row r="360" spans="1:1" ht="12.5">
      <c r="A360">
        <f t="shared" si="5"/>
        <v>8</v>
      </c>
    </row>
    <row r="361" spans="1:1" ht="12.5">
      <c r="A361">
        <f t="shared" si="5"/>
        <v>8</v>
      </c>
    </row>
    <row r="362" spans="1:1" ht="12.5">
      <c r="A362">
        <f t="shared" si="5"/>
        <v>8</v>
      </c>
    </row>
    <row r="363" spans="1:1" ht="12.5">
      <c r="A363">
        <f t="shared" si="5"/>
        <v>8</v>
      </c>
    </row>
    <row r="364" spans="1:1" ht="12.5">
      <c r="A364">
        <f t="shared" si="5"/>
        <v>8</v>
      </c>
    </row>
    <row r="365" spans="1:1" ht="12.5">
      <c r="A365">
        <f t="shared" si="5"/>
        <v>8</v>
      </c>
    </row>
    <row r="366" spans="1:1" ht="12.5">
      <c r="A366">
        <f t="shared" si="5"/>
        <v>8</v>
      </c>
    </row>
    <row r="367" spans="1:1" ht="12.5">
      <c r="A367">
        <f t="shared" si="5"/>
        <v>8</v>
      </c>
    </row>
    <row r="368" spans="1:1" ht="12.5">
      <c r="A368">
        <f t="shared" si="5"/>
        <v>8</v>
      </c>
    </row>
    <row r="369" spans="1:1" ht="12.5">
      <c r="A369">
        <f t="shared" si="5"/>
        <v>8</v>
      </c>
    </row>
    <row r="370" spans="1:1" ht="12.5">
      <c r="A370">
        <f t="shared" si="5"/>
        <v>8</v>
      </c>
    </row>
    <row r="371" spans="1:1" ht="12.5">
      <c r="A371">
        <f t="shared" si="5"/>
        <v>8</v>
      </c>
    </row>
    <row r="372" spans="1:1" ht="12.5">
      <c r="A372">
        <f t="shared" si="5"/>
        <v>8</v>
      </c>
    </row>
    <row r="373" spans="1:1" ht="12.5">
      <c r="A373">
        <f t="shared" si="5"/>
        <v>8</v>
      </c>
    </row>
    <row r="374" spans="1:1" ht="12.5">
      <c r="A374">
        <f t="shared" si="5"/>
        <v>8</v>
      </c>
    </row>
    <row r="375" spans="1:1" ht="12.5">
      <c r="A375">
        <f t="shared" si="5"/>
        <v>8</v>
      </c>
    </row>
    <row r="376" spans="1:1" ht="12.5">
      <c r="A376">
        <f t="shared" si="5"/>
        <v>8</v>
      </c>
    </row>
    <row r="377" spans="1:1" ht="12.5">
      <c r="A377">
        <f t="shared" si="5"/>
        <v>8</v>
      </c>
    </row>
    <row r="378" spans="1:1" ht="12.5">
      <c r="A378">
        <f t="shared" si="5"/>
        <v>8</v>
      </c>
    </row>
    <row r="379" spans="1:1" ht="12.5">
      <c r="A379">
        <f t="shared" si="5"/>
        <v>8</v>
      </c>
    </row>
    <row r="380" spans="1:1" ht="12.5">
      <c r="A380">
        <f t="shared" si="5"/>
        <v>8</v>
      </c>
    </row>
    <row r="381" spans="1:1" ht="12.5">
      <c r="A381">
        <f t="shared" si="5"/>
        <v>8</v>
      </c>
    </row>
    <row r="382" spans="1:1" ht="12.5">
      <c r="A382">
        <f t="shared" si="5"/>
        <v>8</v>
      </c>
    </row>
    <row r="383" spans="1:1" ht="12.5">
      <c r="A383">
        <f t="shared" si="5"/>
        <v>8</v>
      </c>
    </row>
    <row r="384" spans="1:1" ht="12.5">
      <c r="A384">
        <f t="shared" si="5"/>
        <v>8</v>
      </c>
    </row>
    <row r="385" spans="1:1" ht="12.5">
      <c r="A385">
        <f t="shared" si="5"/>
        <v>8</v>
      </c>
    </row>
    <row r="386" spans="1:1" ht="12.5">
      <c r="A386">
        <f t="shared" si="5"/>
        <v>8</v>
      </c>
    </row>
    <row r="387" spans="1:1" ht="12.5">
      <c r="A387">
        <f t="shared" si="5"/>
        <v>8</v>
      </c>
    </row>
    <row r="388" spans="1:1" ht="12.5">
      <c r="A388">
        <f t="shared" si="5"/>
        <v>8</v>
      </c>
    </row>
    <row r="389" spans="1:1" ht="12.5">
      <c r="A389">
        <f t="shared" si="5"/>
        <v>8</v>
      </c>
    </row>
    <row r="390" spans="1:1" ht="12.5">
      <c r="A390">
        <f t="shared" si="5"/>
        <v>8</v>
      </c>
    </row>
    <row r="391" spans="1:1" ht="12.5">
      <c r="A391">
        <f t="shared" si="5"/>
        <v>8</v>
      </c>
    </row>
    <row r="392" spans="1:1" ht="12.5">
      <c r="A392">
        <f t="shared" si="5"/>
        <v>8</v>
      </c>
    </row>
    <row r="393" spans="1:1" ht="12.5">
      <c r="A393">
        <f t="shared" si="5"/>
        <v>8</v>
      </c>
    </row>
    <row r="394" spans="1:1" ht="12.5">
      <c r="A394">
        <f t="shared" si="5"/>
        <v>8</v>
      </c>
    </row>
    <row r="395" spans="1:1" ht="12.5">
      <c r="A395">
        <f t="shared" si="5"/>
        <v>8</v>
      </c>
    </row>
    <row r="396" spans="1:1" ht="12.5">
      <c r="A396">
        <f t="shared" si="5"/>
        <v>8</v>
      </c>
    </row>
    <row r="397" spans="1:1" ht="12.5">
      <c r="A397">
        <f t="shared" si="5"/>
        <v>8</v>
      </c>
    </row>
    <row r="398" spans="1:1" ht="12.5">
      <c r="A398">
        <f t="shared" si="5"/>
        <v>8</v>
      </c>
    </row>
    <row r="399" spans="1:1" ht="12.5">
      <c r="A399">
        <f t="shared" si="5"/>
        <v>8</v>
      </c>
    </row>
    <row r="400" spans="1:1" ht="12.5">
      <c r="A400">
        <f t="shared" ref="A400:A463" si="6">IF(B400=B399, A399, A399+1)</f>
        <v>8</v>
      </c>
    </row>
    <row r="401" spans="1:1" ht="12.5">
      <c r="A401">
        <f t="shared" si="6"/>
        <v>8</v>
      </c>
    </row>
    <row r="402" spans="1:1" ht="12.5">
      <c r="A402">
        <f t="shared" si="6"/>
        <v>8</v>
      </c>
    </row>
    <row r="403" spans="1:1" ht="12.5">
      <c r="A403">
        <f t="shared" si="6"/>
        <v>8</v>
      </c>
    </row>
    <row r="404" spans="1:1" ht="12.5">
      <c r="A404">
        <f t="shared" si="6"/>
        <v>8</v>
      </c>
    </row>
    <row r="405" spans="1:1" ht="12.5">
      <c r="A405">
        <f t="shared" si="6"/>
        <v>8</v>
      </c>
    </row>
    <row r="406" spans="1:1" ht="12.5">
      <c r="A406">
        <f t="shared" si="6"/>
        <v>8</v>
      </c>
    </row>
    <row r="407" spans="1:1" ht="12.5">
      <c r="A407">
        <f t="shared" si="6"/>
        <v>8</v>
      </c>
    </row>
    <row r="408" spans="1:1" ht="12.5">
      <c r="A408">
        <f t="shared" si="6"/>
        <v>8</v>
      </c>
    </row>
    <row r="409" spans="1:1" ht="12.5">
      <c r="A409">
        <f t="shared" si="6"/>
        <v>8</v>
      </c>
    </row>
    <row r="410" spans="1:1" ht="12.5">
      <c r="A410">
        <f t="shared" si="6"/>
        <v>8</v>
      </c>
    </row>
    <row r="411" spans="1:1" ht="12.5">
      <c r="A411">
        <f t="shared" si="6"/>
        <v>8</v>
      </c>
    </row>
    <row r="412" spans="1:1" ht="12.5">
      <c r="A412">
        <f t="shared" si="6"/>
        <v>8</v>
      </c>
    </row>
    <row r="413" spans="1:1" ht="12.5">
      <c r="A413">
        <f t="shared" si="6"/>
        <v>8</v>
      </c>
    </row>
    <row r="414" spans="1:1" ht="12.5">
      <c r="A414">
        <f t="shared" si="6"/>
        <v>8</v>
      </c>
    </row>
    <row r="415" spans="1:1" ht="12.5">
      <c r="A415">
        <f t="shared" si="6"/>
        <v>8</v>
      </c>
    </row>
    <row r="416" spans="1:1" ht="12.5">
      <c r="A416">
        <f t="shared" si="6"/>
        <v>8</v>
      </c>
    </row>
    <row r="417" spans="1:1" ht="12.5">
      <c r="A417">
        <f t="shared" si="6"/>
        <v>8</v>
      </c>
    </row>
    <row r="418" spans="1:1" ht="12.5">
      <c r="A418">
        <f t="shared" si="6"/>
        <v>8</v>
      </c>
    </row>
    <row r="419" spans="1:1" ht="12.5">
      <c r="A419">
        <f t="shared" si="6"/>
        <v>8</v>
      </c>
    </row>
    <row r="420" spans="1:1" ht="12.5">
      <c r="A420">
        <f t="shared" si="6"/>
        <v>8</v>
      </c>
    </row>
    <row r="421" spans="1:1" ht="12.5">
      <c r="A421">
        <f t="shared" si="6"/>
        <v>8</v>
      </c>
    </row>
    <row r="422" spans="1:1" ht="12.5">
      <c r="A422">
        <f t="shared" si="6"/>
        <v>8</v>
      </c>
    </row>
    <row r="423" spans="1:1" ht="12.5">
      <c r="A423">
        <f t="shared" si="6"/>
        <v>8</v>
      </c>
    </row>
    <row r="424" spans="1:1" ht="12.5">
      <c r="A424">
        <f t="shared" si="6"/>
        <v>8</v>
      </c>
    </row>
    <row r="425" spans="1:1" ht="12.5">
      <c r="A425">
        <f t="shared" si="6"/>
        <v>8</v>
      </c>
    </row>
    <row r="426" spans="1:1" ht="12.5">
      <c r="A426">
        <f t="shared" si="6"/>
        <v>8</v>
      </c>
    </row>
    <row r="427" spans="1:1" ht="12.5">
      <c r="A427">
        <f t="shared" si="6"/>
        <v>8</v>
      </c>
    </row>
    <row r="428" spans="1:1" ht="12.5">
      <c r="A428">
        <f t="shared" si="6"/>
        <v>8</v>
      </c>
    </row>
    <row r="429" spans="1:1" ht="12.5">
      <c r="A429">
        <f t="shared" si="6"/>
        <v>8</v>
      </c>
    </row>
    <row r="430" spans="1:1" ht="12.5">
      <c r="A430">
        <f t="shared" si="6"/>
        <v>8</v>
      </c>
    </row>
    <row r="431" spans="1:1" ht="12.5">
      <c r="A431">
        <f t="shared" si="6"/>
        <v>8</v>
      </c>
    </row>
    <row r="432" spans="1:1" ht="12.5">
      <c r="A432">
        <f t="shared" si="6"/>
        <v>8</v>
      </c>
    </row>
    <row r="433" spans="1:1" ht="12.5">
      <c r="A433">
        <f t="shared" si="6"/>
        <v>8</v>
      </c>
    </row>
    <row r="434" spans="1:1" ht="12.5">
      <c r="A434">
        <f t="shared" si="6"/>
        <v>8</v>
      </c>
    </row>
    <row r="435" spans="1:1" ht="12.5">
      <c r="A435">
        <f t="shared" si="6"/>
        <v>8</v>
      </c>
    </row>
    <row r="436" spans="1:1" ht="12.5">
      <c r="A436">
        <f t="shared" si="6"/>
        <v>8</v>
      </c>
    </row>
    <row r="437" spans="1:1" ht="12.5">
      <c r="A437">
        <f t="shared" si="6"/>
        <v>8</v>
      </c>
    </row>
    <row r="438" spans="1:1" ht="12.5">
      <c r="A438">
        <f t="shared" si="6"/>
        <v>8</v>
      </c>
    </row>
    <row r="439" spans="1:1" ht="12.5">
      <c r="A439">
        <f t="shared" si="6"/>
        <v>8</v>
      </c>
    </row>
    <row r="440" spans="1:1" ht="12.5">
      <c r="A440">
        <f t="shared" si="6"/>
        <v>8</v>
      </c>
    </row>
    <row r="441" spans="1:1" ht="12.5">
      <c r="A441">
        <f t="shared" si="6"/>
        <v>8</v>
      </c>
    </row>
    <row r="442" spans="1:1" ht="12.5">
      <c r="A442">
        <f t="shared" si="6"/>
        <v>8</v>
      </c>
    </row>
    <row r="443" spans="1:1" ht="12.5">
      <c r="A443">
        <f t="shared" si="6"/>
        <v>8</v>
      </c>
    </row>
    <row r="444" spans="1:1" ht="12.5">
      <c r="A444">
        <f t="shared" si="6"/>
        <v>8</v>
      </c>
    </row>
    <row r="445" spans="1:1" ht="12.5">
      <c r="A445">
        <f t="shared" si="6"/>
        <v>8</v>
      </c>
    </row>
    <row r="446" spans="1:1" ht="12.5">
      <c r="A446">
        <f t="shared" si="6"/>
        <v>8</v>
      </c>
    </row>
    <row r="447" spans="1:1" ht="12.5">
      <c r="A447">
        <f t="shared" si="6"/>
        <v>8</v>
      </c>
    </row>
    <row r="448" spans="1:1" ht="12.5">
      <c r="A448">
        <f t="shared" si="6"/>
        <v>8</v>
      </c>
    </row>
    <row r="449" spans="1:1" ht="12.5">
      <c r="A449">
        <f t="shared" si="6"/>
        <v>8</v>
      </c>
    </row>
    <row r="450" spans="1:1" ht="12.5">
      <c r="A450">
        <f t="shared" si="6"/>
        <v>8</v>
      </c>
    </row>
    <row r="451" spans="1:1" ht="12.5">
      <c r="A451">
        <f t="shared" si="6"/>
        <v>8</v>
      </c>
    </row>
    <row r="452" spans="1:1" ht="12.5">
      <c r="A452">
        <f t="shared" si="6"/>
        <v>8</v>
      </c>
    </row>
    <row r="453" spans="1:1" ht="12.5">
      <c r="A453">
        <f t="shared" si="6"/>
        <v>8</v>
      </c>
    </row>
    <row r="454" spans="1:1" ht="12.5">
      <c r="A454">
        <f t="shared" si="6"/>
        <v>8</v>
      </c>
    </row>
    <row r="455" spans="1:1" ht="12.5">
      <c r="A455">
        <f t="shared" si="6"/>
        <v>8</v>
      </c>
    </row>
    <row r="456" spans="1:1" ht="12.5">
      <c r="A456">
        <f t="shared" si="6"/>
        <v>8</v>
      </c>
    </row>
    <row r="457" spans="1:1" ht="12.5">
      <c r="A457">
        <f t="shared" si="6"/>
        <v>8</v>
      </c>
    </row>
    <row r="458" spans="1:1" ht="12.5">
      <c r="A458">
        <f t="shared" si="6"/>
        <v>8</v>
      </c>
    </row>
    <row r="459" spans="1:1" ht="12.5">
      <c r="A459">
        <f t="shared" si="6"/>
        <v>8</v>
      </c>
    </row>
    <row r="460" spans="1:1" ht="12.5">
      <c r="A460">
        <f t="shared" si="6"/>
        <v>8</v>
      </c>
    </row>
    <row r="461" spans="1:1" ht="12.5">
      <c r="A461">
        <f t="shared" si="6"/>
        <v>8</v>
      </c>
    </row>
    <row r="462" spans="1:1" ht="12.5">
      <c r="A462">
        <f t="shared" si="6"/>
        <v>8</v>
      </c>
    </row>
    <row r="463" spans="1:1" ht="12.5">
      <c r="A463">
        <f t="shared" si="6"/>
        <v>8</v>
      </c>
    </row>
    <row r="464" spans="1:1" ht="12.5">
      <c r="A464">
        <f t="shared" ref="A464:A527" si="7">IF(B464=B463, A463, A463+1)</f>
        <v>8</v>
      </c>
    </row>
    <row r="465" spans="1:1" ht="12.5">
      <c r="A465">
        <f t="shared" si="7"/>
        <v>8</v>
      </c>
    </row>
    <row r="466" spans="1:1" ht="12.5">
      <c r="A466">
        <f t="shared" si="7"/>
        <v>8</v>
      </c>
    </row>
    <row r="467" spans="1:1" ht="12.5">
      <c r="A467">
        <f t="shared" si="7"/>
        <v>8</v>
      </c>
    </row>
    <row r="468" spans="1:1" ht="12.5">
      <c r="A468">
        <f t="shared" si="7"/>
        <v>8</v>
      </c>
    </row>
    <row r="469" spans="1:1" ht="12.5">
      <c r="A469">
        <f t="shared" si="7"/>
        <v>8</v>
      </c>
    </row>
    <row r="470" spans="1:1" ht="12.5">
      <c r="A470">
        <f t="shared" si="7"/>
        <v>8</v>
      </c>
    </row>
    <row r="471" spans="1:1" ht="12.5">
      <c r="A471">
        <f t="shared" si="7"/>
        <v>8</v>
      </c>
    </row>
    <row r="472" spans="1:1" ht="12.5">
      <c r="A472">
        <f t="shared" si="7"/>
        <v>8</v>
      </c>
    </row>
    <row r="473" spans="1:1" ht="12.5">
      <c r="A473">
        <f t="shared" si="7"/>
        <v>8</v>
      </c>
    </row>
    <row r="474" spans="1:1" ht="12.5">
      <c r="A474">
        <f t="shared" si="7"/>
        <v>8</v>
      </c>
    </row>
    <row r="475" spans="1:1" ht="12.5">
      <c r="A475">
        <f t="shared" si="7"/>
        <v>8</v>
      </c>
    </row>
    <row r="476" spans="1:1" ht="12.5">
      <c r="A476">
        <f t="shared" si="7"/>
        <v>8</v>
      </c>
    </row>
    <row r="477" spans="1:1" ht="12.5">
      <c r="A477">
        <f t="shared" si="7"/>
        <v>8</v>
      </c>
    </row>
    <row r="478" spans="1:1" ht="12.5">
      <c r="A478">
        <f t="shared" si="7"/>
        <v>8</v>
      </c>
    </row>
    <row r="479" spans="1:1" ht="12.5">
      <c r="A479">
        <f t="shared" si="7"/>
        <v>8</v>
      </c>
    </row>
    <row r="480" spans="1:1" ht="12.5">
      <c r="A480">
        <f t="shared" si="7"/>
        <v>8</v>
      </c>
    </row>
    <row r="481" spans="1:1" ht="12.5">
      <c r="A481">
        <f t="shared" si="7"/>
        <v>8</v>
      </c>
    </row>
    <row r="482" spans="1:1" ht="12.5">
      <c r="A482">
        <f t="shared" si="7"/>
        <v>8</v>
      </c>
    </row>
    <row r="483" spans="1:1" ht="12.5">
      <c r="A483">
        <f t="shared" si="7"/>
        <v>8</v>
      </c>
    </row>
    <row r="484" spans="1:1" ht="12.5">
      <c r="A484">
        <f t="shared" si="7"/>
        <v>8</v>
      </c>
    </row>
    <row r="485" spans="1:1" ht="12.5">
      <c r="A485">
        <f t="shared" si="7"/>
        <v>8</v>
      </c>
    </row>
    <row r="486" spans="1:1" ht="12.5">
      <c r="A486">
        <f t="shared" si="7"/>
        <v>8</v>
      </c>
    </row>
    <row r="487" spans="1:1" ht="12.5">
      <c r="A487">
        <f t="shared" si="7"/>
        <v>8</v>
      </c>
    </row>
    <row r="488" spans="1:1" ht="12.5">
      <c r="A488">
        <f t="shared" si="7"/>
        <v>8</v>
      </c>
    </row>
    <row r="489" spans="1:1" ht="12.5">
      <c r="A489">
        <f t="shared" si="7"/>
        <v>8</v>
      </c>
    </row>
    <row r="490" spans="1:1" ht="12.5">
      <c r="A490">
        <f t="shared" si="7"/>
        <v>8</v>
      </c>
    </row>
    <row r="491" spans="1:1" ht="12.5">
      <c r="A491">
        <f t="shared" si="7"/>
        <v>8</v>
      </c>
    </row>
    <row r="492" spans="1:1" ht="12.5">
      <c r="A492">
        <f t="shared" si="7"/>
        <v>8</v>
      </c>
    </row>
    <row r="493" spans="1:1" ht="12.5">
      <c r="A493">
        <f t="shared" si="7"/>
        <v>8</v>
      </c>
    </row>
    <row r="494" spans="1:1" ht="12.5">
      <c r="A494">
        <f t="shared" si="7"/>
        <v>8</v>
      </c>
    </row>
    <row r="495" spans="1:1" ht="12.5">
      <c r="A495">
        <f t="shared" si="7"/>
        <v>8</v>
      </c>
    </row>
    <row r="496" spans="1:1" ht="12.5">
      <c r="A496">
        <f t="shared" si="7"/>
        <v>8</v>
      </c>
    </row>
    <row r="497" spans="1:1" ht="12.5">
      <c r="A497">
        <f t="shared" si="7"/>
        <v>8</v>
      </c>
    </row>
    <row r="498" spans="1:1" ht="12.5">
      <c r="A498">
        <f t="shared" si="7"/>
        <v>8</v>
      </c>
    </row>
    <row r="499" spans="1:1" ht="12.5">
      <c r="A499">
        <f t="shared" si="7"/>
        <v>8</v>
      </c>
    </row>
    <row r="500" spans="1:1" ht="12.5">
      <c r="A500">
        <f t="shared" si="7"/>
        <v>8</v>
      </c>
    </row>
    <row r="501" spans="1:1" ht="12.5">
      <c r="A501">
        <f t="shared" si="7"/>
        <v>8</v>
      </c>
    </row>
    <row r="502" spans="1:1" ht="12.5">
      <c r="A502">
        <f t="shared" si="7"/>
        <v>8</v>
      </c>
    </row>
    <row r="503" spans="1:1" ht="12.5">
      <c r="A503">
        <f t="shared" si="7"/>
        <v>8</v>
      </c>
    </row>
    <row r="504" spans="1:1" ht="12.5">
      <c r="A504">
        <f t="shared" si="7"/>
        <v>8</v>
      </c>
    </row>
    <row r="505" spans="1:1" ht="12.5">
      <c r="A505">
        <f t="shared" si="7"/>
        <v>8</v>
      </c>
    </row>
    <row r="506" spans="1:1" ht="12.5">
      <c r="A506">
        <f t="shared" si="7"/>
        <v>8</v>
      </c>
    </row>
    <row r="507" spans="1:1" ht="12.5">
      <c r="A507">
        <f t="shared" si="7"/>
        <v>8</v>
      </c>
    </row>
    <row r="508" spans="1:1" ht="12.5">
      <c r="A508">
        <f t="shared" si="7"/>
        <v>8</v>
      </c>
    </row>
    <row r="509" spans="1:1" ht="12.5">
      <c r="A509">
        <f t="shared" si="7"/>
        <v>8</v>
      </c>
    </row>
    <row r="510" spans="1:1" ht="12.5">
      <c r="A510">
        <f t="shared" si="7"/>
        <v>8</v>
      </c>
    </row>
    <row r="511" spans="1:1" ht="12.5">
      <c r="A511">
        <f t="shared" si="7"/>
        <v>8</v>
      </c>
    </row>
    <row r="512" spans="1:1" ht="12.5">
      <c r="A512">
        <f t="shared" si="7"/>
        <v>8</v>
      </c>
    </row>
    <row r="513" spans="1:1" ht="12.5">
      <c r="A513">
        <f t="shared" si="7"/>
        <v>8</v>
      </c>
    </row>
    <row r="514" spans="1:1" ht="12.5">
      <c r="A514">
        <f t="shared" si="7"/>
        <v>8</v>
      </c>
    </row>
    <row r="515" spans="1:1" ht="12.5">
      <c r="A515">
        <f t="shared" si="7"/>
        <v>8</v>
      </c>
    </row>
    <row r="516" spans="1:1" ht="12.5">
      <c r="A516">
        <f t="shared" si="7"/>
        <v>8</v>
      </c>
    </row>
    <row r="517" spans="1:1" ht="12.5">
      <c r="A517">
        <f t="shared" si="7"/>
        <v>8</v>
      </c>
    </row>
    <row r="518" spans="1:1" ht="12.5">
      <c r="A518">
        <f t="shared" si="7"/>
        <v>8</v>
      </c>
    </row>
    <row r="519" spans="1:1" ht="12.5">
      <c r="A519">
        <f t="shared" si="7"/>
        <v>8</v>
      </c>
    </row>
    <row r="520" spans="1:1" ht="12.5">
      <c r="A520">
        <f t="shared" si="7"/>
        <v>8</v>
      </c>
    </row>
    <row r="521" spans="1:1" ht="12.5">
      <c r="A521">
        <f t="shared" si="7"/>
        <v>8</v>
      </c>
    </row>
    <row r="522" spans="1:1" ht="12.5">
      <c r="A522">
        <f t="shared" si="7"/>
        <v>8</v>
      </c>
    </row>
    <row r="523" spans="1:1" ht="12.5">
      <c r="A523">
        <f t="shared" si="7"/>
        <v>8</v>
      </c>
    </row>
    <row r="524" spans="1:1" ht="12.5">
      <c r="A524">
        <f t="shared" si="7"/>
        <v>8</v>
      </c>
    </row>
    <row r="525" spans="1:1" ht="12.5">
      <c r="A525">
        <f t="shared" si="7"/>
        <v>8</v>
      </c>
    </row>
    <row r="526" spans="1:1" ht="12.5">
      <c r="A526">
        <f t="shared" si="7"/>
        <v>8</v>
      </c>
    </row>
    <row r="527" spans="1:1" ht="12.5">
      <c r="A527">
        <f t="shared" si="7"/>
        <v>8</v>
      </c>
    </row>
    <row r="528" spans="1:1" ht="12.5">
      <c r="A528">
        <f t="shared" ref="A528:A591" si="8">IF(B528=B527, A527, A527+1)</f>
        <v>8</v>
      </c>
    </row>
    <row r="529" spans="1:1" ht="12.5">
      <c r="A529">
        <f t="shared" si="8"/>
        <v>8</v>
      </c>
    </row>
    <row r="530" spans="1:1" ht="12.5">
      <c r="A530">
        <f t="shared" si="8"/>
        <v>8</v>
      </c>
    </row>
    <row r="531" spans="1:1" ht="12.5">
      <c r="A531">
        <f t="shared" si="8"/>
        <v>8</v>
      </c>
    </row>
    <row r="532" spans="1:1" ht="12.5">
      <c r="A532">
        <f t="shared" si="8"/>
        <v>8</v>
      </c>
    </row>
    <row r="533" spans="1:1" ht="12.5">
      <c r="A533">
        <f t="shared" si="8"/>
        <v>8</v>
      </c>
    </row>
    <row r="534" spans="1:1" ht="12.5">
      <c r="A534">
        <f t="shared" si="8"/>
        <v>8</v>
      </c>
    </row>
    <row r="535" spans="1:1" ht="12.5">
      <c r="A535">
        <f t="shared" si="8"/>
        <v>8</v>
      </c>
    </row>
    <row r="536" spans="1:1" ht="12.5">
      <c r="A536">
        <f t="shared" si="8"/>
        <v>8</v>
      </c>
    </row>
    <row r="537" spans="1:1" ht="12.5">
      <c r="A537">
        <f t="shared" si="8"/>
        <v>8</v>
      </c>
    </row>
    <row r="538" spans="1:1" ht="12.5">
      <c r="A538">
        <f t="shared" si="8"/>
        <v>8</v>
      </c>
    </row>
    <row r="539" spans="1:1" ht="12.5">
      <c r="A539">
        <f t="shared" si="8"/>
        <v>8</v>
      </c>
    </row>
    <row r="540" spans="1:1" ht="12.5">
      <c r="A540">
        <f t="shared" si="8"/>
        <v>8</v>
      </c>
    </row>
    <row r="541" spans="1:1" ht="12.5">
      <c r="A541">
        <f t="shared" si="8"/>
        <v>8</v>
      </c>
    </row>
    <row r="542" spans="1:1" ht="12.5">
      <c r="A542">
        <f t="shared" si="8"/>
        <v>8</v>
      </c>
    </row>
    <row r="543" spans="1:1" ht="12.5">
      <c r="A543">
        <f t="shared" si="8"/>
        <v>8</v>
      </c>
    </row>
    <row r="544" spans="1:1" ht="12.5">
      <c r="A544">
        <f t="shared" si="8"/>
        <v>8</v>
      </c>
    </row>
    <row r="545" spans="1:1" ht="12.5">
      <c r="A545">
        <f t="shared" si="8"/>
        <v>8</v>
      </c>
    </row>
    <row r="546" spans="1:1" ht="12.5">
      <c r="A546">
        <f t="shared" si="8"/>
        <v>8</v>
      </c>
    </row>
    <row r="547" spans="1:1" ht="12.5">
      <c r="A547">
        <f t="shared" si="8"/>
        <v>8</v>
      </c>
    </row>
    <row r="548" spans="1:1" ht="12.5">
      <c r="A548">
        <f t="shared" si="8"/>
        <v>8</v>
      </c>
    </row>
    <row r="549" spans="1:1" ht="12.5">
      <c r="A549">
        <f t="shared" si="8"/>
        <v>8</v>
      </c>
    </row>
    <row r="550" spans="1:1" ht="12.5">
      <c r="A550">
        <f t="shared" si="8"/>
        <v>8</v>
      </c>
    </row>
    <row r="551" spans="1:1" ht="12.5">
      <c r="A551">
        <f t="shared" si="8"/>
        <v>8</v>
      </c>
    </row>
    <row r="552" spans="1:1" ht="12.5">
      <c r="A552">
        <f t="shared" si="8"/>
        <v>8</v>
      </c>
    </row>
    <row r="553" spans="1:1" ht="12.5">
      <c r="A553">
        <f t="shared" si="8"/>
        <v>8</v>
      </c>
    </row>
    <row r="554" spans="1:1" ht="12.5">
      <c r="A554">
        <f t="shared" si="8"/>
        <v>8</v>
      </c>
    </row>
    <row r="555" spans="1:1" ht="12.5">
      <c r="A555">
        <f t="shared" si="8"/>
        <v>8</v>
      </c>
    </row>
    <row r="556" spans="1:1" ht="12.5">
      <c r="A556">
        <f t="shared" si="8"/>
        <v>8</v>
      </c>
    </row>
    <row r="557" spans="1:1" ht="12.5">
      <c r="A557">
        <f t="shared" si="8"/>
        <v>8</v>
      </c>
    </row>
    <row r="558" spans="1:1" ht="12.5">
      <c r="A558">
        <f t="shared" si="8"/>
        <v>8</v>
      </c>
    </row>
    <row r="559" spans="1:1" ht="12.5">
      <c r="A559">
        <f t="shared" si="8"/>
        <v>8</v>
      </c>
    </row>
    <row r="560" spans="1:1" ht="12.5">
      <c r="A560">
        <f t="shared" si="8"/>
        <v>8</v>
      </c>
    </row>
    <row r="561" spans="1:1" ht="12.5">
      <c r="A561">
        <f t="shared" si="8"/>
        <v>8</v>
      </c>
    </row>
    <row r="562" spans="1:1" ht="12.5">
      <c r="A562">
        <f t="shared" si="8"/>
        <v>8</v>
      </c>
    </row>
    <row r="563" spans="1:1" ht="12.5">
      <c r="A563">
        <f t="shared" si="8"/>
        <v>8</v>
      </c>
    </row>
    <row r="564" spans="1:1" ht="12.5">
      <c r="A564">
        <f t="shared" si="8"/>
        <v>8</v>
      </c>
    </row>
    <row r="565" spans="1:1" ht="12.5">
      <c r="A565">
        <f t="shared" si="8"/>
        <v>8</v>
      </c>
    </row>
    <row r="566" spans="1:1" ht="12.5">
      <c r="A566">
        <f t="shared" si="8"/>
        <v>8</v>
      </c>
    </row>
    <row r="567" spans="1:1" ht="12.5">
      <c r="A567">
        <f t="shared" si="8"/>
        <v>8</v>
      </c>
    </row>
    <row r="568" spans="1:1" ht="12.5">
      <c r="A568">
        <f t="shared" si="8"/>
        <v>8</v>
      </c>
    </row>
    <row r="569" spans="1:1" ht="12.5">
      <c r="A569">
        <f t="shared" si="8"/>
        <v>8</v>
      </c>
    </row>
    <row r="570" spans="1:1" ht="12.5">
      <c r="A570">
        <f t="shared" si="8"/>
        <v>8</v>
      </c>
    </row>
    <row r="571" spans="1:1" ht="12.5">
      <c r="A571">
        <f t="shared" si="8"/>
        <v>8</v>
      </c>
    </row>
    <row r="572" spans="1:1" ht="12.5">
      <c r="A572">
        <f t="shared" si="8"/>
        <v>8</v>
      </c>
    </row>
    <row r="573" spans="1:1" ht="12.5">
      <c r="A573">
        <f t="shared" si="8"/>
        <v>8</v>
      </c>
    </row>
    <row r="574" spans="1:1" ht="12.5">
      <c r="A574">
        <f t="shared" si="8"/>
        <v>8</v>
      </c>
    </row>
    <row r="575" spans="1:1" ht="12.5">
      <c r="A575">
        <f t="shared" si="8"/>
        <v>8</v>
      </c>
    </row>
    <row r="576" spans="1:1" ht="12.5">
      <c r="A576">
        <f t="shared" si="8"/>
        <v>8</v>
      </c>
    </row>
    <row r="577" spans="1:1" ht="12.5">
      <c r="A577">
        <f t="shared" si="8"/>
        <v>8</v>
      </c>
    </row>
    <row r="578" spans="1:1" ht="12.5">
      <c r="A578">
        <f t="shared" si="8"/>
        <v>8</v>
      </c>
    </row>
    <row r="579" spans="1:1" ht="12.5">
      <c r="A579">
        <f t="shared" si="8"/>
        <v>8</v>
      </c>
    </row>
    <row r="580" spans="1:1" ht="12.5">
      <c r="A580">
        <f t="shared" si="8"/>
        <v>8</v>
      </c>
    </row>
    <row r="581" spans="1:1" ht="12.5">
      <c r="A581">
        <f t="shared" si="8"/>
        <v>8</v>
      </c>
    </row>
    <row r="582" spans="1:1" ht="12.5">
      <c r="A582">
        <f t="shared" si="8"/>
        <v>8</v>
      </c>
    </row>
    <row r="583" spans="1:1" ht="12.5">
      <c r="A583">
        <f t="shared" si="8"/>
        <v>8</v>
      </c>
    </row>
    <row r="584" spans="1:1" ht="12.5">
      <c r="A584">
        <f t="shared" si="8"/>
        <v>8</v>
      </c>
    </row>
    <row r="585" spans="1:1" ht="12.5">
      <c r="A585">
        <f t="shared" si="8"/>
        <v>8</v>
      </c>
    </row>
    <row r="586" spans="1:1" ht="12.5">
      <c r="A586">
        <f t="shared" si="8"/>
        <v>8</v>
      </c>
    </row>
    <row r="587" spans="1:1" ht="12.5">
      <c r="A587">
        <f t="shared" si="8"/>
        <v>8</v>
      </c>
    </row>
    <row r="588" spans="1:1" ht="12.5">
      <c r="A588">
        <f t="shared" si="8"/>
        <v>8</v>
      </c>
    </row>
    <row r="589" spans="1:1" ht="12.5">
      <c r="A589">
        <f t="shared" si="8"/>
        <v>8</v>
      </c>
    </row>
    <row r="590" spans="1:1" ht="12.5">
      <c r="A590">
        <f t="shared" si="8"/>
        <v>8</v>
      </c>
    </row>
    <row r="591" spans="1:1" ht="12.5">
      <c r="A591">
        <f t="shared" si="8"/>
        <v>8</v>
      </c>
    </row>
    <row r="592" spans="1:1" ht="12.5">
      <c r="A592">
        <f t="shared" ref="A592:A607" si="9">IF(B592=B591, A591, A591+1)</f>
        <v>8</v>
      </c>
    </row>
    <row r="593" spans="1:1" ht="12.5">
      <c r="A593">
        <f t="shared" si="9"/>
        <v>8</v>
      </c>
    </row>
    <row r="594" spans="1:1" ht="12.5">
      <c r="A594">
        <f t="shared" si="9"/>
        <v>8</v>
      </c>
    </row>
    <row r="595" spans="1:1" ht="12.5">
      <c r="A595">
        <f t="shared" si="9"/>
        <v>8</v>
      </c>
    </row>
    <row r="596" spans="1:1" ht="12.5">
      <c r="A596">
        <f t="shared" si="9"/>
        <v>8</v>
      </c>
    </row>
    <row r="597" spans="1:1" ht="12.5">
      <c r="A597">
        <f t="shared" si="9"/>
        <v>8</v>
      </c>
    </row>
    <row r="598" spans="1:1" ht="12.5">
      <c r="A598">
        <f t="shared" si="9"/>
        <v>8</v>
      </c>
    </row>
    <row r="599" spans="1:1" ht="12.5">
      <c r="A599">
        <f t="shared" si="9"/>
        <v>8</v>
      </c>
    </row>
    <row r="600" spans="1:1" ht="12.5">
      <c r="A600">
        <f t="shared" si="9"/>
        <v>8</v>
      </c>
    </row>
    <row r="601" spans="1:1" ht="12.5">
      <c r="A601">
        <f t="shared" si="9"/>
        <v>8</v>
      </c>
    </row>
    <row r="602" spans="1:1" ht="12.5">
      <c r="A602">
        <f t="shared" si="9"/>
        <v>8</v>
      </c>
    </row>
    <row r="603" spans="1:1" ht="12.5">
      <c r="A603">
        <f t="shared" si="9"/>
        <v>8</v>
      </c>
    </row>
    <row r="604" spans="1:1" ht="12.5">
      <c r="A604">
        <f t="shared" si="9"/>
        <v>8</v>
      </c>
    </row>
    <row r="605" spans="1:1" ht="12.5">
      <c r="A605">
        <f t="shared" si="9"/>
        <v>8</v>
      </c>
    </row>
    <row r="606" spans="1:1" ht="12.5">
      <c r="A606">
        <f t="shared" si="9"/>
        <v>8</v>
      </c>
    </row>
    <row r="607" spans="1:1" ht="12.5">
      <c r="A607">
        <f t="shared" si="9"/>
        <v>8</v>
      </c>
    </row>
  </sheetData>
  <mergeCells count="1">
    <mergeCell ref="S1:T1"/>
  </mergeCells>
  <phoneticPr fontId="5" type="noConversion"/>
  <conditionalFormatting sqref="B3:K161">
    <cfRule type="expression" dxfId="2" priority="3">
      <formula>ISODD($A3)</formula>
    </cfRule>
  </conditionalFormatting>
  <conditionalFormatting sqref="M3:Q161">
    <cfRule type="expression" dxfId="1" priority="1">
      <formula>ISODD($A3)</formula>
    </cfRule>
  </conditionalFormatting>
  <hyperlinks>
    <hyperlink ref="S1:T1" location="Contents!A1" display="Back to Contents" xr:uid="{00000000-0004-0000-1900-000000000000}"/>
  </hyperlinks>
  <pageMargins left="0.7" right="0.7" top="0.75" bottom="0.75" header="0.3" footer="0.3"/>
  <pageSetup paperSize="9" orientation="landscape" horizontalDpi="4294967292" verticalDpi="4294967292"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39997558519241921"/>
  </sheetPr>
  <dimension ref="A1:Q703"/>
  <sheetViews>
    <sheetView topLeftCell="B1" zoomScaleNormal="75" workbookViewId="0">
      <pane xSplit="1" ySplit="2" topLeftCell="C3" activePane="bottomRight" state="frozen"/>
      <selection pane="topRight" activeCell="C1" sqref="C1"/>
      <selection pane="bottomLeft" activeCell="B3" sqref="B3"/>
      <selection pane="bottomRight" activeCell="B1" sqref="B1"/>
    </sheetView>
  </sheetViews>
  <sheetFormatPr defaultColWidth="8.81640625" defaultRowHeight="12.5"/>
  <cols>
    <col min="1" max="1" width="8.81640625" style="20" hidden="1" customWidth="1"/>
    <col min="2" max="3" width="8.81640625" style="20" customWidth="1"/>
    <col min="4" max="10" width="10.26953125" style="20" customWidth="1"/>
    <col min="11" max="29" width="8.81640625" style="20"/>
    <col min="30" max="30" width="10.81640625" style="20" customWidth="1"/>
    <col min="31" max="31" width="12.453125" style="20" customWidth="1"/>
    <col min="32" max="16384" width="8.81640625" style="20"/>
  </cols>
  <sheetData>
    <row r="1" spans="1:17" ht="26.25" customHeight="1">
      <c r="D1" s="17" t="s">
        <v>500</v>
      </c>
      <c r="E1" s="16"/>
      <c r="F1" s="16"/>
      <c r="G1" s="16"/>
      <c r="H1" s="67"/>
      <c r="I1" s="16"/>
      <c r="J1" s="16"/>
      <c r="K1" s="16"/>
      <c r="L1" s="16"/>
      <c r="M1" s="68"/>
      <c r="N1" s="212" t="s">
        <v>79</v>
      </c>
      <c r="O1" s="212"/>
    </row>
    <row r="2" spans="1:17" ht="30">
      <c r="A2" s="68"/>
      <c r="B2" s="68" t="s">
        <v>362</v>
      </c>
      <c r="C2" s="68" t="s">
        <v>501</v>
      </c>
      <c r="D2" s="67" t="s">
        <v>502</v>
      </c>
      <c r="E2" s="67" t="s">
        <v>503</v>
      </c>
      <c r="F2" s="67" t="s">
        <v>504</v>
      </c>
      <c r="G2" s="67" t="s">
        <v>505</v>
      </c>
      <c r="H2" s="67"/>
      <c r="I2" s="67" t="s">
        <v>506</v>
      </c>
      <c r="J2" s="67" t="s">
        <v>507</v>
      </c>
      <c r="K2" s="67" t="s">
        <v>508</v>
      </c>
      <c r="L2" s="67" t="s">
        <v>509</v>
      </c>
      <c r="M2" s="68"/>
      <c r="N2" s="68"/>
      <c r="O2" s="68"/>
      <c r="P2" s="68"/>
    </row>
    <row r="3" spans="1:17">
      <c r="A3" s="20">
        <f>IF(B3=B2, A2, A2+1)</f>
        <v>1</v>
      </c>
      <c r="B3" s="125" t="s">
        <v>374</v>
      </c>
      <c r="C3" s="66">
        <v>2001</v>
      </c>
      <c r="D3" s="177">
        <v>26.745762710000001</v>
      </c>
      <c r="E3" s="66">
        <v>59</v>
      </c>
      <c r="F3" s="177">
        <v>17.583333329999999</v>
      </c>
      <c r="G3" s="66">
        <v>12</v>
      </c>
      <c r="H3" s="5"/>
      <c r="I3" s="177">
        <v>29.76190476</v>
      </c>
      <c r="J3" s="66">
        <v>21</v>
      </c>
      <c r="K3" s="177">
        <v>23.326530609999999</v>
      </c>
      <c r="L3" s="66">
        <v>49</v>
      </c>
      <c r="M3" s="72"/>
      <c r="N3" s="72"/>
      <c r="O3" s="72"/>
      <c r="P3" s="72"/>
      <c r="Q3" s="72"/>
    </row>
    <row r="4" spans="1:17">
      <c r="A4" s="20">
        <f t="shared" ref="A4:A70" si="0">IF(B4=B3, A3, A3+1)</f>
        <v>1</v>
      </c>
      <c r="B4" s="125" t="s">
        <v>374</v>
      </c>
      <c r="C4" s="66">
        <v>2002</v>
      </c>
      <c r="D4" s="177">
        <v>27.5131579</v>
      </c>
      <c r="E4" s="66">
        <v>76</v>
      </c>
      <c r="F4" s="177">
        <v>15.777777779999999</v>
      </c>
      <c r="G4" s="66">
        <v>18</v>
      </c>
      <c r="H4" s="5"/>
      <c r="I4" s="177">
        <v>29.61904762</v>
      </c>
      <c r="J4" s="66">
        <v>21</v>
      </c>
      <c r="K4" s="177">
        <v>24.125</v>
      </c>
      <c r="L4" s="66">
        <v>72</v>
      </c>
      <c r="N4" s="72"/>
    </row>
    <row r="5" spans="1:17">
      <c r="A5" s="20">
        <f t="shared" si="0"/>
        <v>1</v>
      </c>
      <c r="B5" s="125" t="s">
        <v>374</v>
      </c>
      <c r="C5" s="66">
        <v>2003</v>
      </c>
      <c r="D5" s="177">
        <v>27.42352941</v>
      </c>
      <c r="E5" s="66">
        <v>85</v>
      </c>
      <c r="F5" s="177">
        <v>18.350000000000001</v>
      </c>
      <c r="G5" s="66">
        <v>20</v>
      </c>
      <c r="H5" s="5"/>
      <c r="I5" s="177">
        <v>32.5</v>
      </c>
      <c r="J5" s="66">
        <v>24</v>
      </c>
      <c r="K5" s="177">
        <v>23.679012350000001</v>
      </c>
      <c r="L5" s="66">
        <v>81</v>
      </c>
      <c r="N5" s="72"/>
    </row>
    <row r="6" spans="1:17">
      <c r="A6" s="20">
        <f t="shared" si="0"/>
        <v>1</v>
      </c>
      <c r="B6" s="125" t="s">
        <v>374</v>
      </c>
      <c r="C6" s="66">
        <v>2004</v>
      </c>
      <c r="D6" s="177">
        <v>28.88059702</v>
      </c>
      <c r="E6" s="66">
        <v>67</v>
      </c>
      <c r="F6" s="177">
        <v>18.94736842</v>
      </c>
      <c r="G6" s="66">
        <v>38</v>
      </c>
      <c r="H6" s="5"/>
      <c r="I6" s="177">
        <v>34.533333329999998</v>
      </c>
      <c r="J6" s="66">
        <v>15</v>
      </c>
      <c r="K6" s="177">
        <v>23.744444439999999</v>
      </c>
      <c r="L6" s="66">
        <v>90</v>
      </c>
      <c r="N6" s="72"/>
    </row>
    <row r="7" spans="1:17">
      <c r="A7" s="20">
        <f t="shared" si="0"/>
        <v>1</v>
      </c>
      <c r="B7" s="125" t="s">
        <v>374</v>
      </c>
      <c r="C7" s="66">
        <v>2005</v>
      </c>
      <c r="D7" s="177">
        <v>30.65714286</v>
      </c>
      <c r="E7" s="66">
        <v>70</v>
      </c>
      <c r="F7" s="177">
        <v>20.61538462</v>
      </c>
      <c r="G7" s="66">
        <v>39</v>
      </c>
      <c r="H7" s="5"/>
      <c r="I7" s="177">
        <v>37</v>
      </c>
      <c r="J7" s="66">
        <v>15</v>
      </c>
      <c r="K7" s="177">
        <v>25.4787234</v>
      </c>
      <c r="L7" s="66">
        <v>94</v>
      </c>
      <c r="N7" s="72"/>
    </row>
    <row r="8" spans="1:17">
      <c r="A8" s="20">
        <f t="shared" si="0"/>
        <v>1</v>
      </c>
      <c r="B8" s="125" t="s">
        <v>374</v>
      </c>
      <c r="C8" s="66">
        <v>2006</v>
      </c>
      <c r="D8" s="177">
        <v>27.987179489999999</v>
      </c>
      <c r="E8" s="66">
        <v>78</v>
      </c>
      <c r="F8" s="177">
        <v>17.7027027</v>
      </c>
      <c r="G8" s="66">
        <v>37</v>
      </c>
      <c r="H8" s="5"/>
      <c r="I8" s="177">
        <v>33.913043479999999</v>
      </c>
      <c r="J8" s="66">
        <v>23</v>
      </c>
      <c r="K8" s="177">
        <v>22.3956044</v>
      </c>
      <c r="L8" s="66">
        <v>91</v>
      </c>
      <c r="N8" s="72"/>
    </row>
    <row r="9" spans="1:17">
      <c r="A9" s="20">
        <f t="shared" si="0"/>
        <v>1</v>
      </c>
      <c r="B9" s="125" t="s">
        <v>374</v>
      </c>
      <c r="C9" s="66">
        <v>2007</v>
      </c>
      <c r="D9" s="177">
        <v>30.62352941</v>
      </c>
      <c r="E9" s="66">
        <v>85</v>
      </c>
      <c r="F9" s="177">
        <v>20.66101695</v>
      </c>
      <c r="G9" s="66">
        <v>59</v>
      </c>
      <c r="H9" s="5"/>
      <c r="I9" s="177">
        <v>34.727272730000003</v>
      </c>
      <c r="J9" s="66">
        <v>22</v>
      </c>
      <c r="K9" s="177">
        <v>25.117647059999999</v>
      </c>
      <c r="L9" s="66">
        <v>119</v>
      </c>
      <c r="N9" s="72"/>
    </row>
    <row r="10" spans="1:17">
      <c r="A10" s="20">
        <f t="shared" si="0"/>
        <v>1</v>
      </c>
      <c r="B10" s="125" t="s">
        <v>374</v>
      </c>
      <c r="C10" s="66">
        <v>2008</v>
      </c>
      <c r="D10" s="177">
        <v>28.10810811</v>
      </c>
      <c r="E10" s="66">
        <v>111</v>
      </c>
      <c r="F10" s="177">
        <v>22.425000000000001</v>
      </c>
      <c r="G10" s="66">
        <v>40</v>
      </c>
      <c r="H10" s="5"/>
      <c r="I10" s="177">
        <v>33.133333329999999</v>
      </c>
      <c r="J10" s="66">
        <v>15</v>
      </c>
      <c r="K10" s="177">
        <v>26.13888889</v>
      </c>
      <c r="L10" s="66">
        <v>108</v>
      </c>
      <c r="N10" s="72"/>
    </row>
    <row r="11" spans="1:17">
      <c r="A11" s="20">
        <f t="shared" si="0"/>
        <v>1</v>
      </c>
      <c r="B11" s="125" t="s">
        <v>374</v>
      </c>
      <c r="C11" s="66">
        <v>2009</v>
      </c>
      <c r="D11" s="177">
        <v>27.504424780000001</v>
      </c>
      <c r="E11" s="66">
        <v>113</v>
      </c>
      <c r="F11" s="177">
        <v>22.152173909999998</v>
      </c>
      <c r="G11" s="66">
        <v>46</v>
      </c>
      <c r="H11" s="5"/>
      <c r="I11" s="177">
        <v>27.333333329999999</v>
      </c>
      <c r="J11" s="66">
        <v>12</v>
      </c>
      <c r="K11" s="177">
        <v>25.951612900000001</v>
      </c>
      <c r="L11" s="66">
        <v>124</v>
      </c>
      <c r="N11" s="72"/>
    </row>
    <row r="12" spans="1:17">
      <c r="A12" s="20">
        <f t="shared" si="0"/>
        <v>1</v>
      </c>
      <c r="B12" s="125" t="s">
        <v>374</v>
      </c>
      <c r="C12" s="66">
        <v>2010</v>
      </c>
      <c r="D12" s="177">
        <v>30.009433959999999</v>
      </c>
      <c r="E12" s="66">
        <v>106</v>
      </c>
      <c r="F12" s="177">
        <v>22.22580645</v>
      </c>
      <c r="G12" s="66">
        <v>62</v>
      </c>
      <c r="H12" s="5"/>
      <c r="I12" s="177">
        <v>37</v>
      </c>
      <c r="J12" s="66">
        <v>21</v>
      </c>
      <c r="K12" s="177">
        <v>25.727891159999999</v>
      </c>
      <c r="L12" s="66">
        <v>147</v>
      </c>
      <c r="N12" s="72"/>
    </row>
    <row r="13" spans="1:17">
      <c r="A13" s="20">
        <f t="shared" si="0"/>
        <v>1</v>
      </c>
      <c r="B13" s="125" t="s">
        <v>374</v>
      </c>
      <c r="C13" s="66">
        <v>2011</v>
      </c>
      <c r="D13" s="177">
        <v>28.393548389999999</v>
      </c>
      <c r="E13" s="66">
        <v>155</v>
      </c>
      <c r="F13" s="177">
        <v>23.324675330000002</v>
      </c>
      <c r="G13" s="66">
        <v>77</v>
      </c>
      <c r="H13" s="5"/>
      <c r="I13" s="177">
        <v>33.520000000000003</v>
      </c>
      <c r="J13" s="66">
        <v>25</v>
      </c>
      <c r="K13" s="177">
        <v>25.868932040000001</v>
      </c>
      <c r="L13" s="66">
        <v>206</v>
      </c>
      <c r="N13" s="72"/>
    </row>
    <row r="14" spans="1:17">
      <c r="A14" s="20">
        <f t="shared" si="0"/>
        <v>1</v>
      </c>
      <c r="B14" s="125" t="s">
        <v>374</v>
      </c>
      <c r="C14" s="66">
        <v>2012</v>
      </c>
      <c r="D14" s="177">
        <v>24.184357540000001</v>
      </c>
      <c r="E14" s="66">
        <v>179</v>
      </c>
      <c r="F14" s="177">
        <v>24.841269839999999</v>
      </c>
      <c r="G14" s="66">
        <v>63</v>
      </c>
      <c r="H14" s="5"/>
      <c r="I14" s="177">
        <v>30.466666669999999</v>
      </c>
      <c r="J14" s="66">
        <v>15</v>
      </c>
      <c r="K14" s="177">
        <v>24.151785709999999</v>
      </c>
      <c r="L14" s="66">
        <v>224</v>
      </c>
      <c r="N14" s="72"/>
    </row>
    <row r="15" spans="1:17">
      <c r="A15" s="20">
        <f t="shared" si="0"/>
        <v>1</v>
      </c>
      <c r="B15" s="125" t="s">
        <v>374</v>
      </c>
      <c r="C15" s="66">
        <v>2013</v>
      </c>
      <c r="D15" s="177">
        <v>26.794392519999999</v>
      </c>
      <c r="E15" s="66">
        <v>107</v>
      </c>
      <c r="F15" s="177">
        <v>23.04705882</v>
      </c>
      <c r="G15" s="66">
        <v>85</v>
      </c>
      <c r="H15" s="5"/>
      <c r="I15" s="177">
        <v>35.083333330000002</v>
      </c>
      <c r="J15" s="66">
        <v>12</v>
      </c>
      <c r="K15" s="177">
        <v>24.472222219999999</v>
      </c>
      <c r="L15" s="66">
        <v>180</v>
      </c>
      <c r="N15" s="72"/>
    </row>
    <row r="16" spans="1:17">
      <c r="A16" s="20">
        <f t="shared" si="0"/>
        <v>1</v>
      </c>
      <c r="B16" s="125" t="s">
        <v>374</v>
      </c>
      <c r="C16" s="66">
        <v>2014</v>
      </c>
      <c r="D16" s="177">
        <v>25.828828829999999</v>
      </c>
      <c r="E16" s="66">
        <v>111</v>
      </c>
      <c r="F16" s="177">
        <v>24.602564099999999</v>
      </c>
      <c r="G16" s="66">
        <v>78</v>
      </c>
      <c r="H16" s="5"/>
      <c r="I16" s="177">
        <v>39.555555560000002</v>
      </c>
      <c r="J16" s="66">
        <v>9</v>
      </c>
      <c r="K16" s="177">
        <v>24.61111111</v>
      </c>
      <c r="L16" s="66">
        <v>180</v>
      </c>
      <c r="N16" s="72"/>
    </row>
    <row r="17" spans="1:14">
      <c r="A17" s="20">
        <f t="shared" si="0"/>
        <v>1</v>
      </c>
      <c r="B17" s="125" t="s">
        <v>374</v>
      </c>
      <c r="C17" s="66">
        <v>2015</v>
      </c>
      <c r="D17" s="177">
        <v>26.852631580000001</v>
      </c>
      <c r="E17" s="66">
        <v>95</v>
      </c>
      <c r="F17" s="177">
        <v>26.592592589999999</v>
      </c>
      <c r="G17" s="66">
        <v>81</v>
      </c>
      <c r="H17" s="5"/>
      <c r="I17" s="177">
        <v>40.200000000000003</v>
      </c>
      <c r="J17" s="66">
        <v>5</v>
      </c>
      <c r="K17" s="177">
        <v>26.394117649999998</v>
      </c>
      <c r="L17" s="66">
        <v>170</v>
      </c>
      <c r="N17" s="72"/>
    </row>
    <row r="18" spans="1:14">
      <c r="A18" s="20">
        <f t="shared" si="0"/>
        <v>1</v>
      </c>
      <c r="B18" s="125" t="s">
        <v>374</v>
      </c>
      <c r="C18" s="66">
        <v>2016</v>
      </c>
      <c r="D18" s="177">
        <v>32.68181818</v>
      </c>
      <c r="E18" s="66">
        <v>66</v>
      </c>
      <c r="F18" s="177">
        <v>26.01388889</v>
      </c>
      <c r="G18" s="66">
        <v>72</v>
      </c>
      <c r="H18" s="5"/>
      <c r="I18" s="177">
        <v>45.333333330000002</v>
      </c>
      <c r="J18" s="66">
        <v>6</v>
      </c>
      <c r="K18" s="177">
        <v>28.469696970000001</v>
      </c>
      <c r="L18" s="66">
        <v>132</v>
      </c>
      <c r="N18" s="72"/>
    </row>
    <row r="19" spans="1:14">
      <c r="A19" s="20">
        <f t="shared" si="0"/>
        <v>1</v>
      </c>
      <c r="B19" s="125" t="s">
        <v>374</v>
      </c>
      <c r="C19" s="66">
        <v>2017</v>
      </c>
      <c r="D19" s="177">
        <v>32.171052629999998</v>
      </c>
      <c r="E19" s="66">
        <v>76</v>
      </c>
      <c r="F19" s="177">
        <v>27.36904762</v>
      </c>
      <c r="G19" s="66">
        <v>84</v>
      </c>
      <c r="H19" s="5"/>
      <c r="I19" s="177">
        <v>43.9</v>
      </c>
      <c r="J19" s="66">
        <v>10</v>
      </c>
      <c r="K19" s="177">
        <v>28.7</v>
      </c>
      <c r="L19" s="66">
        <v>150</v>
      </c>
      <c r="N19" s="72"/>
    </row>
    <row r="20" spans="1:14">
      <c r="A20" s="20">
        <f t="shared" si="0"/>
        <v>1</v>
      </c>
      <c r="B20" s="125" t="s">
        <v>374</v>
      </c>
      <c r="C20" s="66">
        <v>2018</v>
      </c>
      <c r="D20" s="177">
        <v>30.073170730000001</v>
      </c>
      <c r="E20" s="66">
        <v>82</v>
      </c>
      <c r="F20" s="177">
        <v>28.487804879999999</v>
      </c>
      <c r="G20" s="66">
        <v>82</v>
      </c>
      <c r="H20" s="5"/>
      <c r="I20" s="177">
        <v>40.18181818</v>
      </c>
      <c r="J20" s="66">
        <v>11</v>
      </c>
      <c r="K20" s="177">
        <v>28.67763158</v>
      </c>
      <c r="L20" s="66">
        <v>152</v>
      </c>
      <c r="N20" s="72"/>
    </row>
    <row r="21" spans="1:14">
      <c r="A21" s="20">
        <f t="shared" si="0"/>
        <v>1</v>
      </c>
      <c r="B21" s="125" t="s">
        <v>374</v>
      </c>
      <c r="C21" s="66">
        <v>2019</v>
      </c>
      <c r="D21" s="177">
        <v>29.274999999999999</v>
      </c>
      <c r="E21" s="66">
        <v>80</v>
      </c>
      <c r="F21" s="177">
        <v>29.393258429999999</v>
      </c>
      <c r="G21" s="66">
        <v>89</v>
      </c>
      <c r="H21" s="5"/>
      <c r="I21" s="177">
        <v>44.5</v>
      </c>
      <c r="J21" s="66">
        <v>4</v>
      </c>
      <c r="K21" s="177">
        <v>29.140243900000002</v>
      </c>
      <c r="L21" s="66">
        <v>164</v>
      </c>
      <c r="N21" s="72"/>
    </row>
    <row r="22" spans="1:14">
      <c r="A22" s="20">
        <f t="shared" si="0"/>
        <v>1</v>
      </c>
      <c r="B22" s="125" t="s">
        <v>374</v>
      </c>
      <c r="C22" s="66">
        <v>2020</v>
      </c>
      <c r="D22" s="177">
        <v>21.696721310000001</v>
      </c>
      <c r="E22" s="66">
        <v>122</v>
      </c>
      <c r="F22" s="177">
        <v>27.67307692</v>
      </c>
      <c r="G22" s="66">
        <v>104</v>
      </c>
      <c r="H22" s="5"/>
      <c r="I22" s="177">
        <v>49.4</v>
      </c>
      <c r="J22" s="66">
        <v>5</v>
      </c>
      <c r="K22" s="177">
        <v>25.262626260000001</v>
      </c>
      <c r="L22" s="66">
        <v>198</v>
      </c>
      <c r="N22" s="72"/>
    </row>
    <row r="23" spans="1:14">
      <c r="A23" s="20">
        <f t="shared" si="0"/>
        <v>1</v>
      </c>
      <c r="B23" s="125" t="s">
        <v>374</v>
      </c>
      <c r="C23" s="66">
        <v>2021</v>
      </c>
      <c r="D23" s="177">
        <v>22.40909091</v>
      </c>
      <c r="E23" s="66">
        <v>132</v>
      </c>
      <c r="F23" s="177">
        <v>27.539823009999999</v>
      </c>
      <c r="G23" s="66">
        <v>113</v>
      </c>
      <c r="H23" s="5"/>
      <c r="I23" s="177">
        <v>55.333333330000002</v>
      </c>
      <c r="J23" s="66">
        <v>6</v>
      </c>
      <c r="K23" s="177">
        <v>25.74519231</v>
      </c>
      <c r="L23" s="66">
        <v>208</v>
      </c>
      <c r="N23" s="72"/>
    </row>
    <row r="24" spans="1:14">
      <c r="B24" s="201" t="s">
        <v>374</v>
      </c>
      <c r="C24" s="196">
        <v>2022</v>
      </c>
      <c r="D24" s="202">
        <v>24.92</v>
      </c>
      <c r="E24" s="196">
        <v>125</v>
      </c>
      <c r="F24" s="202">
        <v>29.697674419999998</v>
      </c>
      <c r="G24" s="196">
        <v>129</v>
      </c>
      <c r="H24" s="5"/>
      <c r="I24" s="202">
        <v>44</v>
      </c>
      <c r="J24" s="196">
        <v>3</v>
      </c>
      <c r="K24" s="202">
        <v>27.204000000000001</v>
      </c>
      <c r="L24" s="196">
        <v>250</v>
      </c>
      <c r="N24" s="72"/>
    </row>
    <row r="25" spans="1:14">
      <c r="A25" s="20">
        <f>IF(B25=B23, A23, A23+1)</f>
        <v>2</v>
      </c>
      <c r="B25" s="125" t="s">
        <v>375</v>
      </c>
      <c r="C25" s="66">
        <v>2001</v>
      </c>
      <c r="D25" s="177">
        <v>18.743697829999999</v>
      </c>
      <c r="E25" s="66">
        <v>11861</v>
      </c>
      <c r="F25" s="177">
        <v>16.006627529999999</v>
      </c>
      <c r="G25" s="66">
        <v>5281</v>
      </c>
      <c r="H25" s="5"/>
      <c r="I25" s="177">
        <v>19.07322929</v>
      </c>
      <c r="J25" s="66">
        <v>12495</v>
      </c>
      <c r="K25" s="177">
        <v>14.7471487</v>
      </c>
      <c r="L25" s="66">
        <v>4647</v>
      </c>
      <c r="N25" s="72"/>
    </row>
    <row r="26" spans="1:14">
      <c r="A26" s="20">
        <f t="shared" si="0"/>
        <v>2</v>
      </c>
      <c r="B26" s="125" t="s">
        <v>375</v>
      </c>
      <c r="C26" s="66">
        <v>2002</v>
      </c>
      <c r="D26" s="177">
        <v>18.721068500000001</v>
      </c>
      <c r="E26" s="66">
        <v>11942</v>
      </c>
      <c r="F26" s="177">
        <v>16.485558300000001</v>
      </c>
      <c r="G26" s="66">
        <v>5678</v>
      </c>
      <c r="H26" s="5"/>
      <c r="I26" s="177">
        <v>19.29144428</v>
      </c>
      <c r="J26" s="66">
        <v>12366</v>
      </c>
      <c r="K26" s="177">
        <v>14.96059395</v>
      </c>
      <c r="L26" s="66">
        <v>5253</v>
      </c>
      <c r="N26" s="72"/>
    </row>
    <row r="27" spans="1:14">
      <c r="A27" s="20">
        <f t="shared" si="0"/>
        <v>2</v>
      </c>
      <c r="B27" s="125" t="s">
        <v>375</v>
      </c>
      <c r="C27" s="66">
        <v>2003</v>
      </c>
      <c r="D27" s="177">
        <v>19.198089670000002</v>
      </c>
      <c r="E27" s="66">
        <v>11621</v>
      </c>
      <c r="F27" s="177">
        <v>16.915061730000001</v>
      </c>
      <c r="G27" s="66">
        <v>6075</v>
      </c>
      <c r="H27" s="5"/>
      <c r="I27" s="177">
        <v>19.721343210000001</v>
      </c>
      <c r="J27" s="66">
        <v>11882</v>
      </c>
      <c r="K27" s="177">
        <v>15.742817820000001</v>
      </c>
      <c r="L27" s="66">
        <v>5813</v>
      </c>
      <c r="N27" s="72"/>
    </row>
    <row r="28" spans="1:14">
      <c r="A28" s="20">
        <f t="shared" si="0"/>
        <v>2</v>
      </c>
      <c r="B28" s="125" t="s">
        <v>375</v>
      </c>
      <c r="C28" s="66">
        <v>2004</v>
      </c>
      <c r="D28" s="177">
        <v>19.363894630000001</v>
      </c>
      <c r="E28" s="66">
        <v>11616</v>
      </c>
      <c r="F28" s="177">
        <v>17.574673829999998</v>
      </c>
      <c r="G28" s="66">
        <v>6515</v>
      </c>
      <c r="H28" s="5"/>
      <c r="I28" s="177">
        <v>20.296824860000001</v>
      </c>
      <c r="J28" s="66">
        <v>11842</v>
      </c>
      <c r="K28" s="177">
        <v>15.75369693</v>
      </c>
      <c r="L28" s="66">
        <v>6289</v>
      </c>
      <c r="N28" s="72"/>
    </row>
    <row r="29" spans="1:14">
      <c r="A29" s="20">
        <f t="shared" si="0"/>
        <v>2</v>
      </c>
      <c r="B29" s="125" t="s">
        <v>375</v>
      </c>
      <c r="C29" s="66">
        <v>2005</v>
      </c>
      <c r="D29" s="177">
        <v>19.321431669999999</v>
      </c>
      <c r="E29" s="66">
        <v>11511</v>
      </c>
      <c r="F29" s="177">
        <v>17.821051130000001</v>
      </c>
      <c r="G29" s="66">
        <v>7002</v>
      </c>
      <c r="H29" s="5"/>
      <c r="I29" s="177">
        <v>20.386061080000001</v>
      </c>
      <c r="J29" s="66">
        <v>11493</v>
      </c>
      <c r="K29" s="177">
        <v>16.08190883</v>
      </c>
      <c r="L29" s="66">
        <v>7020</v>
      </c>
      <c r="N29" s="72"/>
    </row>
    <row r="30" spans="1:14">
      <c r="A30" s="20">
        <f t="shared" si="0"/>
        <v>2</v>
      </c>
      <c r="B30" s="125" t="s">
        <v>375</v>
      </c>
      <c r="C30" s="66">
        <v>2006</v>
      </c>
      <c r="D30" s="177">
        <v>19.282540919999999</v>
      </c>
      <c r="E30" s="66">
        <v>11547</v>
      </c>
      <c r="F30" s="177">
        <v>18.286374760000001</v>
      </c>
      <c r="G30" s="66">
        <v>7354</v>
      </c>
      <c r="H30" s="5"/>
      <c r="I30" s="177">
        <v>20.591794780000001</v>
      </c>
      <c r="J30" s="66">
        <v>11188</v>
      </c>
      <c r="K30" s="177">
        <v>16.43361857</v>
      </c>
      <c r="L30" s="66">
        <v>7713</v>
      </c>
      <c r="N30" s="72"/>
    </row>
    <row r="31" spans="1:14">
      <c r="A31" s="20">
        <f t="shared" si="0"/>
        <v>2</v>
      </c>
      <c r="B31" s="125" t="s">
        <v>375</v>
      </c>
      <c r="C31" s="66">
        <v>2007</v>
      </c>
      <c r="D31" s="177">
        <v>19.357587819999999</v>
      </c>
      <c r="E31" s="66">
        <v>11558</v>
      </c>
      <c r="F31" s="177">
        <v>18.77058662</v>
      </c>
      <c r="G31" s="66">
        <v>7262</v>
      </c>
      <c r="H31" s="5"/>
      <c r="I31" s="177">
        <v>20.987884950000002</v>
      </c>
      <c r="J31" s="66">
        <v>10813</v>
      </c>
      <c r="K31" s="177">
        <v>16.622907819999998</v>
      </c>
      <c r="L31" s="66">
        <v>8006</v>
      </c>
      <c r="N31" s="72"/>
    </row>
    <row r="32" spans="1:14">
      <c r="A32" s="20">
        <f t="shared" si="0"/>
        <v>2</v>
      </c>
      <c r="B32" s="125" t="s">
        <v>375</v>
      </c>
      <c r="C32" s="66">
        <v>2008</v>
      </c>
      <c r="D32" s="177">
        <v>19.065593020000001</v>
      </c>
      <c r="E32" s="66">
        <v>11922</v>
      </c>
      <c r="F32" s="177">
        <v>19.1494939</v>
      </c>
      <c r="G32" s="66">
        <v>7706</v>
      </c>
      <c r="H32" s="5"/>
      <c r="I32" s="177">
        <v>21.158185629999998</v>
      </c>
      <c r="J32" s="66">
        <v>10494</v>
      </c>
      <c r="K32" s="177">
        <v>16.73220933</v>
      </c>
      <c r="L32" s="66">
        <v>9134</v>
      </c>
      <c r="N32" s="72"/>
    </row>
    <row r="33" spans="1:14">
      <c r="A33" s="20">
        <f t="shared" si="0"/>
        <v>2</v>
      </c>
      <c r="B33" s="125" t="s">
        <v>375</v>
      </c>
      <c r="C33" s="66">
        <v>2009</v>
      </c>
      <c r="D33" s="177">
        <v>19.06648276</v>
      </c>
      <c r="E33" s="66">
        <v>10875</v>
      </c>
      <c r="F33" s="177">
        <v>19.53837055</v>
      </c>
      <c r="G33" s="66">
        <v>6763</v>
      </c>
      <c r="H33" s="5"/>
      <c r="I33" s="177">
        <v>21.56409116</v>
      </c>
      <c r="J33" s="66">
        <v>8995</v>
      </c>
      <c r="K33" s="177">
        <v>16.836399400000001</v>
      </c>
      <c r="L33" s="66">
        <v>8643</v>
      </c>
      <c r="N33" s="72"/>
    </row>
    <row r="34" spans="1:14">
      <c r="A34" s="20">
        <f t="shared" si="0"/>
        <v>2</v>
      </c>
      <c r="B34" s="125" t="s">
        <v>375</v>
      </c>
      <c r="C34" s="66">
        <v>2010</v>
      </c>
      <c r="D34" s="177">
        <v>19.322437239999999</v>
      </c>
      <c r="E34" s="66">
        <v>11472</v>
      </c>
      <c r="F34" s="177">
        <v>20.19399675</v>
      </c>
      <c r="G34" s="66">
        <v>6763</v>
      </c>
      <c r="H34" s="5"/>
      <c r="I34" s="177">
        <v>22.271140020000001</v>
      </c>
      <c r="J34" s="66">
        <v>8763</v>
      </c>
      <c r="K34" s="177">
        <v>17.216744089999999</v>
      </c>
      <c r="L34" s="66">
        <v>9472</v>
      </c>
      <c r="N34" s="72"/>
    </row>
    <row r="35" spans="1:14">
      <c r="A35" s="20">
        <f t="shared" si="0"/>
        <v>2</v>
      </c>
      <c r="B35" s="125" t="s">
        <v>375</v>
      </c>
      <c r="C35" s="66">
        <v>2011</v>
      </c>
      <c r="D35" s="177">
        <v>19.202772700000001</v>
      </c>
      <c r="E35" s="66">
        <v>13128</v>
      </c>
      <c r="F35" s="177">
        <v>20.657146650000001</v>
      </c>
      <c r="G35" s="66">
        <v>7528</v>
      </c>
      <c r="H35" s="5"/>
      <c r="I35" s="177">
        <v>22.405728939999999</v>
      </c>
      <c r="J35" s="66">
        <v>9356</v>
      </c>
      <c r="K35" s="177">
        <v>17.519734509999999</v>
      </c>
      <c r="L35" s="66">
        <v>11300</v>
      </c>
      <c r="N35" s="72"/>
    </row>
    <row r="36" spans="1:14">
      <c r="A36" s="20">
        <f t="shared" si="0"/>
        <v>2</v>
      </c>
      <c r="B36" s="125" t="s">
        <v>375</v>
      </c>
      <c r="C36" s="66">
        <v>2012</v>
      </c>
      <c r="D36" s="177">
        <v>19.337325740000001</v>
      </c>
      <c r="E36" s="66">
        <v>10186</v>
      </c>
      <c r="F36" s="177">
        <v>20.990603109999999</v>
      </c>
      <c r="G36" s="66">
        <v>5853</v>
      </c>
      <c r="H36" s="5"/>
      <c r="I36" s="177">
        <v>22.864670480000001</v>
      </c>
      <c r="J36" s="66">
        <v>6813</v>
      </c>
      <c r="K36" s="177">
        <v>17.779837400000002</v>
      </c>
      <c r="L36" s="66">
        <v>9225</v>
      </c>
      <c r="N36" s="72"/>
    </row>
    <row r="37" spans="1:14">
      <c r="A37" s="20">
        <f t="shared" si="0"/>
        <v>2</v>
      </c>
      <c r="B37" s="125" t="s">
        <v>375</v>
      </c>
      <c r="C37" s="66">
        <v>2013</v>
      </c>
      <c r="D37" s="177">
        <v>19.171134240000001</v>
      </c>
      <c r="E37" s="66">
        <v>9513</v>
      </c>
      <c r="F37" s="177">
        <v>21.41488949</v>
      </c>
      <c r="G37" s="66">
        <v>5158</v>
      </c>
      <c r="H37" s="5"/>
      <c r="I37" s="177">
        <v>23.026012510000001</v>
      </c>
      <c r="J37" s="66">
        <v>6074</v>
      </c>
      <c r="K37" s="177">
        <v>17.79139034</v>
      </c>
      <c r="L37" s="66">
        <v>8595</v>
      </c>
      <c r="N37" s="72"/>
    </row>
    <row r="38" spans="1:14">
      <c r="A38" s="20">
        <f t="shared" si="0"/>
        <v>2</v>
      </c>
      <c r="B38" s="125" t="s">
        <v>375</v>
      </c>
      <c r="C38" s="66">
        <v>2014</v>
      </c>
      <c r="D38" s="177">
        <v>19.22483368</v>
      </c>
      <c r="E38" s="66">
        <v>9169</v>
      </c>
      <c r="F38" s="177">
        <v>21.58101898</v>
      </c>
      <c r="G38" s="66">
        <v>5005</v>
      </c>
      <c r="H38" s="5"/>
      <c r="I38" s="177">
        <v>23.181903949999999</v>
      </c>
      <c r="J38" s="66">
        <v>5830</v>
      </c>
      <c r="K38" s="177">
        <v>17.87246794</v>
      </c>
      <c r="L38" s="66">
        <v>8343</v>
      </c>
      <c r="N38" s="72"/>
    </row>
    <row r="39" spans="1:14">
      <c r="A39" s="20">
        <f t="shared" si="0"/>
        <v>2</v>
      </c>
      <c r="B39" s="125" t="s">
        <v>375</v>
      </c>
      <c r="C39" s="66">
        <v>2015</v>
      </c>
      <c r="D39" s="177">
        <v>19.175621889999999</v>
      </c>
      <c r="E39" s="66">
        <v>10050</v>
      </c>
      <c r="F39" s="177">
        <v>22.079042640000001</v>
      </c>
      <c r="G39" s="66">
        <v>4972</v>
      </c>
      <c r="H39" s="5"/>
      <c r="I39" s="177">
        <v>23.485382059999999</v>
      </c>
      <c r="J39" s="66">
        <v>6020</v>
      </c>
      <c r="K39" s="177">
        <v>17.897133969999999</v>
      </c>
      <c r="L39" s="66">
        <v>9002</v>
      </c>
      <c r="N39" s="72"/>
    </row>
    <row r="40" spans="1:14">
      <c r="A40" s="20">
        <f t="shared" si="0"/>
        <v>2</v>
      </c>
      <c r="B40" s="125" t="s">
        <v>375</v>
      </c>
      <c r="C40" s="66">
        <v>2016</v>
      </c>
      <c r="D40" s="177">
        <v>19.177029000000001</v>
      </c>
      <c r="E40" s="66">
        <v>9586</v>
      </c>
      <c r="F40" s="177">
        <v>22.328941780000001</v>
      </c>
      <c r="G40" s="66">
        <v>4706</v>
      </c>
      <c r="H40" s="5"/>
      <c r="I40" s="177">
        <v>23.676917580000001</v>
      </c>
      <c r="J40" s="66">
        <v>5593</v>
      </c>
      <c r="K40" s="177">
        <v>17.990802479999999</v>
      </c>
      <c r="L40" s="66">
        <v>8698</v>
      </c>
      <c r="N40" s="72"/>
    </row>
    <row r="41" spans="1:14">
      <c r="A41" s="20">
        <f t="shared" si="0"/>
        <v>2</v>
      </c>
      <c r="B41" s="125" t="s">
        <v>375</v>
      </c>
      <c r="C41" s="66">
        <v>2017</v>
      </c>
      <c r="D41" s="177">
        <v>18.828756640000002</v>
      </c>
      <c r="E41" s="66">
        <v>11107</v>
      </c>
      <c r="F41" s="177">
        <v>22.266205039999999</v>
      </c>
      <c r="G41" s="66">
        <v>5199</v>
      </c>
      <c r="H41" s="5"/>
      <c r="I41" s="177">
        <v>23.47852262</v>
      </c>
      <c r="J41" s="66">
        <v>6146</v>
      </c>
      <c r="K41" s="177">
        <v>17.777909040000001</v>
      </c>
      <c r="L41" s="66">
        <v>10158</v>
      </c>
      <c r="N41" s="72"/>
    </row>
    <row r="42" spans="1:14">
      <c r="A42" s="20">
        <f t="shared" si="0"/>
        <v>2</v>
      </c>
      <c r="B42" s="125" t="s">
        <v>375</v>
      </c>
      <c r="C42" s="66">
        <v>2018</v>
      </c>
      <c r="D42" s="177">
        <v>18.744903499999999</v>
      </c>
      <c r="E42" s="66">
        <v>12901</v>
      </c>
      <c r="F42" s="177">
        <v>22.44682345</v>
      </c>
      <c r="G42" s="66">
        <v>5698</v>
      </c>
      <c r="H42" s="5"/>
      <c r="I42" s="177">
        <v>23.688298029999999</v>
      </c>
      <c r="J42" s="66">
        <v>6657</v>
      </c>
      <c r="K42" s="177">
        <v>17.76348861</v>
      </c>
      <c r="L42" s="66">
        <v>11936</v>
      </c>
      <c r="N42" s="72"/>
    </row>
    <row r="43" spans="1:14">
      <c r="A43" s="20">
        <f t="shared" si="0"/>
        <v>2</v>
      </c>
      <c r="B43" s="125" t="s">
        <v>375</v>
      </c>
      <c r="C43" s="66">
        <v>2019</v>
      </c>
      <c r="D43" s="177">
        <v>18.744055840000001</v>
      </c>
      <c r="E43" s="66">
        <v>13753</v>
      </c>
      <c r="F43" s="177">
        <v>22.494220139999999</v>
      </c>
      <c r="G43" s="66">
        <v>5969</v>
      </c>
      <c r="H43" s="5"/>
      <c r="I43" s="177">
        <v>23.667506670000002</v>
      </c>
      <c r="J43" s="66">
        <v>6746</v>
      </c>
      <c r="K43" s="177">
        <v>17.916114109999999</v>
      </c>
      <c r="L43" s="66">
        <v>12970</v>
      </c>
      <c r="N43" s="72"/>
    </row>
    <row r="44" spans="1:14">
      <c r="A44" s="20">
        <f t="shared" si="0"/>
        <v>2</v>
      </c>
      <c r="B44" s="125" t="s">
        <v>375</v>
      </c>
      <c r="C44" s="66">
        <v>2020</v>
      </c>
      <c r="D44" s="177">
        <v>18.47066521</v>
      </c>
      <c r="E44" s="66">
        <v>13755</v>
      </c>
      <c r="F44" s="177">
        <v>22.769576489999999</v>
      </c>
      <c r="G44" s="66">
        <v>5785</v>
      </c>
      <c r="H44" s="5"/>
      <c r="I44" s="177">
        <v>23.534013089999998</v>
      </c>
      <c r="J44" s="66">
        <v>6571</v>
      </c>
      <c r="K44" s="177">
        <v>17.833474809999998</v>
      </c>
      <c r="L44" s="66">
        <v>12959</v>
      </c>
      <c r="N44" s="72"/>
    </row>
    <row r="45" spans="1:14">
      <c r="A45" s="20">
        <f t="shared" si="0"/>
        <v>2</v>
      </c>
      <c r="B45" s="125" t="s">
        <v>375</v>
      </c>
      <c r="C45" s="66">
        <v>2021</v>
      </c>
      <c r="D45" s="177">
        <v>18.9545137</v>
      </c>
      <c r="E45" s="66">
        <v>14312</v>
      </c>
      <c r="F45" s="177">
        <v>23.22705492</v>
      </c>
      <c r="G45" s="66">
        <v>5426</v>
      </c>
      <c r="H45" s="5"/>
      <c r="I45" s="177">
        <v>24.239137280000001</v>
      </c>
      <c r="J45" s="66">
        <v>6352</v>
      </c>
      <c r="K45" s="177">
        <v>18.188037380000001</v>
      </c>
      <c r="L45" s="66">
        <v>13375</v>
      </c>
      <c r="N45" s="72"/>
    </row>
    <row r="46" spans="1:14">
      <c r="B46" s="125" t="s">
        <v>375</v>
      </c>
      <c r="C46" s="66">
        <v>2022</v>
      </c>
      <c r="D46" s="177">
        <v>18.458448560000001</v>
      </c>
      <c r="E46" s="66">
        <v>14464</v>
      </c>
      <c r="F46" s="177">
        <v>23.38909962</v>
      </c>
      <c r="G46" s="66">
        <v>5009</v>
      </c>
      <c r="H46" s="5"/>
      <c r="I46" s="177">
        <v>24.089120569999999</v>
      </c>
      <c r="J46" s="66">
        <v>5947</v>
      </c>
      <c r="K46" s="177">
        <v>17.82032117</v>
      </c>
      <c r="L46" s="66">
        <v>13513</v>
      </c>
      <c r="N46" s="72"/>
    </row>
    <row r="47" spans="1:14">
      <c r="A47" s="20">
        <f>IF(B47=B45, A45, A45+1)</f>
        <v>3</v>
      </c>
      <c r="B47" s="125" t="s">
        <v>376</v>
      </c>
      <c r="C47" s="66">
        <v>2001</v>
      </c>
      <c r="D47" s="177">
        <v>18.137779500000001</v>
      </c>
      <c r="E47" s="66">
        <v>80099</v>
      </c>
      <c r="F47" s="177">
        <v>15.1540573</v>
      </c>
      <c r="G47" s="66">
        <v>43354</v>
      </c>
      <c r="H47" s="5"/>
      <c r="I47" s="177">
        <v>17.259734559999998</v>
      </c>
      <c r="J47" s="66">
        <v>118444</v>
      </c>
      <c r="K47" s="177">
        <v>13.06632042</v>
      </c>
      <c r="L47" s="66">
        <v>5006</v>
      </c>
      <c r="N47" s="72"/>
    </row>
    <row r="48" spans="1:14">
      <c r="A48" s="20">
        <f t="shared" si="0"/>
        <v>3</v>
      </c>
      <c r="B48" s="125" t="s">
        <v>376</v>
      </c>
      <c r="C48" s="66">
        <v>2002</v>
      </c>
      <c r="D48" s="177">
        <v>18.297878059999999</v>
      </c>
      <c r="E48" s="66">
        <v>76251</v>
      </c>
      <c r="F48" s="177">
        <v>15.284645039999999</v>
      </c>
      <c r="G48" s="66">
        <v>48499</v>
      </c>
      <c r="H48" s="5"/>
      <c r="I48" s="177">
        <v>17.296399319999999</v>
      </c>
      <c r="J48" s="66">
        <v>118811</v>
      </c>
      <c r="K48" s="177">
        <v>13.724225069999999</v>
      </c>
      <c r="L48" s="66">
        <v>5936</v>
      </c>
      <c r="N48" s="72"/>
    </row>
    <row r="49" spans="1:14">
      <c r="A49" s="20">
        <f t="shared" si="0"/>
        <v>3</v>
      </c>
      <c r="B49" s="125" t="s">
        <v>376</v>
      </c>
      <c r="C49" s="66">
        <v>2003</v>
      </c>
      <c r="D49" s="177">
        <v>18.327181119999999</v>
      </c>
      <c r="E49" s="66">
        <v>73036</v>
      </c>
      <c r="F49" s="177">
        <v>15.41216547</v>
      </c>
      <c r="G49" s="66">
        <v>55189</v>
      </c>
      <c r="H49" s="5"/>
      <c r="I49" s="177">
        <v>17.244456199999998</v>
      </c>
      <c r="J49" s="66">
        <v>121036</v>
      </c>
      <c r="K49" s="177">
        <v>14.1780498</v>
      </c>
      <c r="L49" s="66">
        <v>7189</v>
      </c>
      <c r="N49" s="72"/>
    </row>
    <row r="50" spans="1:14">
      <c r="A50" s="20">
        <f t="shared" si="0"/>
        <v>3</v>
      </c>
      <c r="B50" s="125" t="s">
        <v>376</v>
      </c>
      <c r="C50" s="66">
        <v>2004</v>
      </c>
      <c r="D50" s="177">
        <v>18.431744590000001</v>
      </c>
      <c r="E50" s="66">
        <v>72888</v>
      </c>
      <c r="F50" s="177">
        <v>15.57902539</v>
      </c>
      <c r="G50" s="66">
        <v>64087</v>
      </c>
      <c r="H50" s="5"/>
      <c r="I50" s="177">
        <v>17.239650009999998</v>
      </c>
      <c r="J50" s="66">
        <v>128575</v>
      </c>
      <c r="K50" s="177">
        <v>14.913799259999999</v>
      </c>
      <c r="L50" s="66">
        <v>8399</v>
      </c>
      <c r="N50" s="72"/>
    </row>
    <row r="51" spans="1:14">
      <c r="A51" s="20">
        <f t="shared" si="0"/>
        <v>3</v>
      </c>
      <c r="B51" s="125" t="s">
        <v>376</v>
      </c>
      <c r="C51" s="66">
        <v>2005</v>
      </c>
      <c r="D51" s="177">
        <v>18.352253380000001</v>
      </c>
      <c r="E51" s="66">
        <v>71670</v>
      </c>
      <c r="F51" s="177">
        <v>15.62239632</v>
      </c>
      <c r="G51" s="66">
        <v>74798</v>
      </c>
      <c r="H51" s="5"/>
      <c r="I51" s="177">
        <v>17.085371930000001</v>
      </c>
      <c r="J51" s="66">
        <v>136450</v>
      </c>
      <c r="K51" s="177">
        <v>15.225339460000001</v>
      </c>
      <c r="L51" s="66">
        <v>10016</v>
      </c>
      <c r="N51" s="72"/>
    </row>
    <row r="52" spans="1:14">
      <c r="A52" s="20">
        <f t="shared" si="0"/>
        <v>3</v>
      </c>
      <c r="B52" s="125" t="s">
        <v>376</v>
      </c>
      <c r="C52" s="66">
        <v>2006</v>
      </c>
      <c r="D52" s="177">
        <v>18.379354429999999</v>
      </c>
      <c r="E52" s="66">
        <v>68838</v>
      </c>
      <c r="F52" s="177">
        <v>15.772303000000001</v>
      </c>
      <c r="G52" s="66">
        <v>83352</v>
      </c>
      <c r="H52" s="5"/>
      <c r="I52" s="177">
        <v>17.055065890000002</v>
      </c>
      <c r="J52" s="66">
        <v>140686</v>
      </c>
      <c r="K52" s="177">
        <v>15.68408241</v>
      </c>
      <c r="L52" s="66">
        <v>11503</v>
      </c>
      <c r="N52" s="72"/>
    </row>
    <row r="53" spans="1:14">
      <c r="A53" s="20">
        <f t="shared" si="0"/>
        <v>3</v>
      </c>
      <c r="B53" s="125" t="s">
        <v>376</v>
      </c>
      <c r="C53" s="66">
        <v>2007</v>
      </c>
      <c r="D53" s="177">
        <v>18.399934250000001</v>
      </c>
      <c r="E53" s="66">
        <v>66921</v>
      </c>
      <c r="F53" s="177">
        <v>16.060370299999999</v>
      </c>
      <c r="G53" s="66">
        <v>90359</v>
      </c>
      <c r="H53" s="5"/>
      <c r="I53" s="177">
        <v>17.124675119999999</v>
      </c>
      <c r="J53" s="66">
        <v>145053</v>
      </c>
      <c r="K53" s="177">
        <v>16.237505110000001</v>
      </c>
      <c r="L53" s="66">
        <v>12225</v>
      </c>
      <c r="N53" s="72"/>
    </row>
    <row r="54" spans="1:14">
      <c r="A54" s="20">
        <f t="shared" si="0"/>
        <v>3</v>
      </c>
      <c r="B54" s="125" t="s">
        <v>376</v>
      </c>
      <c r="C54" s="66">
        <v>2008</v>
      </c>
      <c r="D54" s="177">
        <v>18.404847239999999</v>
      </c>
      <c r="E54" s="66">
        <v>64449</v>
      </c>
      <c r="F54" s="177">
        <v>16.44593661</v>
      </c>
      <c r="G54" s="66">
        <v>94047</v>
      </c>
      <c r="H54" s="5"/>
      <c r="I54" s="177">
        <v>17.275380340000002</v>
      </c>
      <c r="J54" s="66">
        <v>145595</v>
      </c>
      <c r="K54" s="177">
        <v>16.871250289999999</v>
      </c>
      <c r="L54" s="66">
        <v>12901</v>
      </c>
      <c r="N54" s="72"/>
    </row>
    <row r="55" spans="1:14">
      <c r="A55" s="20">
        <f t="shared" si="0"/>
        <v>3</v>
      </c>
      <c r="B55" s="125" t="s">
        <v>376</v>
      </c>
      <c r="C55" s="66">
        <v>2009</v>
      </c>
      <c r="D55" s="177">
        <v>18.48463048</v>
      </c>
      <c r="E55" s="66">
        <v>55044</v>
      </c>
      <c r="F55" s="177">
        <v>16.859878640000002</v>
      </c>
      <c r="G55" s="66">
        <v>85533</v>
      </c>
      <c r="H55" s="5"/>
      <c r="I55" s="177">
        <v>17.511633140000001</v>
      </c>
      <c r="J55" s="66">
        <v>128770</v>
      </c>
      <c r="K55" s="177">
        <v>17.327064799999999</v>
      </c>
      <c r="L55" s="66">
        <v>11805</v>
      </c>
      <c r="N55" s="72"/>
    </row>
    <row r="56" spans="1:14">
      <c r="A56" s="20">
        <f t="shared" si="0"/>
        <v>3</v>
      </c>
      <c r="B56" s="125" t="s">
        <v>376</v>
      </c>
      <c r="C56" s="66">
        <v>2010</v>
      </c>
      <c r="D56" s="177">
        <v>18.815747470000002</v>
      </c>
      <c r="E56" s="66">
        <v>53253</v>
      </c>
      <c r="F56" s="177">
        <v>17.313771920000001</v>
      </c>
      <c r="G56" s="66">
        <v>86582</v>
      </c>
      <c r="H56" s="5"/>
      <c r="I56" s="177">
        <v>17.875164439999999</v>
      </c>
      <c r="J56" s="66">
        <v>127704</v>
      </c>
      <c r="K56" s="177">
        <v>17.997362129999999</v>
      </c>
      <c r="L56" s="66">
        <v>12131</v>
      </c>
      <c r="N56" s="72"/>
    </row>
    <row r="57" spans="1:14">
      <c r="A57" s="20">
        <f t="shared" si="0"/>
        <v>3</v>
      </c>
      <c r="B57" s="125" t="s">
        <v>376</v>
      </c>
      <c r="C57" s="66">
        <v>2011</v>
      </c>
      <c r="D57" s="177">
        <v>18.771992910000002</v>
      </c>
      <c r="E57" s="66">
        <v>58678</v>
      </c>
      <c r="F57" s="177">
        <v>17.781682029999999</v>
      </c>
      <c r="G57" s="66">
        <v>103292</v>
      </c>
      <c r="H57" s="5"/>
      <c r="I57" s="177">
        <v>18.097289839999998</v>
      </c>
      <c r="J57" s="66">
        <v>147482</v>
      </c>
      <c r="K57" s="177">
        <v>18.578656729999999</v>
      </c>
      <c r="L57" s="66">
        <v>14487</v>
      </c>
      <c r="N57" s="72"/>
    </row>
    <row r="58" spans="1:14">
      <c r="A58" s="20">
        <f t="shared" si="0"/>
        <v>3</v>
      </c>
      <c r="B58" s="125" t="s">
        <v>376</v>
      </c>
      <c r="C58" s="66">
        <v>2012</v>
      </c>
      <c r="D58" s="177">
        <v>19.0471915</v>
      </c>
      <c r="E58" s="66">
        <v>45665</v>
      </c>
      <c r="F58" s="177">
        <v>18.324506580000001</v>
      </c>
      <c r="G58" s="66">
        <v>81117</v>
      </c>
      <c r="H58" s="5"/>
      <c r="I58" s="177">
        <v>18.523312480000001</v>
      </c>
      <c r="J58" s="66">
        <v>115539</v>
      </c>
      <c r="K58" s="177">
        <v>19.2180605</v>
      </c>
      <c r="L58" s="66">
        <v>11240</v>
      </c>
      <c r="N58" s="72"/>
    </row>
    <row r="59" spans="1:14">
      <c r="A59" s="20">
        <f t="shared" si="0"/>
        <v>3</v>
      </c>
      <c r="B59" s="125" t="s">
        <v>376</v>
      </c>
      <c r="C59" s="66">
        <v>2013</v>
      </c>
      <c r="D59" s="177">
        <v>18.870192100000001</v>
      </c>
      <c r="E59" s="66">
        <v>46538</v>
      </c>
      <c r="F59" s="177">
        <v>18.724259450000002</v>
      </c>
      <c r="G59" s="66">
        <v>85983</v>
      </c>
      <c r="H59" s="5"/>
      <c r="I59" s="177">
        <v>18.693856449999998</v>
      </c>
      <c r="J59" s="66">
        <v>121884</v>
      </c>
      <c r="K59" s="177">
        <v>19.712767960000001</v>
      </c>
      <c r="L59" s="66">
        <v>10636</v>
      </c>
      <c r="N59" s="72"/>
    </row>
    <row r="60" spans="1:14">
      <c r="A60" s="20">
        <f t="shared" si="0"/>
        <v>3</v>
      </c>
      <c r="B60" s="125" t="s">
        <v>376</v>
      </c>
      <c r="C60" s="66">
        <v>2014</v>
      </c>
      <c r="D60" s="177">
        <v>19.0810861</v>
      </c>
      <c r="E60" s="66">
        <v>48467</v>
      </c>
      <c r="F60" s="177">
        <v>19.069136830000001</v>
      </c>
      <c r="G60" s="66">
        <v>90979</v>
      </c>
      <c r="H60" s="5"/>
      <c r="I60" s="177">
        <v>18.987241560000001</v>
      </c>
      <c r="J60" s="66">
        <v>129091</v>
      </c>
      <c r="K60" s="177">
        <v>20.146016419999999</v>
      </c>
      <c r="L60" s="66">
        <v>10355</v>
      </c>
      <c r="N60" s="72"/>
    </row>
    <row r="61" spans="1:14">
      <c r="A61" s="20">
        <f t="shared" si="0"/>
        <v>3</v>
      </c>
      <c r="B61" s="125" t="s">
        <v>376</v>
      </c>
      <c r="C61" s="66">
        <v>2015</v>
      </c>
      <c r="D61" s="177">
        <v>19.312192679999999</v>
      </c>
      <c r="E61" s="66">
        <v>52876</v>
      </c>
      <c r="F61" s="177">
        <v>19.41343668</v>
      </c>
      <c r="G61" s="66">
        <v>98633</v>
      </c>
      <c r="H61" s="5"/>
      <c r="I61" s="177">
        <v>19.279214530000001</v>
      </c>
      <c r="J61" s="66">
        <v>141368</v>
      </c>
      <c r="K61" s="177">
        <v>20.757865670000001</v>
      </c>
      <c r="L61" s="66">
        <v>10139</v>
      </c>
      <c r="N61" s="72"/>
    </row>
    <row r="62" spans="1:14">
      <c r="A62" s="20">
        <f t="shared" si="0"/>
        <v>3</v>
      </c>
      <c r="B62" s="125" t="s">
        <v>376</v>
      </c>
      <c r="C62" s="66">
        <v>2016</v>
      </c>
      <c r="D62" s="177">
        <v>19.371624149999999</v>
      </c>
      <c r="E62" s="66">
        <v>50691</v>
      </c>
      <c r="F62" s="177">
        <v>19.676338229999999</v>
      </c>
      <c r="G62" s="66">
        <v>97106</v>
      </c>
      <c r="H62" s="5"/>
      <c r="I62" s="177">
        <v>19.471319470000001</v>
      </c>
      <c r="J62" s="66">
        <v>138404</v>
      </c>
      <c r="K62" s="177">
        <v>21.071953950000001</v>
      </c>
      <c r="L62" s="66">
        <v>9381</v>
      </c>
      <c r="N62" s="72"/>
    </row>
    <row r="63" spans="1:14">
      <c r="A63" s="20">
        <f t="shared" si="0"/>
        <v>3</v>
      </c>
      <c r="B63" s="125" t="s">
        <v>376</v>
      </c>
      <c r="C63" s="66">
        <v>2017</v>
      </c>
      <c r="D63" s="177">
        <v>19.25034896</v>
      </c>
      <c r="E63" s="66">
        <v>58746</v>
      </c>
      <c r="F63" s="177">
        <v>19.78322391</v>
      </c>
      <c r="G63" s="66">
        <v>111945</v>
      </c>
      <c r="H63" s="5"/>
      <c r="I63" s="177">
        <v>19.50793651</v>
      </c>
      <c r="J63" s="66">
        <v>160776</v>
      </c>
      <c r="K63" s="177">
        <v>21.117397449999999</v>
      </c>
      <c r="L63" s="66">
        <v>9898</v>
      </c>
      <c r="N63" s="72"/>
    </row>
    <row r="64" spans="1:14">
      <c r="A64" s="20">
        <f t="shared" si="0"/>
        <v>3</v>
      </c>
      <c r="B64" s="125" t="s">
        <v>376</v>
      </c>
      <c r="C64" s="66">
        <v>2018</v>
      </c>
      <c r="D64" s="177">
        <v>19.15187873</v>
      </c>
      <c r="E64" s="66">
        <v>63261</v>
      </c>
      <c r="F64" s="177">
        <v>19.960166390000001</v>
      </c>
      <c r="G64" s="66">
        <v>123087</v>
      </c>
      <c r="H64" s="5"/>
      <c r="I64" s="177">
        <v>19.581760670000001</v>
      </c>
      <c r="J64" s="66">
        <v>175445</v>
      </c>
      <c r="K64" s="177">
        <v>21.401765999999999</v>
      </c>
      <c r="L64" s="66">
        <v>10872</v>
      </c>
      <c r="N64" s="72"/>
    </row>
    <row r="65" spans="1:14">
      <c r="A65" s="20">
        <f t="shared" si="0"/>
        <v>3</v>
      </c>
      <c r="B65" s="125" t="s">
        <v>376</v>
      </c>
      <c r="C65" s="66">
        <v>2019</v>
      </c>
      <c r="D65" s="177">
        <v>19.105553759999999</v>
      </c>
      <c r="E65" s="66">
        <v>64929</v>
      </c>
      <c r="F65" s="177">
        <v>20.10421436</v>
      </c>
      <c r="G65" s="66">
        <v>125357</v>
      </c>
      <c r="H65" s="5"/>
      <c r="I65" s="177">
        <v>19.65766035</v>
      </c>
      <c r="J65" s="66">
        <v>179189</v>
      </c>
      <c r="K65" s="177">
        <v>21.55752854</v>
      </c>
      <c r="L65" s="66">
        <v>11038</v>
      </c>
      <c r="N65" s="72"/>
    </row>
    <row r="66" spans="1:14">
      <c r="A66" s="20">
        <f t="shared" si="0"/>
        <v>3</v>
      </c>
      <c r="B66" s="125" t="s">
        <v>376</v>
      </c>
      <c r="C66" s="66">
        <v>2020</v>
      </c>
      <c r="D66" s="177">
        <v>18.998734420000002</v>
      </c>
      <c r="E66" s="66">
        <v>62422</v>
      </c>
      <c r="F66" s="177">
        <v>20.032902530000001</v>
      </c>
      <c r="G66" s="66">
        <v>120781</v>
      </c>
      <c r="H66" s="5"/>
      <c r="I66" s="177">
        <v>19.590477679999999</v>
      </c>
      <c r="J66" s="66">
        <v>173004</v>
      </c>
      <c r="K66" s="177">
        <v>21.31940328</v>
      </c>
      <c r="L66" s="66">
        <v>10122</v>
      </c>
      <c r="N66" s="72"/>
    </row>
    <row r="67" spans="1:14">
      <c r="A67" s="20">
        <f t="shared" si="0"/>
        <v>3</v>
      </c>
      <c r="B67" s="125" t="s">
        <v>376</v>
      </c>
      <c r="C67" s="66">
        <v>2021</v>
      </c>
      <c r="D67" s="177">
        <v>18.987679799999999</v>
      </c>
      <c r="E67" s="66">
        <v>63473</v>
      </c>
      <c r="F67" s="177">
        <v>20.059176829999998</v>
      </c>
      <c r="G67" s="66">
        <v>123207</v>
      </c>
      <c r="H67" s="5"/>
      <c r="I67" s="177">
        <v>19.614064509999999</v>
      </c>
      <c r="J67" s="66">
        <v>176501</v>
      </c>
      <c r="K67" s="177">
        <v>21.295148919999999</v>
      </c>
      <c r="L67" s="66">
        <v>10039</v>
      </c>
      <c r="N67" s="72"/>
    </row>
    <row r="68" spans="1:14">
      <c r="B68" s="201" t="s">
        <v>376</v>
      </c>
      <c r="C68" s="196">
        <v>2022</v>
      </c>
      <c r="D68" s="202">
        <v>18.88994246</v>
      </c>
      <c r="E68" s="196">
        <v>61695</v>
      </c>
      <c r="F68" s="202">
        <v>20.04218586</v>
      </c>
      <c r="G68" s="196">
        <v>120941</v>
      </c>
      <c r="H68" s="5"/>
      <c r="I68" s="202">
        <v>19.612086430000002</v>
      </c>
      <c r="J68" s="196">
        <v>172309</v>
      </c>
      <c r="K68" s="202">
        <v>20.595931669999999</v>
      </c>
      <c r="L68" s="196">
        <v>10127</v>
      </c>
      <c r="N68" s="72"/>
    </row>
    <row r="69" spans="1:14">
      <c r="A69" s="20">
        <f>IF(B69=B67, A67, A67+1)</f>
        <v>4</v>
      </c>
      <c r="B69" s="125" t="s">
        <v>402</v>
      </c>
      <c r="C69" s="66">
        <v>2001</v>
      </c>
      <c r="D69" s="177">
        <v>18.215930839999999</v>
      </c>
      <c r="E69" s="66">
        <v>91960</v>
      </c>
      <c r="F69" s="177">
        <v>15.246633080000001</v>
      </c>
      <c r="G69" s="66">
        <v>48635</v>
      </c>
      <c r="H69" s="5"/>
      <c r="I69" s="177">
        <v>17.43278931</v>
      </c>
      <c r="J69" s="66">
        <v>130939</v>
      </c>
      <c r="K69" s="177">
        <v>13.87547913</v>
      </c>
      <c r="L69" s="66">
        <v>9653</v>
      </c>
      <c r="N69" s="72"/>
    </row>
    <row r="70" spans="1:14">
      <c r="A70" s="20">
        <f t="shared" si="0"/>
        <v>4</v>
      </c>
      <c r="B70" s="125" t="s">
        <v>402</v>
      </c>
      <c r="C70" s="66">
        <v>2002</v>
      </c>
      <c r="D70" s="177">
        <v>18.355181250000001</v>
      </c>
      <c r="E70" s="66">
        <v>88193</v>
      </c>
      <c r="F70" s="177">
        <v>15.4105063</v>
      </c>
      <c r="G70" s="66">
        <v>54177</v>
      </c>
      <c r="H70" s="5"/>
      <c r="I70" s="177">
        <v>17.484471360000001</v>
      </c>
      <c r="J70" s="66">
        <v>131177</v>
      </c>
      <c r="K70" s="177">
        <v>14.30467423</v>
      </c>
      <c r="L70" s="66">
        <v>11189</v>
      </c>
      <c r="N70" s="72"/>
    </row>
    <row r="71" spans="1:14">
      <c r="A71" s="20">
        <f t="shared" ref="A71:A137" si="1">IF(B71=B70, A70, A70+1)</f>
        <v>4</v>
      </c>
      <c r="B71" s="125" t="s">
        <v>402</v>
      </c>
      <c r="C71" s="66">
        <v>2003</v>
      </c>
      <c r="D71" s="177">
        <v>18.444002609999998</v>
      </c>
      <c r="E71" s="66">
        <v>84245</v>
      </c>
      <c r="F71" s="177">
        <v>15.55794294</v>
      </c>
      <c r="G71" s="66">
        <v>60922</v>
      </c>
      <c r="H71" s="5"/>
      <c r="I71" s="177">
        <v>17.463229290000001</v>
      </c>
      <c r="J71" s="66">
        <v>132252</v>
      </c>
      <c r="K71" s="177">
        <v>14.87308348</v>
      </c>
      <c r="L71" s="66">
        <v>12914</v>
      </c>
      <c r="N71" s="72"/>
    </row>
    <row r="72" spans="1:14">
      <c r="A72" s="20">
        <f t="shared" si="1"/>
        <v>4</v>
      </c>
      <c r="B72" s="125" t="s">
        <v>402</v>
      </c>
      <c r="C72" s="66">
        <v>2004</v>
      </c>
      <c r="D72" s="177">
        <v>18.55253823</v>
      </c>
      <c r="E72" s="66">
        <v>83444</v>
      </c>
      <c r="F72" s="177">
        <v>15.75773832</v>
      </c>
      <c r="G72" s="66">
        <v>69718</v>
      </c>
      <c r="H72" s="5"/>
      <c r="I72" s="177">
        <v>17.492892430000001</v>
      </c>
      <c r="J72" s="66">
        <v>138655</v>
      </c>
      <c r="K72" s="177">
        <v>15.249000410000001</v>
      </c>
      <c r="L72" s="66">
        <v>14506</v>
      </c>
      <c r="N72" s="72"/>
    </row>
    <row r="73" spans="1:14">
      <c r="A73" s="20">
        <f t="shared" si="1"/>
        <v>4</v>
      </c>
      <c r="B73" s="125" t="s">
        <v>402</v>
      </c>
      <c r="C73" s="66">
        <v>2005</v>
      </c>
      <c r="D73" s="177">
        <v>18.474797290000001</v>
      </c>
      <c r="E73" s="66">
        <v>81519</v>
      </c>
      <c r="F73" s="177">
        <v>15.79434367</v>
      </c>
      <c r="G73" s="66">
        <v>80158</v>
      </c>
      <c r="H73" s="5"/>
      <c r="I73" s="177">
        <v>17.327908310000002</v>
      </c>
      <c r="J73" s="66">
        <v>145007</v>
      </c>
      <c r="K73" s="177">
        <v>15.56203504</v>
      </c>
      <c r="L73" s="66">
        <v>16668</v>
      </c>
      <c r="N73" s="72"/>
    </row>
    <row r="74" spans="1:14">
      <c r="A74" s="20">
        <f t="shared" si="1"/>
        <v>4</v>
      </c>
      <c r="B74" s="125" t="s">
        <v>402</v>
      </c>
      <c r="C74" s="66">
        <v>2006</v>
      </c>
      <c r="D74" s="177">
        <v>18.479124930000001</v>
      </c>
      <c r="E74" s="66">
        <v>78371</v>
      </c>
      <c r="F74" s="177">
        <v>15.95575472</v>
      </c>
      <c r="G74" s="66">
        <v>88258</v>
      </c>
      <c r="H74" s="5"/>
      <c r="I74" s="177">
        <v>17.293544239999999</v>
      </c>
      <c r="J74" s="66">
        <v>147930</v>
      </c>
      <c r="K74" s="177">
        <v>15.947614720000001</v>
      </c>
      <c r="L74" s="66">
        <v>18698</v>
      </c>
      <c r="N74" s="72"/>
    </row>
    <row r="75" spans="1:14">
      <c r="A75" s="20">
        <f t="shared" si="1"/>
        <v>4</v>
      </c>
      <c r="B75" s="125" t="s">
        <v>402</v>
      </c>
      <c r="C75" s="66">
        <v>2007</v>
      </c>
      <c r="D75" s="177">
        <v>18.501386790000002</v>
      </c>
      <c r="E75" s="66">
        <v>76075</v>
      </c>
      <c r="F75" s="177">
        <v>16.232279170000002</v>
      </c>
      <c r="G75" s="66">
        <v>94451</v>
      </c>
      <c r="H75" s="5"/>
      <c r="I75" s="177">
        <v>17.36025789</v>
      </c>
      <c r="J75" s="66">
        <v>150996</v>
      </c>
      <c r="K75" s="177">
        <v>16.348875920000001</v>
      </c>
      <c r="L75" s="66">
        <v>19527</v>
      </c>
      <c r="N75" s="72"/>
    </row>
    <row r="76" spans="1:14">
      <c r="A76" s="20">
        <f t="shared" si="1"/>
        <v>4</v>
      </c>
      <c r="B76" s="125" t="s">
        <v>402</v>
      </c>
      <c r="C76" s="66">
        <v>2008</v>
      </c>
      <c r="D76" s="177">
        <v>18.453739290000001</v>
      </c>
      <c r="E76" s="66">
        <v>73637</v>
      </c>
      <c r="F76" s="177">
        <v>16.621399090000001</v>
      </c>
      <c r="G76" s="66">
        <v>97649</v>
      </c>
      <c r="H76" s="5"/>
      <c r="I76" s="177">
        <v>17.502492029999999</v>
      </c>
      <c r="J76" s="66">
        <v>150279</v>
      </c>
      <c r="K76" s="177">
        <v>16.741276719999998</v>
      </c>
      <c r="L76" s="66">
        <v>21007</v>
      </c>
      <c r="N76" s="72"/>
    </row>
    <row r="77" spans="1:14">
      <c r="A77" s="20">
        <f t="shared" si="1"/>
        <v>4</v>
      </c>
      <c r="B77" s="125" t="s">
        <v>402</v>
      </c>
      <c r="C77" s="66">
        <v>2009</v>
      </c>
      <c r="D77" s="177">
        <v>18.507641110000002</v>
      </c>
      <c r="E77" s="66">
        <v>63407</v>
      </c>
      <c r="F77" s="177">
        <v>17.021739620000002</v>
      </c>
      <c r="G77" s="66">
        <v>88042</v>
      </c>
      <c r="H77" s="5"/>
      <c r="I77" s="177">
        <v>17.732846460000001</v>
      </c>
      <c r="J77" s="66">
        <v>131999</v>
      </c>
      <c r="K77" s="177">
        <v>17.040261210000001</v>
      </c>
      <c r="L77" s="66">
        <v>19448</v>
      </c>
      <c r="N77" s="72"/>
    </row>
    <row r="78" spans="1:14">
      <c r="A78" s="20">
        <f t="shared" si="1"/>
        <v>4</v>
      </c>
      <c r="B78" s="125" t="s">
        <v>402</v>
      </c>
      <c r="C78" s="66">
        <v>2010</v>
      </c>
      <c r="D78" s="177">
        <v>18.810017970000001</v>
      </c>
      <c r="E78" s="66">
        <v>61769</v>
      </c>
      <c r="F78" s="177">
        <v>17.482419459999999</v>
      </c>
      <c r="G78" s="66">
        <v>88251</v>
      </c>
      <c r="H78" s="5"/>
      <c r="I78" s="177">
        <v>18.100552799999999</v>
      </c>
      <c r="J78" s="66">
        <v>129703</v>
      </c>
      <c r="K78" s="177">
        <v>17.572525469999999</v>
      </c>
      <c r="L78" s="66">
        <v>20317</v>
      </c>
      <c r="N78" s="72"/>
    </row>
    <row r="79" spans="1:14">
      <c r="A79" s="20">
        <f t="shared" si="1"/>
        <v>4</v>
      </c>
      <c r="B79" s="125" t="s">
        <v>402</v>
      </c>
      <c r="C79" s="66">
        <v>2011</v>
      </c>
      <c r="D79" s="177">
        <v>18.761194249999999</v>
      </c>
      <c r="E79" s="66">
        <v>68294</v>
      </c>
      <c r="F79" s="177">
        <v>17.934778649999998</v>
      </c>
      <c r="G79" s="66">
        <v>104406</v>
      </c>
      <c r="H79" s="5"/>
      <c r="I79" s="177">
        <v>18.30109526</v>
      </c>
      <c r="J79" s="66">
        <v>148732</v>
      </c>
      <c r="K79" s="177">
        <v>18.015688239999999</v>
      </c>
      <c r="L79" s="66">
        <v>23967</v>
      </c>
      <c r="N79" s="72"/>
    </row>
    <row r="80" spans="1:14">
      <c r="A80" s="20">
        <f t="shared" si="1"/>
        <v>4</v>
      </c>
      <c r="B80" s="125" t="s">
        <v>402</v>
      </c>
      <c r="C80" s="66">
        <v>2012</v>
      </c>
      <c r="D80" s="177">
        <v>18.982643679999999</v>
      </c>
      <c r="E80" s="66">
        <v>52949</v>
      </c>
      <c r="F80" s="177">
        <v>18.44920565</v>
      </c>
      <c r="G80" s="66">
        <v>81702</v>
      </c>
      <c r="H80" s="5"/>
      <c r="I80" s="177">
        <v>18.695995580000002</v>
      </c>
      <c r="J80" s="66">
        <v>115722</v>
      </c>
      <c r="K80" s="177">
        <v>18.432715170000002</v>
      </c>
      <c r="L80" s="66">
        <v>18927</v>
      </c>
      <c r="N80" s="72"/>
    </row>
    <row r="81" spans="1:14">
      <c r="A81" s="20">
        <f t="shared" si="1"/>
        <v>4</v>
      </c>
      <c r="B81" s="125" t="s">
        <v>402</v>
      </c>
      <c r="C81" s="66">
        <v>2013</v>
      </c>
      <c r="D81" s="177">
        <v>18.799069750000001</v>
      </c>
      <c r="E81" s="66">
        <v>52889</v>
      </c>
      <c r="F81" s="177">
        <v>18.800870230000001</v>
      </c>
      <c r="G81" s="66">
        <v>85035</v>
      </c>
      <c r="H81" s="5"/>
      <c r="I81" s="177">
        <v>18.817659079999999</v>
      </c>
      <c r="J81" s="66">
        <v>120346</v>
      </c>
      <c r="K81" s="177">
        <v>18.681458719999998</v>
      </c>
      <c r="L81" s="66">
        <v>17577</v>
      </c>
      <c r="N81" s="72"/>
    </row>
    <row r="82" spans="1:14">
      <c r="A82" s="20">
        <f t="shared" si="1"/>
        <v>4</v>
      </c>
      <c r="B82" s="125" t="s">
        <v>402</v>
      </c>
      <c r="C82" s="66">
        <v>2014</v>
      </c>
      <c r="D82" s="177">
        <v>19.007182960000002</v>
      </c>
      <c r="E82" s="66">
        <v>54504</v>
      </c>
      <c r="F82" s="177">
        <v>19.128100740000001</v>
      </c>
      <c r="G82" s="66">
        <v>89898</v>
      </c>
      <c r="H82" s="5"/>
      <c r="I82" s="177">
        <v>19.096644860000001</v>
      </c>
      <c r="J82" s="66">
        <v>127327</v>
      </c>
      <c r="K82" s="177">
        <v>18.976338290000001</v>
      </c>
      <c r="L82" s="66">
        <v>17074</v>
      </c>
      <c r="N82" s="72"/>
    </row>
    <row r="83" spans="1:14">
      <c r="A83" s="20">
        <f t="shared" si="1"/>
        <v>4</v>
      </c>
      <c r="B83" s="125" t="s">
        <v>402</v>
      </c>
      <c r="C83" s="66">
        <v>2015</v>
      </c>
      <c r="D83" s="177">
        <v>19.141844509999999</v>
      </c>
      <c r="E83" s="66">
        <v>59322</v>
      </c>
      <c r="F83" s="177">
        <v>19.449232779999999</v>
      </c>
      <c r="G83" s="66">
        <v>97169</v>
      </c>
      <c r="H83" s="5"/>
      <c r="I83" s="177">
        <v>19.351888840000001</v>
      </c>
      <c r="J83" s="66">
        <v>139186</v>
      </c>
      <c r="K83" s="177">
        <v>19.178986299999998</v>
      </c>
      <c r="L83" s="66">
        <v>17303</v>
      </c>
      <c r="N83" s="72"/>
    </row>
    <row r="84" spans="1:14">
      <c r="A84" s="20">
        <f t="shared" si="1"/>
        <v>4</v>
      </c>
      <c r="B84" s="125" t="s">
        <v>402</v>
      </c>
      <c r="C84" s="66">
        <v>2016</v>
      </c>
      <c r="D84" s="177">
        <v>19.21327513</v>
      </c>
      <c r="E84" s="66">
        <v>57039</v>
      </c>
      <c r="F84" s="177">
        <v>19.69410465</v>
      </c>
      <c r="G84" s="66">
        <v>95482</v>
      </c>
      <c r="H84" s="5"/>
      <c r="I84" s="177">
        <v>19.542526939999998</v>
      </c>
      <c r="J84" s="66">
        <v>136149</v>
      </c>
      <c r="K84" s="177">
        <v>19.29017666</v>
      </c>
      <c r="L84" s="66">
        <v>16359</v>
      </c>
      <c r="N84" s="72"/>
    </row>
    <row r="85" spans="1:14">
      <c r="A85" s="20">
        <f t="shared" si="1"/>
        <v>4</v>
      </c>
      <c r="B85" s="125" t="s">
        <v>402</v>
      </c>
      <c r="C85" s="66">
        <v>2017</v>
      </c>
      <c r="D85" s="177">
        <v>19.02726929</v>
      </c>
      <c r="E85" s="66">
        <v>66045</v>
      </c>
      <c r="F85" s="177">
        <v>19.778683340000001</v>
      </c>
      <c r="G85" s="66">
        <v>110552</v>
      </c>
      <c r="H85" s="5"/>
      <c r="I85" s="177">
        <v>19.539545489999998</v>
      </c>
      <c r="J85" s="66">
        <v>158324</v>
      </c>
      <c r="K85" s="177">
        <v>19.14966583</v>
      </c>
      <c r="L85" s="66">
        <v>18254</v>
      </c>
      <c r="N85" s="72"/>
    </row>
    <row r="86" spans="1:14">
      <c r="A86" s="20">
        <f t="shared" si="1"/>
        <v>4</v>
      </c>
      <c r="B86" s="125" t="s">
        <v>402</v>
      </c>
      <c r="C86" s="66">
        <v>2018</v>
      </c>
      <c r="D86" s="177">
        <v>18.938145330000001</v>
      </c>
      <c r="E86" s="66">
        <v>72250</v>
      </c>
      <c r="F86" s="177">
        <v>19.93828049</v>
      </c>
      <c r="G86" s="66">
        <v>122279</v>
      </c>
      <c r="H86" s="5"/>
      <c r="I86" s="177">
        <v>19.620334549999999</v>
      </c>
      <c r="J86" s="66">
        <v>173724</v>
      </c>
      <c r="K86" s="177">
        <v>19.143730739999999</v>
      </c>
      <c r="L86" s="66">
        <v>20768</v>
      </c>
      <c r="N86" s="72"/>
    </row>
    <row r="87" spans="1:14">
      <c r="A87" s="20">
        <f t="shared" si="1"/>
        <v>4</v>
      </c>
      <c r="B87" s="125" t="s">
        <v>402</v>
      </c>
      <c r="C87" s="66">
        <v>2019</v>
      </c>
      <c r="D87" s="177">
        <v>18.887356400000002</v>
      </c>
      <c r="E87" s="66">
        <v>74860</v>
      </c>
      <c r="F87" s="177">
        <v>20.077311680000001</v>
      </c>
      <c r="G87" s="66">
        <v>125104</v>
      </c>
      <c r="H87" s="5"/>
      <c r="I87" s="177">
        <v>19.6892867</v>
      </c>
      <c r="J87" s="66">
        <v>177947</v>
      </c>
      <c r="K87" s="177">
        <v>19.208637029999998</v>
      </c>
      <c r="L87" s="66">
        <v>21952</v>
      </c>
      <c r="N87" s="72"/>
    </row>
    <row r="88" spans="1:14">
      <c r="A88" s="20">
        <f t="shared" si="1"/>
        <v>4</v>
      </c>
      <c r="B88" s="125" t="s">
        <v>402</v>
      </c>
      <c r="C88" s="66">
        <v>2020</v>
      </c>
      <c r="D88" s="177">
        <v>18.745521740000001</v>
      </c>
      <c r="E88" s="66">
        <v>72517</v>
      </c>
      <c r="F88" s="177">
        <v>20.021987289999998</v>
      </c>
      <c r="G88" s="66">
        <v>120888</v>
      </c>
      <c r="H88" s="5"/>
      <c r="I88" s="177">
        <v>19.61895664</v>
      </c>
      <c r="J88" s="66">
        <v>172193</v>
      </c>
      <c r="K88" s="177">
        <v>18.981917159999998</v>
      </c>
      <c r="L88" s="66">
        <v>21125</v>
      </c>
      <c r="N88" s="72"/>
    </row>
    <row r="89" spans="1:14">
      <c r="A89" s="20">
        <f t="shared" si="1"/>
        <v>4</v>
      </c>
      <c r="B89" s="125" t="s">
        <v>402</v>
      </c>
      <c r="C89" s="66">
        <v>2021</v>
      </c>
      <c r="D89" s="177">
        <v>18.818678720000001</v>
      </c>
      <c r="E89" s="66">
        <v>74095</v>
      </c>
      <c r="F89" s="177">
        <v>20.061456589999999</v>
      </c>
      <c r="G89" s="66">
        <v>123453</v>
      </c>
      <c r="H89" s="5"/>
      <c r="I89" s="177">
        <v>19.663222099999999</v>
      </c>
      <c r="J89" s="66">
        <v>175929</v>
      </c>
      <c r="K89" s="177">
        <v>19.128399779999999</v>
      </c>
      <c r="L89" s="66">
        <v>21472</v>
      </c>
      <c r="N89" s="72"/>
    </row>
    <row r="90" spans="1:14">
      <c r="B90" s="125" t="s">
        <v>402</v>
      </c>
      <c r="C90" s="66">
        <v>2022</v>
      </c>
      <c r="D90" s="177">
        <v>18.632602129999999</v>
      </c>
      <c r="E90" s="66">
        <v>72529</v>
      </c>
      <c r="F90" s="177">
        <v>20.052700179999999</v>
      </c>
      <c r="G90" s="66">
        <v>121214</v>
      </c>
      <c r="H90" s="5"/>
      <c r="I90" s="177">
        <v>19.65359496</v>
      </c>
      <c r="J90" s="66">
        <v>171796</v>
      </c>
      <c r="K90" s="177">
        <v>18.594580919999999</v>
      </c>
      <c r="L90" s="66">
        <v>21738</v>
      </c>
      <c r="N90" s="72"/>
    </row>
    <row r="91" spans="1:14">
      <c r="A91" s="20">
        <f>IF(B91=B89, A89, A89+1)</f>
        <v>5</v>
      </c>
      <c r="B91" s="125" t="s">
        <v>403</v>
      </c>
      <c r="C91" s="66">
        <v>2001</v>
      </c>
      <c r="D91" s="177">
        <v>13.842975210000001</v>
      </c>
      <c r="E91" s="66">
        <v>3509</v>
      </c>
      <c r="F91" s="177">
        <v>17.384357009999999</v>
      </c>
      <c r="G91" s="66">
        <v>2084</v>
      </c>
      <c r="H91" s="5"/>
      <c r="I91" s="177">
        <v>15.162524579999999</v>
      </c>
      <c r="J91" s="66">
        <v>5593</v>
      </c>
      <c r="K91" s="177">
        <v>0</v>
      </c>
      <c r="L91" s="66">
        <v>0</v>
      </c>
      <c r="N91" s="72"/>
    </row>
    <row r="92" spans="1:14">
      <c r="A92" s="20">
        <f t="shared" si="1"/>
        <v>5</v>
      </c>
      <c r="B92" s="125" t="s">
        <v>403</v>
      </c>
      <c r="C92" s="66">
        <v>2002</v>
      </c>
      <c r="D92" s="177">
        <v>14.61864407</v>
      </c>
      <c r="E92" s="66">
        <v>3127</v>
      </c>
      <c r="F92" s="177">
        <v>17.880705389999999</v>
      </c>
      <c r="G92" s="66">
        <v>1928</v>
      </c>
      <c r="H92" s="5"/>
      <c r="I92" s="177">
        <v>15.8628091</v>
      </c>
      <c r="J92" s="66">
        <v>5055</v>
      </c>
      <c r="K92" s="177">
        <v>0</v>
      </c>
      <c r="L92" s="66">
        <v>0</v>
      </c>
      <c r="N92" s="72"/>
    </row>
    <row r="93" spans="1:14">
      <c r="A93" s="20">
        <f t="shared" si="1"/>
        <v>5</v>
      </c>
      <c r="B93" s="125" t="s">
        <v>403</v>
      </c>
      <c r="C93" s="66">
        <v>2003</v>
      </c>
      <c r="D93" s="177">
        <v>14.55331793</v>
      </c>
      <c r="E93" s="66">
        <v>3029</v>
      </c>
      <c r="F93" s="177">
        <v>17.74122367</v>
      </c>
      <c r="G93" s="66">
        <v>1994</v>
      </c>
      <c r="H93" s="5"/>
      <c r="I93" s="177">
        <v>15.83692185</v>
      </c>
      <c r="J93" s="66">
        <v>5016</v>
      </c>
      <c r="K93" s="177">
        <v>0</v>
      </c>
      <c r="L93" s="66">
        <v>0</v>
      </c>
      <c r="N93" s="72"/>
    </row>
    <row r="94" spans="1:14">
      <c r="A94" s="20">
        <f t="shared" si="1"/>
        <v>5</v>
      </c>
      <c r="B94" s="125" t="s">
        <v>403</v>
      </c>
      <c r="C94" s="66">
        <v>2004</v>
      </c>
      <c r="D94" s="177">
        <v>14.50807985</v>
      </c>
      <c r="E94" s="66">
        <v>3156</v>
      </c>
      <c r="F94" s="177">
        <v>18.65221932</v>
      </c>
      <c r="G94" s="66">
        <v>1915</v>
      </c>
      <c r="H94" s="5"/>
      <c r="I94" s="177">
        <v>16.07881239</v>
      </c>
      <c r="J94" s="66">
        <v>5069</v>
      </c>
      <c r="K94" s="177">
        <v>0</v>
      </c>
      <c r="L94" s="66">
        <v>0</v>
      </c>
      <c r="N94" s="72"/>
    </row>
    <row r="95" spans="1:14">
      <c r="A95" s="20">
        <f t="shared" si="1"/>
        <v>5</v>
      </c>
      <c r="B95" s="125" t="s">
        <v>403</v>
      </c>
      <c r="C95" s="66">
        <v>2005</v>
      </c>
      <c r="D95" s="177">
        <v>12.99285946</v>
      </c>
      <c r="E95" s="66">
        <v>3081</v>
      </c>
      <c r="F95" s="177">
        <v>18.844818230000001</v>
      </c>
      <c r="G95" s="66">
        <v>1843</v>
      </c>
      <c r="H95" s="5"/>
      <c r="I95" s="177">
        <v>15.23771662</v>
      </c>
      <c r="J95" s="66">
        <v>4905</v>
      </c>
      <c r="K95" s="177">
        <v>0</v>
      </c>
      <c r="L95" s="66">
        <v>0</v>
      </c>
      <c r="N95" s="72"/>
    </row>
    <row r="96" spans="1:14">
      <c r="A96" s="20">
        <f t="shared" si="1"/>
        <v>5</v>
      </c>
      <c r="B96" s="125" t="s">
        <v>403</v>
      </c>
      <c r="C96" s="66">
        <v>2006</v>
      </c>
      <c r="D96" s="177">
        <v>9.8302204930000006</v>
      </c>
      <c r="E96" s="66">
        <v>3855</v>
      </c>
      <c r="F96" s="177">
        <v>18.58239399</v>
      </c>
      <c r="G96" s="66">
        <v>1863</v>
      </c>
      <c r="H96" s="5"/>
      <c r="I96" s="177">
        <v>12.709063820000001</v>
      </c>
      <c r="J96" s="66">
        <v>5704</v>
      </c>
      <c r="K96" s="177">
        <v>0</v>
      </c>
      <c r="L96" s="66">
        <v>0</v>
      </c>
      <c r="N96" s="72"/>
    </row>
    <row r="97" spans="1:14">
      <c r="A97" s="20">
        <f t="shared" si="1"/>
        <v>5</v>
      </c>
      <c r="B97" s="125" t="s">
        <v>403</v>
      </c>
      <c r="C97" s="66">
        <v>2007</v>
      </c>
      <c r="D97" s="177">
        <v>9.6114219110000008</v>
      </c>
      <c r="E97" s="66">
        <v>4290</v>
      </c>
      <c r="F97" s="177">
        <v>19.03684749</v>
      </c>
      <c r="G97" s="66">
        <v>1954</v>
      </c>
      <c r="H97" s="5"/>
      <c r="I97" s="177">
        <v>12.62616822</v>
      </c>
      <c r="J97" s="66">
        <v>6206</v>
      </c>
      <c r="K97" s="177">
        <v>0</v>
      </c>
      <c r="L97" s="66">
        <v>0</v>
      </c>
      <c r="N97" s="72"/>
    </row>
    <row r="98" spans="1:14">
      <c r="A98" s="20">
        <f t="shared" si="1"/>
        <v>5</v>
      </c>
      <c r="B98" s="125" t="s">
        <v>403</v>
      </c>
      <c r="C98" s="66">
        <v>2008</v>
      </c>
      <c r="D98" s="177">
        <v>9.1862464179999996</v>
      </c>
      <c r="E98" s="66">
        <v>4537</v>
      </c>
      <c r="F98" s="177">
        <v>18.699949320000002</v>
      </c>
      <c r="G98" s="66">
        <v>1973</v>
      </c>
      <c r="H98" s="5"/>
      <c r="I98" s="177">
        <v>12.13139589</v>
      </c>
      <c r="J98" s="66">
        <v>6469</v>
      </c>
      <c r="K98" s="177">
        <v>0</v>
      </c>
      <c r="L98" s="66">
        <v>0</v>
      </c>
      <c r="N98" s="72"/>
    </row>
    <row r="99" spans="1:14">
      <c r="A99" s="20">
        <f t="shared" si="1"/>
        <v>5</v>
      </c>
      <c r="B99" s="125" t="s">
        <v>403</v>
      </c>
      <c r="C99" s="66">
        <v>2009</v>
      </c>
      <c r="D99" s="177">
        <v>8.5781311349999996</v>
      </c>
      <c r="E99" s="66">
        <v>5094</v>
      </c>
      <c r="F99" s="177">
        <v>19.317574019999999</v>
      </c>
      <c r="G99" s="66">
        <v>2094</v>
      </c>
      <c r="H99" s="5"/>
      <c r="I99" s="177">
        <v>11.779632489999999</v>
      </c>
      <c r="J99" s="66">
        <v>7129</v>
      </c>
      <c r="K99" s="177">
        <v>0</v>
      </c>
      <c r="L99" s="66">
        <v>0</v>
      </c>
      <c r="N99" s="72"/>
    </row>
    <row r="100" spans="1:14">
      <c r="A100" s="20">
        <f t="shared" si="1"/>
        <v>5</v>
      </c>
      <c r="B100" s="125" t="s">
        <v>403</v>
      </c>
      <c r="C100" s="66">
        <v>2010</v>
      </c>
      <c r="D100" s="177">
        <v>9.1828602620000002</v>
      </c>
      <c r="E100" s="66">
        <v>5496</v>
      </c>
      <c r="F100" s="177">
        <v>19.462616820000001</v>
      </c>
      <c r="G100" s="66">
        <v>2354</v>
      </c>
      <c r="H100" s="5"/>
      <c r="I100" s="177">
        <v>12.320261439999999</v>
      </c>
      <c r="J100" s="66">
        <v>7803</v>
      </c>
      <c r="K100" s="177">
        <v>0</v>
      </c>
      <c r="L100" s="66">
        <v>0</v>
      </c>
      <c r="N100" s="72"/>
    </row>
    <row r="101" spans="1:14">
      <c r="A101" s="20">
        <f t="shared" si="1"/>
        <v>5</v>
      </c>
      <c r="B101" s="125" t="s">
        <v>403</v>
      </c>
      <c r="C101" s="66">
        <v>2011</v>
      </c>
      <c r="D101" s="177">
        <v>8.9102240449999996</v>
      </c>
      <c r="E101" s="66">
        <v>6338</v>
      </c>
      <c r="F101" s="177">
        <v>19.096512570000002</v>
      </c>
      <c r="G101" s="66">
        <v>2466</v>
      </c>
      <c r="H101" s="5"/>
      <c r="I101" s="177">
        <v>11.81021481</v>
      </c>
      <c r="J101" s="66">
        <v>8752</v>
      </c>
      <c r="K101" s="177">
        <v>0</v>
      </c>
      <c r="L101" s="66">
        <v>0</v>
      </c>
      <c r="N101" s="72"/>
    </row>
    <row r="102" spans="1:14">
      <c r="A102" s="20">
        <f t="shared" si="1"/>
        <v>5</v>
      </c>
      <c r="B102" s="125" t="s">
        <v>403</v>
      </c>
      <c r="C102" s="66">
        <v>2012</v>
      </c>
      <c r="D102" s="177">
        <v>9.7555396709999993</v>
      </c>
      <c r="E102" s="66">
        <v>4197</v>
      </c>
      <c r="F102" s="177">
        <v>20.131644009999999</v>
      </c>
      <c r="G102" s="66">
        <v>1618</v>
      </c>
      <c r="H102" s="5"/>
      <c r="I102" s="177">
        <v>12.68413769</v>
      </c>
      <c r="J102" s="66">
        <v>5781</v>
      </c>
      <c r="K102" s="177">
        <v>0</v>
      </c>
      <c r="L102" s="66">
        <v>0</v>
      </c>
      <c r="N102" s="72"/>
    </row>
    <row r="103" spans="1:14">
      <c r="A103" s="20">
        <f t="shared" si="1"/>
        <v>5</v>
      </c>
      <c r="B103" s="125" t="s">
        <v>403</v>
      </c>
      <c r="C103" s="66">
        <v>2013</v>
      </c>
      <c r="D103" s="177">
        <v>9.6301432140000003</v>
      </c>
      <c r="E103" s="66">
        <v>4399</v>
      </c>
      <c r="F103" s="177">
        <v>19.407291010000002</v>
      </c>
      <c r="G103" s="66">
        <v>1591</v>
      </c>
      <c r="H103" s="5"/>
      <c r="I103" s="177">
        <v>12.248282789999999</v>
      </c>
      <c r="J103" s="66">
        <v>5969</v>
      </c>
      <c r="K103" s="177">
        <v>0</v>
      </c>
      <c r="L103" s="66">
        <v>0</v>
      </c>
      <c r="N103" s="72"/>
    </row>
    <row r="104" spans="1:14">
      <c r="A104" s="20">
        <f t="shared" si="1"/>
        <v>5</v>
      </c>
      <c r="B104" s="125" t="s">
        <v>403</v>
      </c>
      <c r="C104" s="66">
        <v>2014</v>
      </c>
      <c r="D104" s="177">
        <v>9.5732788000000006</v>
      </c>
      <c r="E104" s="66">
        <v>4401</v>
      </c>
      <c r="F104" s="177">
        <v>19.217275749999999</v>
      </c>
      <c r="G104" s="66">
        <v>1505</v>
      </c>
      <c r="H104" s="5"/>
      <c r="I104" s="177">
        <v>12.079167379999999</v>
      </c>
      <c r="J104" s="66">
        <v>5861</v>
      </c>
      <c r="K104" s="177">
        <v>0</v>
      </c>
      <c r="L104" s="66">
        <v>0</v>
      </c>
      <c r="N104" s="72"/>
    </row>
    <row r="105" spans="1:14">
      <c r="A105" s="20">
        <f t="shared" si="1"/>
        <v>5</v>
      </c>
      <c r="B105" s="125" t="s">
        <v>403</v>
      </c>
      <c r="C105" s="66">
        <v>2015</v>
      </c>
      <c r="D105" s="177">
        <v>10.462092419999999</v>
      </c>
      <c r="E105" s="66">
        <v>4999</v>
      </c>
      <c r="F105" s="177">
        <v>19.986864650000001</v>
      </c>
      <c r="G105" s="66">
        <v>1751</v>
      </c>
      <c r="H105" s="5"/>
      <c r="I105" s="177">
        <v>12.947876450000001</v>
      </c>
      <c r="J105" s="66">
        <v>6734</v>
      </c>
      <c r="K105" s="177">
        <v>0</v>
      </c>
      <c r="L105" s="66">
        <v>0</v>
      </c>
      <c r="N105" s="72"/>
    </row>
    <row r="106" spans="1:14">
      <c r="A106" s="20">
        <f t="shared" si="1"/>
        <v>5</v>
      </c>
      <c r="B106" s="125" t="s">
        <v>403</v>
      </c>
      <c r="C106" s="66">
        <v>2016</v>
      </c>
      <c r="D106" s="177">
        <v>10.525935459999999</v>
      </c>
      <c r="E106" s="66">
        <v>5051</v>
      </c>
      <c r="F106" s="177">
        <v>21.048166389999999</v>
      </c>
      <c r="G106" s="66">
        <v>1827</v>
      </c>
      <c r="H106" s="5"/>
      <c r="I106" s="177">
        <v>13.33787923</v>
      </c>
      <c r="J106" s="66">
        <v>6856</v>
      </c>
      <c r="K106" s="177">
        <v>0</v>
      </c>
      <c r="L106" s="66">
        <v>0</v>
      </c>
      <c r="N106" s="72"/>
    </row>
    <row r="107" spans="1:14">
      <c r="A107" s="20">
        <f t="shared" si="1"/>
        <v>5</v>
      </c>
      <c r="B107" s="125" t="s">
        <v>403</v>
      </c>
      <c r="C107" s="66">
        <v>2017</v>
      </c>
      <c r="D107" s="177">
        <v>10.71746916</v>
      </c>
      <c r="E107" s="66">
        <v>5026</v>
      </c>
      <c r="F107" s="177">
        <v>20.339601139999999</v>
      </c>
      <c r="G107" s="66">
        <v>1755</v>
      </c>
      <c r="H107" s="5"/>
      <c r="I107" s="177">
        <v>13.22360248</v>
      </c>
      <c r="J107" s="66">
        <v>6762</v>
      </c>
      <c r="K107" s="177">
        <v>0</v>
      </c>
      <c r="L107" s="66">
        <v>0</v>
      </c>
      <c r="N107" s="72"/>
    </row>
    <row r="108" spans="1:14">
      <c r="A108" s="20">
        <f t="shared" si="1"/>
        <v>5</v>
      </c>
      <c r="B108" s="125" t="s">
        <v>403</v>
      </c>
      <c r="C108" s="66">
        <v>2018</v>
      </c>
      <c r="D108" s="177">
        <v>10.77170714</v>
      </c>
      <c r="E108" s="66">
        <v>5436</v>
      </c>
      <c r="F108" s="177">
        <v>19.945887450000001</v>
      </c>
      <c r="G108" s="66">
        <v>1848</v>
      </c>
      <c r="H108" s="5"/>
      <c r="I108" s="177">
        <v>13.128725169999999</v>
      </c>
      <c r="J108" s="66">
        <v>7248</v>
      </c>
      <c r="K108" s="177">
        <v>8</v>
      </c>
      <c r="L108" s="66">
        <v>1</v>
      </c>
      <c r="N108" s="72"/>
    </row>
    <row r="109" spans="1:14">
      <c r="A109" s="20">
        <f t="shared" si="1"/>
        <v>5</v>
      </c>
      <c r="B109" s="125" t="s">
        <v>403</v>
      </c>
      <c r="C109" s="66">
        <v>2019</v>
      </c>
      <c r="D109" s="177">
        <v>10.884964289999999</v>
      </c>
      <c r="E109" s="66">
        <v>5181</v>
      </c>
      <c r="F109" s="177">
        <v>20.799768520000001</v>
      </c>
      <c r="G109" s="66">
        <v>1728</v>
      </c>
      <c r="H109" s="5"/>
      <c r="I109" s="177">
        <v>13.41258741</v>
      </c>
      <c r="J109" s="66">
        <v>6864</v>
      </c>
      <c r="K109" s="177">
        <v>0</v>
      </c>
      <c r="L109" s="66">
        <v>0</v>
      </c>
      <c r="N109" s="72"/>
    </row>
    <row r="110" spans="1:14">
      <c r="A110" s="20">
        <f t="shared" si="1"/>
        <v>5</v>
      </c>
      <c r="B110" s="125" t="s">
        <v>403</v>
      </c>
      <c r="C110" s="66">
        <v>2020</v>
      </c>
      <c r="D110" s="177">
        <v>11.02354032</v>
      </c>
      <c r="E110" s="66">
        <v>5395</v>
      </c>
      <c r="F110" s="177">
        <v>21.54716981</v>
      </c>
      <c r="G110" s="66">
        <v>1696</v>
      </c>
      <c r="H110" s="5"/>
      <c r="I110" s="177">
        <v>13.61410493</v>
      </c>
      <c r="J110" s="66">
        <v>7033</v>
      </c>
      <c r="K110" s="177">
        <v>13</v>
      </c>
      <c r="L110" s="66">
        <v>1</v>
      </c>
      <c r="N110" s="72"/>
    </row>
    <row r="111" spans="1:14">
      <c r="A111" s="20">
        <f t="shared" si="1"/>
        <v>5</v>
      </c>
      <c r="B111" s="125" t="s">
        <v>403</v>
      </c>
      <c r="C111" s="66">
        <v>2021</v>
      </c>
      <c r="D111" s="177">
        <v>10.917513749999999</v>
      </c>
      <c r="E111" s="66">
        <v>6001</v>
      </c>
      <c r="F111" s="177">
        <v>20.277568590000001</v>
      </c>
      <c r="G111" s="66">
        <v>1859</v>
      </c>
      <c r="H111" s="5"/>
      <c r="I111" s="177">
        <v>13.22910774</v>
      </c>
      <c r="J111" s="66">
        <v>7778</v>
      </c>
      <c r="K111" s="177">
        <v>3</v>
      </c>
      <c r="L111" s="66">
        <v>1</v>
      </c>
      <c r="N111" s="72"/>
    </row>
    <row r="112" spans="1:14">
      <c r="B112" s="201" t="s">
        <v>403</v>
      </c>
      <c r="C112" s="196">
        <v>2022</v>
      </c>
      <c r="D112" s="202">
        <v>11.16608315</v>
      </c>
      <c r="E112" s="196">
        <v>6855</v>
      </c>
      <c r="F112" s="202">
        <v>21.25784157</v>
      </c>
      <c r="G112" s="196">
        <v>1881</v>
      </c>
      <c r="H112" s="5"/>
      <c r="I112" s="202">
        <v>13.54921766</v>
      </c>
      <c r="J112" s="196">
        <v>8564</v>
      </c>
      <c r="K112" s="202">
        <v>0</v>
      </c>
      <c r="L112" s="196">
        <v>0</v>
      </c>
      <c r="N112" s="72"/>
    </row>
    <row r="113" spans="1:14">
      <c r="A113" s="20">
        <f>IF(B113=B111, A111, A111+1)</f>
        <v>6</v>
      </c>
      <c r="B113" s="125" t="s">
        <v>404</v>
      </c>
      <c r="C113" s="66">
        <v>2001</v>
      </c>
      <c r="D113" s="177">
        <v>17.71653543</v>
      </c>
      <c r="E113" s="66">
        <v>635</v>
      </c>
      <c r="F113" s="177">
        <v>21.725333330000002</v>
      </c>
      <c r="G113" s="66">
        <v>375</v>
      </c>
      <c r="H113" s="5"/>
      <c r="I113" s="177">
        <v>30.031007750000001</v>
      </c>
      <c r="J113" s="66">
        <v>129</v>
      </c>
      <c r="K113" s="177">
        <v>17.633979480000001</v>
      </c>
      <c r="L113" s="66">
        <v>877</v>
      </c>
      <c r="N113" s="72"/>
    </row>
    <row r="114" spans="1:14">
      <c r="A114" s="20">
        <f t="shared" si="1"/>
        <v>6</v>
      </c>
      <c r="B114" s="125" t="s">
        <v>404</v>
      </c>
      <c r="C114" s="66">
        <v>2002</v>
      </c>
      <c r="D114" s="177">
        <v>16.205442179999999</v>
      </c>
      <c r="E114" s="66">
        <v>735</v>
      </c>
      <c r="F114" s="177">
        <v>21.46648794</v>
      </c>
      <c r="G114" s="66">
        <v>373</v>
      </c>
      <c r="H114" s="5"/>
      <c r="I114" s="177">
        <v>31.066115700000001</v>
      </c>
      <c r="J114" s="66">
        <v>121</v>
      </c>
      <c r="K114" s="177">
        <v>16.378296150000001</v>
      </c>
      <c r="L114" s="66">
        <v>986</v>
      </c>
      <c r="N114" s="72"/>
    </row>
    <row r="115" spans="1:14">
      <c r="A115" s="20">
        <f t="shared" si="1"/>
        <v>6</v>
      </c>
      <c r="B115" s="125" t="s">
        <v>404</v>
      </c>
      <c r="C115" s="66">
        <v>2003</v>
      </c>
      <c r="D115" s="177">
        <v>15.54494382</v>
      </c>
      <c r="E115" s="66">
        <v>712</v>
      </c>
      <c r="F115" s="177">
        <v>22.876993169999999</v>
      </c>
      <c r="G115" s="66">
        <v>439</v>
      </c>
      <c r="H115" s="5"/>
      <c r="I115" s="177">
        <v>33.453125</v>
      </c>
      <c r="J115" s="66">
        <v>128</v>
      </c>
      <c r="K115" s="177">
        <v>16.457925639999999</v>
      </c>
      <c r="L115" s="66">
        <v>1022</v>
      </c>
      <c r="N115" s="72"/>
    </row>
    <row r="116" spans="1:14">
      <c r="A116" s="20">
        <f t="shared" si="1"/>
        <v>6</v>
      </c>
      <c r="B116" s="125" t="s">
        <v>404</v>
      </c>
      <c r="C116" s="66">
        <v>2004</v>
      </c>
      <c r="D116" s="177">
        <v>14.545811520000001</v>
      </c>
      <c r="E116" s="66">
        <v>764</v>
      </c>
      <c r="F116" s="177">
        <v>22.702819959999999</v>
      </c>
      <c r="G116" s="66">
        <v>461</v>
      </c>
      <c r="H116" s="5"/>
      <c r="I116" s="177">
        <v>31.584507039999998</v>
      </c>
      <c r="J116" s="66">
        <v>142</v>
      </c>
      <c r="K116" s="177">
        <v>15.791859390000001</v>
      </c>
      <c r="L116" s="66">
        <v>1081</v>
      </c>
      <c r="N116" s="72"/>
    </row>
    <row r="117" spans="1:14">
      <c r="A117" s="20">
        <f t="shared" si="1"/>
        <v>6</v>
      </c>
      <c r="B117" s="125" t="s">
        <v>404</v>
      </c>
      <c r="C117" s="66">
        <v>2005</v>
      </c>
      <c r="D117" s="177">
        <v>14.513513509999999</v>
      </c>
      <c r="E117" s="66">
        <v>851</v>
      </c>
      <c r="F117" s="177">
        <v>21.939637829999999</v>
      </c>
      <c r="G117" s="66">
        <v>497</v>
      </c>
      <c r="H117" s="5"/>
      <c r="I117" s="177">
        <v>34.181102359999997</v>
      </c>
      <c r="J117" s="66">
        <v>127</v>
      </c>
      <c r="K117" s="177">
        <v>15.49058149</v>
      </c>
      <c r="L117" s="66">
        <v>1221</v>
      </c>
      <c r="N117" s="72"/>
    </row>
    <row r="118" spans="1:14">
      <c r="A118" s="20">
        <f t="shared" si="1"/>
        <v>6</v>
      </c>
      <c r="B118" s="125" t="s">
        <v>404</v>
      </c>
      <c r="C118" s="66">
        <v>2006</v>
      </c>
      <c r="D118" s="177">
        <v>14.031063319999999</v>
      </c>
      <c r="E118" s="66">
        <v>837</v>
      </c>
      <c r="F118" s="177">
        <v>20.876050419999999</v>
      </c>
      <c r="G118" s="66">
        <v>476</v>
      </c>
      <c r="H118" s="5"/>
      <c r="I118" s="177">
        <v>31.76923077</v>
      </c>
      <c r="J118" s="66">
        <v>104</v>
      </c>
      <c r="K118" s="177">
        <v>15.196192050000001</v>
      </c>
      <c r="L118" s="66">
        <v>1208</v>
      </c>
      <c r="N118" s="72"/>
    </row>
    <row r="119" spans="1:14">
      <c r="A119" s="20">
        <f t="shared" si="1"/>
        <v>6</v>
      </c>
      <c r="B119" s="125" t="s">
        <v>404</v>
      </c>
      <c r="C119" s="66">
        <v>2007</v>
      </c>
      <c r="D119" s="177">
        <v>13.415770609999999</v>
      </c>
      <c r="E119" s="66">
        <v>837</v>
      </c>
      <c r="F119" s="177">
        <v>22.818652849999999</v>
      </c>
      <c r="G119" s="66">
        <v>386</v>
      </c>
      <c r="H119" s="5"/>
      <c r="I119" s="177">
        <v>35.152380950000001</v>
      </c>
      <c r="J119" s="66">
        <v>105</v>
      </c>
      <c r="K119" s="177">
        <v>14.62075134</v>
      </c>
      <c r="L119" s="66">
        <v>1118</v>
      </c>
      <c r="N119" s="72"/>
    </row>
    <row r="120" spans="1:14">
      <c r="A120" s="20">
        <f t="shared" si="1"/>
        <v>6</v>
      </c>
      <c r="B120" s="125" t="s">
        <v>404</v>
      </c>
      <c r="C120" s="66">
        <v>2008</v>
      </c>
      <c r="D120" s="177">
        <v>14.257668710000001</v>
      </c>
      <c r="E120" s="66">
        <v>815</v>
      </c>
      <c r="F120" s="177">
        <v>22.5106383</v>
      </c>
      <c r="G120" s="66">
        <v>423</v>
      </c>
      <c r="H120" s="5"/>
      <c r="I120" s="177">
        <v>33.551724139999997</v>
      </c>
      <c r="J120" s="66">
        <v>116</v>
      </c>
      <c r="K120" s="177">
        <v>15.377341660000001</v>
      </c>
      <c r="L120" s="66">
        <v>1121</v>
      </c>
      <c r="N120" s="72"/>
    </row>
    <row r="121" spans="1:14">
      <c r="A121" s="20">
        <f t="shared" si="1"/>
        <v>6</v>
      </c>
      <c r="B121" s="125" t="s">
        <v>404</v>
      </c>
      <c r="C121" s="66">
        <v>2009</v>
      </c>
      <c r="D121" s="177">
        <v>12.748773310000001</v>
      </c>
      <c r="E121" s="66">
        <v>1019</v>
      </c>
      <c r="F121" s="177">
        <v>23.541226219999999</v>
      </c>
      <c r="G121" s="66">
        <v>473</v>
      </c>
      <c r="H121" s="5"/>
      <c r="I121" s="177">
        <v>30.087837839999999</v>
      </c>
      <c r="J121" s="66">
        <v>148</v>
      </c>
      <c r="K121" s="177">
        <v>14.640029869999999</v>
      </c>
      <c r="L121" s="66">
        <v>1339</v>
      </c>
      <c r="N121" s="72"/>
    </row>
    <row r="122" spans="1:14">
      <c r="A122" s="20">
        <f t="shared" si="1"/>
        <v>6</v>
      </c>
      <c r="B122" s="125" t="s">
        <v>404</v>
      </c>
      <c r="C122" s="66">
        <v>2010</v>
      </c>
      <c r="D122" s="177">
        <v>13.355739399999999</v>
      </c>
      <c r="E122" s="66">
        <v>967</v>
      </c>
      <c r="F122" s="177">
        <v>24.174897120000001</v>
      </c>
      <c r="G122" s="66">
        <v>486</v>
      </c>
      <c r="H122" s="5"/>
      <c r="I122" s="177">
        <v>33.803030300000003</v>
      </c>
      <c r="J122" s="66">
        <v>132</v>
      </c>
      <c r="K122" s="177">
        <v>15.29590288</v>
      </c>
      <c r="L122" s="66">
        <v>1318</v>
      </c>
      <c r="N122" s="72"/>
    </row>
    <row r="123" spans="1:14">
      <c r="A123" s="20">
        <f t="shared" si="1"/>
        <v>6</v>
      </c>
      <c r="B123" s="125" t="s">
        <v>404</v>
      </c>
      <c r="C123" s="66">
        <v>2011</v>
      </c>
      <c r="D123" s="177">
        <v>13.495630459999999</v>
      </c>
      <c r="E123" s="66">
        <v>801</v>
      </c>
      <c r="F123" s="177">
        <v>24.77517564</v>
      </c>
      <c r="G123" s="66">
        <v>427</v>
      </c>
      <c r="H123" s="5"/>
      <c r="I123" s="177">
        <v>34.26363636</v>
      </c>
      <c r="J123" s="66">
        <v>110</v>
      </c>
      <c r="K123" s="177">
        <v>15.762757390000001</v>
      </c>
      <c r="L123" s="66">
        <v>1117</v>
      </c>
      <c r="N123" s="72"/>
    </row>
    <row r="124" spans="1:14">
      <c r="A124" s="20">
        <f t="shared" si="1"/>
        <v>6</v>
      </c>
      <c r="B124" s="125" t="s">
        <v>404</v>
      </c>
      <c r="C124" s="66">
        <v>2012</v>
      </c>
      <c r="D124" s="177">
        <v>14.641191709999999</v>
      </c>
      <c r="E124" s="66">
        <v>772</v>
      </c>
      <c r="F124" s="177">
        <v>24.618279569999999</v>
      </c>
      <c r="G124" s="66">
        <v>372</v>
      </c>
      <c r="H124" s="5"/>
      <c r="I124" s="177">
        <v>36.905263159999997</v>
      </c>
      <c r="J124" s="66">
        <v>95</v>
      </c>
      <c r="K124" s="177">
        <v>16.14708692</v>
      </c>
      <c r="L124" s="66">
        <v>1047</v>
      </c>
      <c r="N124" s="72"/>
    </row>
    <row r="125" spans="1:14">
      <c r="A125" s="20">
        <f t="shared" si="1"/>
        <v>6</v>
      </c>
      <c r="B125" s="125" t="s">
        <v>404</v>
      </c>
      <c r="C125" s="66">
        <v>2013</v>
      </c>
      <c r="D125" s="177">
        <v>13.88888889</v>
      </c>
      <c r="E125" s="66">
        <v>747</v>
      </c>
      <c r="F125" s="177">
        <v>24.679665740000001</v>
      </c>
      <c r="G125" s="66">
        <v>359</v>
      </c>
      <c r="H125" s="5"/>
      <c r="I125" s="177">
        <v>34.696629209999998</v>
      </c>
      <c r="J125" s="66">
        <v>89</v>
      </c>
      <c r="K125" s="177">
        <v>15.855314959999999</v>
      </c>
      <c r="L125" s="66">
        <v>1016</v>
      </c>
      <c r="N125" s="72"/>
    </row>
    <row r="126" spans="1:14">
      <c r="A126" s="20">
        <f t="shared" si="1"/>
        <v>6</v>
      </c>
      <c r="B126" s="125" t="s">
        <v>404</v>
      </c>
      <c r="C126" s="66">
        <v>2014</v>
      </c>
      <c r="D126" s="177">
        <v>13.22206506</v>
      </c>
      <c r="E126" s="66">
        <v>707</v>
      </c>
      <c r="F126" s="177">
        <v>24.343007920000002</v>
      </c>
      <c r="G126" s="66">
        <v>379</v>
      </c>
      <c r="H126" s="5"/>
      <c r="I126" s="177">
        <v>37.056338029999999</v>
      </c>
      <c r="J126" s="66">
        <v>71</v>
      </c>
      <c r="K126" s="177">
        <v>15.71696253</v>
      </c>
      <c r="L126" s="66">
        <v>1014</v>
      </c>
      <c r="N126" s="72"/>
    </row>
    <row r="127" spans="1:14">
      <c r="A127" s="20">
        <f t="shared" si="1"/>
        <v>6</v>
      </c>
      <c r="B127" s="125" t="s">
        <v>404</v>
      </c>
      <c r="C127" s="66">
        <v>2015</v>
      </c>
      <c r="D127" s="177">
        <v>12.440883980000001</v>
      </c>
      <c r="E127" s="66">
        <v>905</v>
      </c>
      <c r="F127" s="177">
        <v>23.86218487</v>
      </c>
      <c r="G127" s="66">
        <v>595</v>
      </c>
      <c r="H127" s="5"/>
      <c r="I127" s="177">
        <v>37.025210080000001</v>
      </c>
      <c r="J127" s="66">
        <v>119</v>
      </c>
      <c r="K127" s="177">
        <v>15.258720930000001</v>
      </c>
      <c r="L127" s="66">
        <v>1376</v>
      </c>
      <c r="N127" s="72"/>
    </row>
    <row r="128" spans="1:14">
      <c r="A128" s="20">
        <f t="shared" si="1"/>
        <v>6</v>
      </c>
      <c r="B128" s="125" t="s">
        <v>404</v>
      </c>
      <c r="C128" s="66">
        <v>2016</v>
      </c>
      <c r="D128" s="177">
        <v>11.902621720000001</v>
      </c>
      <c r="E128" s="66">
        <v>801</v>
      </c>
      <c r="F128" s="177">
        <v>25.682624109999999</v>
      </c>
      <c r="G128" s="66">
        <v>564</v>
      </c>
      <c r="H128" s="5"/>
      <c r="I128" s="177">
        <v>37.112149530000003</v>
      </c>
      <c r="J128" s="66">
        <v>107</v>
      </c>
      <c r="K128" s="177">
        <v>15.94347134</v>
      </c>
      <c r="L128" s="66">
        <v>1256</v>
      </c>
      <c r="N128" s="72"/>
    </row>
    <row r="129" spans="1:14">
      <c r="A129" s="20">
        <f t="shared" si="1"/>
        <v>6</v>
      </c>
      <c r="B129" s="125" t="s">
        <v>404</v>
      </c>
      <c r="C129" s="66">
        <v>2017</v>
      </c>
      <c r="D129" s="177">
        <v>9.9551692589999998</v>
      </c>
      <c r="E129" s="66">
        <v>1093</v>
      </c>
      <c r="F129" s="177">
        <v>24.968462550000002</v>
      </c>
      <c r="G129" s="66">
        <v>761</v>
      </c>
      <c r="H129" s="5"/>
      <c r="I129" s="177">
        <v>21.45414847</v>
      </c>
      <c r="J129" s="66">
        <v>229</v>
      </c>
      <c r="K129" s="177">
        <v>15.39579468</v>
      </c>
      <c r="L129" s="66">
        <v>1617</v>
      </c>
      <c r="N129" s="72"/>
    </row>
    <row r="130" spans="1:14">
      <c r="A130" s="20">
        <f t="shared" si="1"/>
        <v>6</v>
      </c>
      <c r="B130" s="125" t="s">
        <v>404</v>
      </c>
      <c r="C130" s="66">
        <v>2018</v>
      </c>
      <c r="D130" s="177">
        <v>10.3608156</v>
      </c>
      <c r="E130" s="66">
        <v>1128</v>
      </c>
      <c r="F130" s="177">
        <v>25.22262774</v>
      </c>
      <c r="G130" s="66">
        <v>822</v>
      </c>
      <c r="H130" s="5"/>
      <c r="I130" s="177">
        <v>33.4</v>
      </c>
      <c r="J130" s="66">
        <v>135</v>
      </c>
      <c r="K130" s="177">
        <v>15.385974600000001</v>
      </c>
      <c r="L130" s="66">
        <v>1811</v>
      </c>
      <c r="N130" s="72"/>
    </row>
    <row r="131" spans="1:14">
      <c r="A131" s="20">
        <f t="shared" si="1"/>
        <v>6</v>
      </c>
      <c r="B131" s="125" t="s">
        <v>404</v>
      </c>
      <c r="C131" s="66">
        <v>2019</v>
      </c>
      <c r="D131" s="177">
        <v>10.65093572</v>
      </c>
      <c r="E131" s="66">
        <v>1229</v>
      </c>
      <c r="F131" s="177">
        <v>24.46073298</v>
      </c>
      <c r="G131" s="66">
        <v>764</v>
      </c>
      <c r="H131" s="5"/>
      <c r="I131" s="177">
        <v>29.428571430000002</v>
      </c>
      <c r="J131" s="66">
        <v>140</v>
      </c>
      <c r="K131" s="177">
        <v>14.95400433</v>
      </c>
      <c r="L131" s="66">
        <v>1848</v>
      </c>
      <c r="N131" s="72"/>
    </row>
    <row r="132" spans="1:14">
      <c r="A132" s="20">
        <f t="shared" si="1"/>
        <v>6</v>
      </c>
      <c r="B132" s="125" t="s">
        <v>404</v>
      </c>
      <c r="C132" s="66">
        <v>2020</v>
      </c>
      <c r="D132" s="177">
        <v>9.9808306709999997</v>
      </c>
      <c r="E132" s="66">
        <v>1252</v>
      </c>
      <c r="F132" s="177">
        <v>26.19172932</v>
      </c>
      <c r="G132" s="66">
        <v>798</v>
      </c>
      <c r="H132" s="5"/>
      <c r="I132" s="177">
        <v>34.101449279999997</v>
      </c>
      <c r="J132" s="66">
        <v>138</v>
      </c>
      <c r="K132" s="177">
        <v>15.01990571</v>
      </c>
      <c r="L132" s="66">
        <v>1909</v>
      </c>
      <c r="N132" s="72"/>
    </row>
    <row r="133" spans="1:14">
      <c r="A133" s="20">
        <f t="shared" si="1"/>
        <v>6</v>
      </c>
      <c r="B133" s="125" t="s">
        <v>404</v>
      </c>
      <c r="C133" s="66">
        <v>2021</v>
      </c>
      <c r="D133" s="177">
        <v>10.63345455</v>
      </c>
      <c r="E133" s="66">
        <v>1375</v>
      </c>
      <c r="F133" s="177">
        <v>27.059031879999999</v>
      </c>
      <c r="G133" s="66">
        <v>847</v>
      </c>
      <c r="H133" s="5"/>
      <c r="I133" s="177">
        <v>35.564625849999999</v>
      </c>
      <c r="J133" s="66">
        <v>147</v>
      </c>
      <c r="K133" s="177">
        <v>15.60184287</v>
      </c>
      <c r="L133" s="66">
        <v>2062</v>
      </c>
      <c r="N133" s="72"/>
    </row>
    <row r="134" spans="1:14">
      <c r="B134" s="125" t="s">
        <v>404</v>
      </c>
      <c r="C134" s="66">
        <v>2022</v>
      </c>
      <c r="D134" s="177">
        <v>11.43881335</v>
      </c>
      <c r="E134" s="66">
        <v>809</v>
      </c>
      <c r="F134" s="177">
        <v>26.1981982</v>
      </c>
      <c r="G134" s="66">
        <v>555</v>
      </c>
      <c r="H134" s="5"/>
      <c r="I134" s="177">
        <v>35.97826087</v>
      </c>
      <c r="J134" s="66">
        <v>92</v>
      </c>
      <c r="K134" s="177">
        <v>16.115656959999999</v>
      </c>
      <c r="L134" s="66">
        <v>1271</v>
      </c>
      <c r="N134" s="72"/>
    </row>
    <row r="135" spans="1:14">
      <c r="A135" s="20">
        <f>IF(B135=B133, A133, A133+1)</f>
        <v>7</v>
      </c>
      <c r="B135" s="125" t="s">
        <v>405</v>
      </c>
      <c r="C135" s="66">
        <v>2001</v>
      </c>
      <c r="D135" s="177">
        <v>21.139199420000001</v>
      </c>
      <c r="E135" s="66">
        <v>2773</v>
      </c>
      <c r="F135" s="177">
        <v>15.92236842</v>
      </c>
      <c r="G135" s="66">
        <v>760</v>
      </c>
      <c r="H135" s="5"/>
      <c r="I135" s="177">
        <v>28.726775960000001</v>
      </c>
      <c r="J135" s="66">
        <v>549</v>
      </c>
      <c r="K135" s="177">
        <v>18.414544240000001</v>
      </c>
      <c r="L135" s="66">
        <v>2984</v>
      </c>
      <c r="N135" s="72"/>
    </row>
    <row r="136" spans="1:14">
      <c r="A136" s="20">
        <f t="shared" si="1"/>
        <v>7</v>
      </c>
      <c r="B136" s="125" t="s">
        <v>405</v>
      </c>
      <c r="C136" s="66">
        <v>2002</v>
      </c>
      <c r="D136" s="177">
        <v>22.07869693</v>
      </c>
      <c r="E136" s="66">
        <v>2732</v>
      </c>
      <c r="F136" s="177">
        <v>16.426666669999999</v>
      </c>
      <c r="G136" s="66">
        <v>825</v>
      </c>
      <c r="H136" s="5"/>
      <c r="I136" s="177">
        <v>29.846899229999998</v>
      </c>
      <c r="J136" s="66">
        <v>516</v>
      </c>
      <c r="K136" s="177">
        <v>19.227227890000002</v>
      </c>
      <c r="L136" s="66">
        <v>3041</v>
      </c>
      <c r="N136" s="72"/>
    </row>
    <row r="137" spans="1:14">
      <c r="A137" s="20">
        <f t="shared" si="1"/>
        <v>7</v>
      </c>
      <c r="B137" s="125" t="s">
        <v>405</v>
      </c>
      <c r="C137" s="66">
        <v>2003</v>
      </c>
      <c r="D137" s="177">
        <v>21.851033999999999</v>
      </c>
      <c r="E137" s="66">
        <v>2853</v>
      </c>
      <c r="F137" s="177">
        <v>16.75883576</v>
      </c>
      <c r="G137" s="66">
        <v>962</v>
      </c>
      <c r="H137" s="5"/>
      <c r="I137" s="177">
        <v>30.159737419999999</v>
      </c>
      <c r="J137" s="66">
        <v>457</v>
      </c>
      <c r="K137" s="177">
        <v>19.26146516</v>
      </c>
      <c r="L137" s="66">
        <v>3358</v>
      </c>
      <c r="N137" s="72"/>
    </row>
    <row r="138" spans="1:14">
      <c r="A138" s="20">
        <f t="shared" ref="A138:A202" si="2">IF(B138=B137, A137, A137+1)</f>
        <v>7</v>
      </c>
      <c r="B138" s="125" t="s">
        <v>405</v>
      </c>
      <c r="C138" s="66">
        <v>2004</v>
      </c>
      <c r="D138" s="177">
        <v>22.105561460000001</v>
      </c>
      <c r="E138" s="66">
        <v>2823</v>
      </c>
      <c r="F138" s="177">
        <v>17.180037309999999</v>
      </c>
      <c r="G138" s="66">
        <v>1072</v>
      </c>
      <c r="H138" s="5"/>
      <c r="I138" s="177">
        <v>31.708641979999999</v>
      </c>
      <c r="J138" s="66">
        <v>405</v>
      </c>
      <c r="K138" s="177">
        <v>19.478223499999999</v>
      </c>
      <c r="L138" s="66">
        <v>3490</v>
      </c>
      <c r="N138" s="72"/>
    </row>
    <row r="139" spans="1:14">
      <c r="A139" s="20">
        <f t="shared" si="2"/>
        <v>7</v>
      </c>
      <c r="B139" s="125" t="s">
        <v>405</v>
      </c>
      <c r="C139" s="66">
        <v>2005</v>
      </c>
      <c r="D139" s="177">
        <v>23.236868860000001</v>
      </c>
      <c r="E139" s="66">
        <v>2951</v>
      </c>
      <c r="F139" s="177">
        <v>17.549261080000001</v>
      </c>
      <c r="G139" s="66">
        <v>1218</v>
      </c>
      <c r="H139" s="5"/>
      <c r="I139" s="177">
        <v>32.635944700000003</v>
      </c>
      <c r="J139" s="66">
        <v>434</v>
      </c>
      <c r="K139" s="177">
        <v>20.289959840000002</v>
      </c>
      <c r="L139" s="66">
        <v>3735</v>
      </c>
      <c r="N139" s="72"/>
    </row>
    <row r="140" spans="1:14">
      <c r="A140" s="20">
        <f t="shared" si="2"/>
        <v>7</v>
      </c>
      <c r="B140" s="125" t="s">
        <v>405</v>
      </c>
      <c r="C140" s="66">
        <v>2006</v>
      </c>
      <c r="D140" s="177">
        <v>22.319098050000001</v>
      </c>
      <c r="E140" s="66">
        <v>2927</v>
      </c>
      <c r="F140" s="177">
        <v>17.720861169999999</v>
      </c>
      <c r="G140" s="66">
        <v>1347</v>
      </c>
      <c r="H140" s="5"/>
      <c r="I140" s="177">
        <v>32.254957509999997</v>
      </c>
      <c r="J140" s="66">
        <v>353</v>
      </c>
      <c r="K140" s="177">
        <v>19.844937519999998</v>
      </c>
      <c r="L140" s="66">
        <v>3921</v>
      </c>
      <c r="N140" s="72"/>
    </row>
    <row r="141" spans="1:14">
      <c r="A141" s="20">
        <f t="shared" si="2"/>
        <v>7</v>
      </c>
      <c r="B141" s="125" t="s">
        <v>405</v>
      </c>
      <c r="C141" s="66">
        <v>2007</v>
      </c>
      <c r="D141" s="177">
        <v>22.35733604</v>
      </c>
      <c r="E141" s="66">
        <v>2958</v>
      </c>
      <c r="F141" s="177">
        <v>18.195986619999999</v>
      </c>
      <c r="G141" s="66">
        <v>1495</v>
      </c>
      <c r="H141" s="5"/>
      <c r="I141" s="177">
        <v>33.477744809999997</v>
      </c>
      <c r="J141" s="66">
        <v>337</v>
      </c>
      <c r="K141" s="177">
        <v>19.935374150000001</v>
      </c>
      <c r="L141" s="66">
        <v>4116</v>
      </c>
      <c r="N141" s="72"/>
    </row>
    <row r="142" spans="1:14">
      <c r="A142" s="20">
        <f t="shared" si="2"/>
        <v>7</v>
      </c>
      <c r="B142" s="161" t="s">
        <v>405</v>
      </c>
      <c r="C142" s="175">
        <v>2008</v>
      </c>
      <c r="D142" s="188">
        <v>23.071283780000002</v>
      </c>
      <c r="E142" s="175">
        <v>2960</v>
      </c>
      <c r="F142" s="188">
        <v>18.649509800000001</v>
      </c>
      <c r="G142" s="175">
        <v>1632</v>
      </c>
      <c r="H142" s="5"/>
      <c r="I142" s="188">
        <v>34.68181818</v>
      </c>
      <c r="J142" s="175">
        <v>308</v>
      </c>
      <c r="K142" s="188">
        <v>20.552054160000001</v>
      </c>
      <c r="L142" s="175">
        <v>4284</v>
      </c>
      <c r="N142" s="72"/>
    </row>
    <row r="143" spans="1:14">
      <c r="A143" s="20">
        <f t="shared" si="2"/>
        <v>7</v>
      </c>
      <c r="B143" s="161" t="s">
        <v>405</v>
      </c>
      <c r="C143" s="175">
        <v>2009</v>
      </c>
      <c r="D143" s="188">
        <v>23.169102299999999</v>
      </c>
      <c r="E143" s="175">
        <v>2874</v>
      </c>
      <c r="F143" s="188">
        <v>19.223203030000001</v>
      </c>
      <c r="G143" s="175">
        <v>1586</v>
      </c>
      <c r="H143" s="5"/>
      <c r="I143" s="188">
        <v>34.967032969999998</v>
      </c>
      <c r="J143" s="175">
        <v>273</v>
      </c>
      <c r="K143" s="188">
        <v>20.905182709999998</v>
      </c>
      <c r="L143" s="175">
        <v>4187</v>
      </c>
      <c r="N143" s="72"/>
    </row>
    <row r="144" spans="1:14">
      <c r="A144" s="20">
        <f t="shared" si="2"/>
        <v>7</v>
      </c>
      <c r="B144" s="161" t="s">
        <v>405</v>
      </c>
      <c r="C144" s="175">
        <v>2010</v>
      </c>
      <c r="D144" s="188">
        <v>23.744078949999999</v>
      </c>
      <c r="E144" s="175">
        <v>3040</v>
      </c>
      <c r="F144" s="188">
        <v>20.070629780000001</v>
      </c>
      <c r="G144" s="175">
        <v>1699</v>
      </c>
      <c r="H144" s="5"/>
      <c r="I144" s="188">
        <v>36.1827957</v>
      </c>
      <c r="J144" s="175">
        <v>279</v>
      </c>
      <c r="K144" s="188">
        <v>21.566591930000001</v>
      </c>
      <c r="L144" s="175">
        <v>4460</v>
      </c>
      <c r="N144" s="72"/>
    </row>
    <row r="145" spans="1:14">
      <c r="A145" s="20">
        <f t="shared" si="2"/>
        <v>7</v>
      </c>
      <c r="B145" s="161" t="s">
        <v>405</v>
      </c>
      <c r="C145" s="175">
        <v>2011</v>
      </c>
      <c r="D145" s="188">
        <v>23.750752760000001</v>
      </c>
      <c r="E145" s="175">
        <v>2989</v>
      </c>
      <c r="F145" s="188">
        <v>20.82387765</v>
      </c>
      <c r="G145" s="175">
        <v>2027</v>
      </c>
      <c r="H145" s="5"/>
      <c r="I145" s="188">
        <v>33.599118939999997</v>
      </c>
      <c r="J145" s="175">
        <v>227</v>
      </c>
      <c r="K145" s="188">
        <v>22.045103359999999</v>
      </c>
      <c r="L145" s="175">
        <v>4789</v>
      </c>
      <c r="N145" s="72"/>
    </row>
    <row r="146" spans="1:14">
      <c r="A146" s="20">
        <f t="shared" si="2"/>
        <v>7</v>
      </c>
      <c r="B146" s="161" t="s">
        <v>405</v>
      </c>
      <c r="C146" s="175">
        <v>2012</v>
      </c>
      <c r="D146" s="188">
        <v>24.433789950000001</v>
      </c>
      <c r="E146" s="175">
        <v>2409</v>
      </c>
      <c r="F146" s="188">
        <v>21.010493830000001</v>
      </c>
      <c r="G146" s="175">
        <v>1620</v>
      </c>
      <c r="H146" s="5"/>
      <c r="I146" s="188">
        <v>37.723076919999997</v>
      </c>
      <c r="J146" s="175">
        <v>195</v>
      </c>
      <c r="K146" s="188">
        <v>22.3114241</v>
      </c>
      <c r="L146" s="175">
        <v>3834</v>
      </c>
      <c r="N146" s="72"/>
    </row>
    <row r="147" spans="1:14">
      <c r="A147" s="20">
        <f t="shared" si="2"/>
        <v>7</v>
      </c>
      <c r="B147" s="161" t="s">
        <v>405</v>
      </c>
      <c r="C147" s="175">
        <v>2013</v>
      </c>
      <c r="D147" s="188">
        <v>23.346907989999998</v>
      </c>
      <c r="E147" s="175">
        <v>1989</v>
      </c>
      <c r="F147" s="188">
        <v>21.660237389999999</v>
      </c>
      <c r="G147" s="175">
        <v>1348</v>
      </c>
      <c r="H147" s="5"/>
      <c r="I147" s="188">
        <v>35.386138610000003</v>
      </c>
      <c r="J147" s="175">
        <v>101</v>
      </c>
      <c r="K147" s="188">
        <v>22.268541410000001</v>
      </c>
      <c r="L147" s="175">
        <v>3236</v>
      </c>
      <c r="N147" s="72"/>
    </row>
    <row r="148" spans="1:14">
      <c r="A148" s="20">
        <f t="shared" si="2"/>
        <v>7</v>
      </c>
      <c r="B148" s="161" t="s">
        <v>405</v>
      </c>
      <c r="C148" s="175">
        <v>2014</v>
      </c>
      <c r="D148" s="188">
        <v>23.495354240000001</v>
      </c>
      <c r="E148" s="175">
        <v>1722</v>
      </c>
      <c r="F148" s="188">
        <v>22.599653379999999</v>
      </c>
      <c r="G148" s="175">
        <v>1154</v>
      </c>
      <c r="H148" s="5"/>
      <c r="I148" s="188">
        <v>38.428571429999998</v>
      </c>
      <c r="J148" s="175">
        <v>105</v>
      </c>
      <c r="K148" s="188">
        <v>22.556477810000001</v>
      </c>
      <c r="L148" s="175">
        <v>2771</v>
      </c>
      <c r="N148" s="72"/>
    </row>
    <row r="149" spans="1:14">
      <c r="A149" s="20">
        <f t="shared" si="2"/>
        <v>7</v>
      </c>
      <c r="B149" s="161" t="s">
        <v>405</v>
      </c>
      <c r="C149" s="175">
        <v>2015</v>
      </c>
      <c r="D149" s="188">
        <v>23.983161330000001</v>
      </c>
      <c r="E149" s="175">
        <v>1841</v>
      </c>
      <c r="F149" s="188">
        <v>22.84261322</v>
      </c>
      <c r="G149" s="175">
        <v>1347</v>
      </c>
      <c r="H149" s="5"/>
      <c r="I149" s="188">
        <v>39.71028037</v>
      </c>
      <c r="J149" s="175">
        <v>107</v>
      </c>
      <c r="K149" s="188">
        <v>22.93833171</v>
      </c>
      <c r="L149" s="175">
        <v>3081</v>
      </c>
    </row>
    <row r="150" spans="1:14">
      <c r="A150" s="20">
        <f t="shared" si="2"/>
        <v>7</v>
      </c>
      <c r="B150" s="161" t="s">
        <v>405</v>
      </c>
      <c r="C150" s="175">
        <v>2016</v>
      </c>
      <c r="D150" s="188">
        <v>25.19191919</v>
      </c>
      <c r="E150" s="175">
        <v>1683</v>
      </c>
      <c r="F150" s="188">
        <v>23.479744140000001</v>
      </c>
      <c r="G150" s="175">
        <v>1407</v>
      </c>
      <c r="H150" s="5"/>
      <c r="I150" s="188">
        <v>42.136363639999999</v>
      </c>
      <c r="J150" s="175">
        <v>132</v>
      </c>
      <c r="K150" s="188">
        <v>23.621365789999999</v>
      </c>
      <c r="L150" s="175">
        <v>2958</v>
      </c>
    </row>
    <row r="151" spans="1:14">
      <c r="A151" s="20">
        <f t="shared" si="2"/>
        <v>7</v>
      </c>
      <c r="B151" s="161" t="s">
        <v>405</v>
      </c>
      <c r="C151" s="175">
        <v>2017</v>
      </c>
      <c r="D151" s="188">
        <v>24.226616780000001</v>
      </c>
      <c r="E151" s="175">
        <v>1871</v>
      </c>
      <c r="F151" s="188">
        <v>24.19635628</v>
      </c>
      <c r="G151" s="175">
        <v>1482</v>
      </c>
      <c r="H151" s="5"/>
      <c r="I151" s="188">
        <v>42.594827590000001</v>
      </c>
      <c r="J151" s="175">
        <v>116</v>
      </c>
      <c r="K151" s="188">
        <v>23.5545258</v>
      </c>
      <c r="L151" s="175">
        <v>3237</v>
      </c>
    </row>
    <row r="152" spans="1:14">
      <c r="A152" s="20">
        <f t="shared" si="2"/>
        <v>7</v>
      </c>
      <c r="B152" s="161" t="s">
        <v>405</v>
      </c>
      <c r="C152" s="175">
        <v>2018</v>
      </c>
      <c r="D152" s="188">
        <v>24.172876299999999</v>
      </c>
      <c r="E152" s="175">
        <v>2013</v>
      </c>
      <c r="F152" s="188">
        <v>24.73026316</v>
      </c>
      <c r="G152" s="175">
        <v>1672</v>
      </c>
      <c r="H152" s="5"/>
      <c r="I152" s="188">
        <v>42.798165140000002</v>
      </c>
      <c r="J152" s="175">
        <v>109</v>
      </c>
      <c r="K152" s="188">
        <v>23.865771809999998</v>
      </c>
      <c r="L152" s="175">
        <v>3576</v>
      </c>
    </row>
    <row r="153" spans="1:14">
      <c r="A153" s="20">
        <f t="shared" si="2"/>
        <v>7</v>
      </c>
      <c r="B153" s="161" t="s">
        <v>405</v>
      </c>
      <c r="C153" s="175">
        <v>2019</v>
      </c>
      <c r="D153" s="188">
        <v>24.522374429999999</v>
      </c>
      <c r="E153" s="175">
        <v>2190</v>
      </c>
      <c r="F153" s="188">
        <v>25.288572930000001</v>
      </c>
      <c r="G153" s="175">
        <v>1899</v>
      </c>
      <c r="H153" s="5"/>
      <c r="I153" s="188">
        <v>41.35</v>
      </c>
      <c r="J153" s="175">
        <v>100</v>
      </c>
      <c r="K153" s="188">
        <v>24.465279519999999</v>
      </c>
      <c r="L153" s="175">
        <v>3989</v>
      </c>
    </row>
    <row r="154" spans="1:14">
      <c r="A154" s="20">
        <f t="shared" si="2"/>
        <v>7</v>
      </c>
      <c r="B154" s="161" t="s">
        <v>405</v>
      </c>
      <c r="C154" s="175">
        <v>2020</v>
      </c>
      <c r="D154" s="188">
        <v>24.327837049999999</v>
      </c>
      <c r="E154" s="175">
        <v>2062</v>
      </c>
      <c r="F154" s="188">
        <v>25.959367950000001</v>
      </c>
      <c r="G154" s="175">
        <v>1772</v>
      </c>
      <c r="H154" s="5"/>
      <c r="I154" s="188">
        <v>42.012048190000002</v>
      </c>
      <c r="J154" s="175">
        <v>83</v>
      </c>
      <c r="K154" s="188">
        <v>24.7136</v>
      </c>
      <c r="L154" s="175">
        <v>3750</v>
      </c>
    </row>
    <row r="155" spans="1:14">
      <c r="A155" s="20">
        <f t="shared" si="2"/>
        <v>7</v>
      </c>
      <c r="B155" s="161" t="s">
        <v>405</v>
      </c>
      <c r="C155" s="175">
        <v>2021</v>
      </c>
      <c r="D155" s="188">
        <v>24.977132810000001</v>
      </c>
      <c r="E155" s="175">
        <v>2274</v>
      </c>
      <c r="F155" s="188">
        <v>26.458932239999999</v>
      </c>
      <c r="G155" s="175">
        <v>1948</v>
      </c>
      <c r="H155" s="5"/>
      <c r="I155" s="188">
        <v>43.5</v>
      </c>
      <c r="J155" s="175">
        <v>76</v>
      </c>
      <c r="K155" s="188">
        <v>25.333815730000001</v>
      </c>
      <c r="L155" s="175">
        <v>4146</v>
      </c>
    </row>
    <row r="156" spans="1:14">
      <c r="B156" s="161" t="s">
        <v>405</v>
      </c>
      <c r="C156" s="175">
        <v>2022</v>
      </c>
      <c r="D156" s="188">
        <v>23.626609439999999</v>
      </c>
      <c r="E156" s="175">
        <v>2330</v>
      </c>
      <c r="F156" s="188">
        <v>26.742801369999999</v>
      </c>
      <c r="G156" s="175">
        <v>2049</v>
      </c>
      <c r="H156" s="5"/>
      <c r="I156" s="188">
        <v>41.672131149999998</v>
      </c>
      <c r="J156" s="175">
        <v>61</v>
      </c>
      <c r="K156" s="188">
        <v>24.855918460000002</v>
      </c>
      <c r="L156" s="175">
        <v>4317</v>
      </c>
    </row>
    <row r="157" spans="1:14">
      <c r="A157" s="20">
        <f>IF(B157=B155, A155, A155+1)</f>
        <v>8</v>
      </c>
      <c r="E157" s="160"/>
    </row>
    <row r="158" spans="1:14">
      <c r="A158" s="20">
        <f t="shared" si="2"/>
        <v>8</v>
      </c>
      <c r="E158" s="160"/>
    </row>
    <row r="159" spans="1:14">
      <c r="A159" s="20">
        <f t="shared" si="2"/>
        <v>8</v>
      </c>
      <c r="E159" s="160"/>
    </row>
    <row r="160" spans="1:14">
      <c r="A160" s="20">
        <f t="shared" si="2"/>
        <v>8</v>
      </c>
      <c r="E160" s="160"/>
    </row>
    <row r="161" spans="1:5">
      <c r="A161" s="20">
        <f t="shared" si="2"/>
        <v>8</v>
      </c>
      <c r="E161" s="160"/>
    </row>
    <row r="162" spans="1:5">
      <c r="A162" s="20">
        <f t="shared" si="2"/>
        <v>8</v>
      </c>
      <c r="E162" s="160"/>
    </row>
    <row r="163" spans="1:5">
      <c r="A163" s="20">
        <f t="shared" si="2"/>
        <v>8</v>
      </c>
      <c r="E163" s="160"/>
    </row>
    <row r="164" spans="1:5">
      <c r="A164" s="20">
        <f t="shared" si="2"/>
        <v>8</v>
      </c>
      <c r="E164" s="160"/>
    </row>
    <row r="165" spans="1:5">
      <c r="A165" s="20">
        <f t="shared" si="2"/>
        <v>8</v>
      </c>
      <c r="E165" s="160"/>
    </row>
    <row r="166" spans="1:5">
      <c r="A166" s="20">
        <f t="shared" si="2"/>
        <v>8</v>
      </c>
      <c r="E166" s="160"/>
    </row>
    <row r="167" spans="1:5">
      <c r="A167" s="20">
        <f t="shared" si="2"/>
        <v>8</v>
      </c>
      <c r="E167" s="160"/>
    </row>
    <row r="168" spans="1:5">
      <c r="A168" s="20">
        <f t="shared" si="2"/>
        <v>8</v>
      </c>
      <c r="E168" s="160"/>
    </row>
    <row r="169" spans="1:5">
      <c r="A169" s="20">
        <f t="shared" si="2"/>
        <v>8</v>
      </c>
      <c r="E169" s="160"/>
    </row>
    <row r="170" spans="1:5">
      <c r="A170" s="20">
        <f t="shared" si="2"/>
        <v>8</v>
      </c>
      <c r="E170" s="160"/>
    </row>
    <row r="171" spans="1:5">
      <c r="A171" s="20">
        <f t="shared" si="2"/>
        <v>8</v>
      </c>
      <c r="E171" s="160"/>
    </row>
    <row r="172" spans="1:5">
      <c r="A172" s="20">
        <f t="shared" si="2"/>
        <v>8</v>
      </c>
      <c r="E172" s="160"/>
    </row>
    <row r="173" spans="1:5">
      <c r="A173" s="20">
        <f t="shared" si="2"/>
        <v>8</v>
      </c>
      <c r="E173" s="160"/>
    </row>
    <row r="174" spans="1:5">
      <c r="A174" s="20">
        <f t="shared" si="2"/>
        <v>8</v>
      </c>
      <c r="E174" s="160"/>
    </row>
    <row r="175" spans="1:5">
      <c r="A175" s="20">
        <f t="shared" si="2"/>
        <v>8</v>
      </c>
      <c r="E175" s="160"/>
    </row>
    <row r="176" spans="1:5">
      <c r="A176" s="20">
        <f t="shared" si="2"/>
        <v>8</v>
      </c>
      <c r="E176" s="160"/>
    </row>
    <row r="177" spans="1:5">
      <c r="A177" s="20">
        <f t="shared" si="2"/>
        <v>8</v>
      </c>
      <c r="E177" s="160"/>
    </row>
    <row r="178" spans="1:5">
      <c r="A178" s="20">
        <f t="shared" si="2"/>
        <v>8</v>
      </c>
      <c r="E178" s="160"/>
    </row>
    <row r="179" spans="1:5">
      <c r="A179" s="20">
        <f t="shared" si="2"/>
        <v>8</v>
      </c>
      <c r="E179" s="160"/>
    </row>
    <row r="180" spans="1:5">
      <c r="A180" s="20">
        <f t="shared" si="2"/>
        <v>8</v>
      </c>
      <c r="E180" s="160"/>
    </row>
    <row r="181" spans="1:5">
      <c r="A181" s="20">
        <f t="shared" si="2"/>
        <v>8</v>
      </c>
      <c r="E181" s="160"/>
    </row>
    <row r="182" spans="1:5">
      <c r="A182" s="20">
        <f t="shared" si="2"/>
        <v>8</v>
      </c>
      <c r="E182" s="160"/>
    </row>
    <row r="183" spans="1:5">
      <c r="A183" s="20">
        <f t="shared" si="2"/>
        <v>8</v>
      </c>
      <c r="E183" s="160"/>
    </row>
    <row r="184" spans="1:5">
      <c r="A184" s="20">
        <f t="shared" si="2"/>
        <v>8</v>
      </c>
      <c r="E184" s="160"/>
    </row>
    <row r="185" spans="1:5">
      <c r="A185" s="20">
        <f t="shared" si="2"/>
        <v>8</v>
      </c>
      <c r="E185" s="160"/>
    </row>
    <row r="186" spans="1:5">
      <c r="A186" s="20">
        <f t="shared" si="2"/>
        <v>8</v>
      </c>
      <c r="E186" s="160"/>
    </row>
    <row r="187" spans="1:5">
      <c r="A187" s="20">
        <f t="shared" si="2"/>
        <v>8</v>
      </c>
      <c r="E187" s="160"/>
    </row>
    <row r="188" spans="1:5">
      <c r="A188" s="20">
        <f t="shared" si="2"/>
        <v>8</v>
      </c>
      <c r="E188" s="160"/>
    </row>
    <row r="189" spans="1:5">
      <c r="A189" s="20">
        <f t="shared" si="2"/>
        <v>8</v>
      </c>
      <c r="E189" s="160"/>
    </row>
    <row r="190" spans="1:5">
      <c r="A190" s="20">
        <f t="shared" si="2"/>
        <v>8</v>
      </c>
      <c r="E190" s="160"/>
    </row>
    <row r="191" spans="1:5">
      <c r="A191" s="20">
        <f t="shared" si="2"/>
        <v>8</v>
      </c>
      <c r="E191" s="160"/>
    </row>
    <row r="192" spans="1:5">
      <c r="A192" s="20">
        <f t="shared" si="2"/>
        <v>8</v>
      </c>
      <c r="E192" s="160"/>
    </row>
    <row r="193" spans="1:5">
      <c r="A193" s="20">
        <f t="shared" si="2"/>
        <v>8</v>
      </c>
      <c r="E193" s="160"/>
    </row>
    <row r="194" spans="1:5">
      <c r="A194" s="20">
        <f t="shared" si="2"/>
        <v>8</v>
      </c>
      <c r="E194" s="160"/>
    </row>
    <row r="195" spans="1:5">
      <c r="A195" s="20">
        <f t="shared" si="2"/>
        <v>8</v>
      </c>
      <c r="E195" s="160"/>
    </row>
    <row r="196" spans="1:5">
      <c r="A196" s="20">
        <f t="shared" si="2"/>
        <v>8</v>
      </c>
      <c r="E196" s="160"/>
    </row>
    <row r="197" spans="1:5">
      <c r="A197" s="20">
        <f t="shared" si="2"/>
        <v>8</v>
      </c>
      <c r="E197" s="160"/>
    </row>
    <row r="198" spans="1:5">
      <c r="A198" s="20">
        <f t="shared" si="2"/>
        <v>8</v>
      </c>
      <c r="E198" s="160"/>
    </row>
    <row r="199" spans="1:5">
      <c r="A199" s="20">
        <f t="shared" si="2"/>
        <v>8</v>
      </c>
      <c r="E199" s="160"/>
    </row>
    <row r="200" spans="1:5">
      <c r="A200" s="20">
        <f t="shared" si="2"/>
        <v>8</v>
      </c>
      <c r="E200" s="160"/>
    </row>
    <row r="201" spans="1:5">
      <c r="A201" s="20">
        <f t="shared" si="2"/>
        <v>8</v>
      </c>
      <c r="E201" s="160"/>
    </row>
    <row r="202" spans="1:5">
      <c r="A202" s="20">
        <f t="shared" si="2"/>
        <v>8</v>
      </c>
      <c r="E202" s="160"/>
    </row>
    <row r="203" spans="1:5">
      <c r="A203" s="20">
        <f t="shared" ref="A203:A266" si="3">IF(B203=B202, A202, A202+1)</f>
        <v>8</v>
      </c>
      <c r="E203" s="160"/>
    </row>
    <row r="204" spans="1:5">
      <c r="A204" s="20">
        <f t="shared" si="3"/>
        <v>8</v>
      </c>
      <c r="E204" s="160"/>
    </row>
    <row r="205" spans="1:5">
      <c r="A205" s="20">
        <f t="shared" si="3"/>
        <v>8</v>
      </c>
      <c r="E205" s="160"/>
    </row>
    <row r="206" spans="1:5">
      <c r="A206" s="20">
        <f t="shared" si="3"/>
        <v>8</v>
      </c>
      <c r="E206" s="160"/>
    </row>
    <row r="207" spans="1:5">
      <c r="A207" s="20">
        <f t="shared" si="3"/>
        <v>8</v>
      </c>
      <c r="E207" s="160"/>
    </row>
    <row r="208" spans="1:5">
      <c r="A208" s="20">
        <f t="shared" si="3"/>
        <v>8</v>
      </c>
      <c r="E208" s="160"/>
    </row>
    <row r="209" spans="1:5">
      <c r="A209" s="20">
        <f t="shared" si="3"/>
        <v>8</v>
      </c>
      <c r="E209" s="160"/>
    </row>
    <row r="210" spans="1:5">
      <c r="A210" s="20">
        <f t="shared" si="3"/>
        <v>8</v>
      </c>
      <c r="E210" s="160"/>
    </row>
    <row r="211" spans="1:5">
      <c r="A211" s="20">
        <f t="shared" si="3"/>
        <v>8</v>
      </c>
      <c r="E211" s="160"/>
    </row>
    <row r="212" spans="1:5">
      <c r="A212" s="20">
        <f t="shared" si="3"/>
        <v>8</v>
      </c>
      <c r="E212" s="160"/>
    </row>
    <row r="213" spans="1:5">
      <c r="A213" s="20">
        <f t="shared" si="3"/>
        <v>8</v>
      </c>
      <c r="E213" s="160"/>
    </row>
    <row r="214" spans="1:5">
      <c r="A214" s="20">
        <f t="shared" si="3"/>
        <v>8</v>
      </c>
      <c r="E214" s="160"/>
    </row>
    <row r="215" spans="1:5">
      <c r="A215" s="20">
        <f t="shared" si="3"/>
        <v>8</v>
      </c>
      <c r="E215" s="160"/>
    </row>
    <row r="216" spans="1:5">
      <c r="A216" s="20">
        <f t="shared" si="3"/>
        <v>8</v>
      </c>
      <c r="E216" s="160"/>
    </row>
    <row r="217" spans="1:5">
      <c r="A217" s="20">
        <f t="shared" si="3"/>
        <v>8</v>
      </c>
      <c r="E217" s="160"/>
    </row>
    <row r="218" spans="1:5">
      <c r="A218" s="20">
        <f t="shared" si="3"/>
        <v>8</v>
      </c>
      <c r="E218" s="160"/>
    </row>
    <row r="219" spans="1:5">
      <c r="A219" s="20">
        <f t="shared" si="3"/>
        <v>8</v>
      </c>
      <c r="E219" s="160"/>
    </row>
    <row r="220" spans="1:5">
      <c r="A220" s="20">
        <f t="shared" si="3"/>
        <v>8</v>
      </c>
      <c r="E220" s="160"/>
    </row>
    <row r="221" spans="1:5">
      <c r="A221" s="20">
        <f t="shared" si="3"/>
        <v>8</v>
      </c>
      <c r="E221" s="160"/>
    </row>
    <row r="222" spans="1:5">
      <c r="A222" s="20">
        <f t="shared" si="3"/>
        <v>8</v>
      </c>
      <c r="E222" s="160"/>
    </row>
    <row r="223" spans="1:5">
      <c r="A223" s="20">
        <f t="shared" si="3"/>
        <v>8</v>
      </c>
      <c r="E223" s="160"/>
    </row>
    <row r="224" spans="1:5">
      <c r="A224" s="20">
        <f t="shared" si="3"/>
        <v>8</v>
      </c>
      <c r="E224" s="160"/>
    </row>
    <row r="225" spans="1:5">
      <c r="A225" s="20">
        <f t="shared" si="3"/>
        <v>8</v>
      </c>
      <c r="E225" s="160"/>
    </row>
    <row r="226" spans="1:5">
      <c r="A226" s="20">
        <f t="shared" si="3"/>
        <v>8</v>
      </c>
      <c r="E226" s="160"/>
    </row>
    <row r="227" spans="1:5">
      <c r="A227" s="20">
        <f t="shared" si="3"/>
        <v>8</v>
      </c>
      <c r="E227" s="160"/>
    </row>
    <row r="228" spans="1:5">
      <c r="A228" s="20">
        <f t="shared" si="3"/>
        <v>8</v>
      </c>
      <c r="E228" s="160"/>
    </row>
    <row r="229" spans="1:5">
      <c r="A229" s="20">
        <f t="shared" si="3"/>
        <v>8</v>
      </c>
      <c r="E229" s="160"/>
    </row>
    <row r="230" spans="1:5">
      <c r="A230" s="20">
        <f t="shared" si="3"/>
        <v>8</v>
      </c>
      <c r="E230" s="160"/>
    </row>
    <row r="231" spans="1:5">
      <c r="A231" s="20">
        <f t="shared" si="3"/>
        <v>8</v>
      </c>
      <c r="E231" s="160"/>
    </row>
    <row r="232" spans="1:5">
      <c r="A232" s="20">
        <f t="shared" si="3"/>
        <v>8</v>
      </c>
      <c r="E232" s="160"/>
    </row>
    <row r="233" spans="1:5">
      <c r="A233" s="20">
        <f t="shared" si="3"/>
        <v>8</v>
      </c>
      <c r="E233" s="160"/>
    </row>
    <row r="234" spans="1:5">
      <c r="A234" s="20">
        <f t="shared" si="3"/>
        <v>8</v>
      </c>
      <c r="E234" s="160"/>
    </row>
    <row r="235" spans="1:5">
      <c r="A235" s="20">
        <f t="shared" si="3"/>
        <v>8</v>
      </c>
      <c r="E235" s="160"/>
    </row>
    <row r="236" spans="1:5">
      <c r="A236" s="20">
        <f t="shared" si="3"/>
        <v>8</v>
      </c>
      <c r="E236" s="160"/>
    </row>
    <row r="237" spans="1:5">
      <c r="A237" s="20">
        <f t="shared" si="3"/>
        <v>8</v>
      </c>
      <c r="E237" s="160"/>
    </row>
    <row r="238" spans="1:5">
      <c r="A238" s="20">
        <f t="shared" si="3"/>
        <v>8</v>
      </c>
      <c r="E238" s="160"/>
    </row>
    <row r="239" spans="1:5">
      <c r="A239" s="20">
        <f t="shared" si="3"/>
        <v>8</v>
      </c>
      <c r="E239" s="160"/>
    </row>
    <row r="240" spans="1:5">
      <c r="A240" s="20">
        <f t="shared" si="3"/>
        <v>8</v>
      </c>
      <c r="E240" s="160"/>
    </row>
    <row r="241" spans="1:5">
      <c r="A241" s="20">
        <f t="shared" si="3"/>
        <v>8</v>
      </c>
      <c r="E241" s="160"/>
    </row>
    <row r="242" spans="1:5">
      <c r="A242" s="20">
        <f t="shared" si="3"/>
        <v>8</v>
      </c>
      <c r="E242" s="160"/>
    </row>
    <row r="243" spans="1:5">
      <c r="A243" s="20">
        <f t="shared" si="3"/>
        <v>8</v>
      </c>
      <c r="E243" s="160"/>
    </row>
    <row r="244" spans="1:5">
      <c r="A244" s="20">
        <f t="shared" si="3"/>
        <v>8</v>
      </c>
      <c r="E244" s="160"/>
    </row>
    <row r="245" spans="1:5">
      <c r="A245" s="20">
        <f t="shared" si="3"/>
        <v>8</v>
      </c>
      <c r="E245" s="160"/>
    </row>
    <row r="246" spans="1:5">
      <c r="A246" s="20">
        <f t="shared" si="3"/>
        <v>8</v>
      </c>
      <c r="E246" s="160"/>
    </row>
    <row r="247" spans="1:5">
      <c r="A247" s="20">
        <f t="shared" si="3"/>
        <v>8</v>
      </c>
      <c r="E247" s="160"/>
    </row>
    <row r="248" spans="1:5">
      <c r="A248" s="20">
        <f t="shared" si="3"/>
        <v>8</v>
      </c>
      <c r="E248" s="160"/>
    </row>
    <row r="249" spans="1:5">
      <c r="A249" s="20">
        <f t="shared" si="3"/>
        <v>8</v>
      </c>
      <c r="E249" s="160"/>
    </row>
    <row r="250" spans="1:5">
      <c r="A250" s="20">
        <f t="shared" si="3"/>
        <v>8</v>
      </c>
      <c r="E250" s="160"/>
    </row>
    <row r="251" spans="1:5">
      <c r="A251" s="20">
        <f t="shared" si="3"/>
        <v>8</v>
      </c>
      <c r="E251" s="160"/>
    </row>
    <row r="252" spans="1:5">
      <c r="A252" s="20">
        <f t="shared" si="3"/>
        <v>8</v>
      </c>
      <c r="E252" s="160"/>
    </row>
    <row r="253" spans="1:5">
      <c r="A253" s="20">
        <f t="shared" si="3"/>
        <v>8</v>
      </c>
      <c r="E253" s="160"/>
    </row>
    <row r="254" spans="1:5">
      <c r="A254" s="20">
        <f t="shared" si="3"/>
        <v>8</v>
      </c>
      <c r="E254" s="160"/>
    </row>
    <row r="255" spans="1:5">
      <c r="A255" s="20">
        <f t="shared" si="3"/>
        <v>8</v>
      </c>
      <c r="E255" s="160"/>
    </row>
    <row r="256" spans="1:5">
      <c r="A256" s="20">
        <f t="shared" si="3"/>
        <v>8</v>
      </c>
      <c r="E256" s="160"/>
    </row>
    <row r="257" spans="1:5">
      <c r="A257" s="20">
        <f t="shared" si="3"/>
        <v>8</v>
      </c>
      <c r="E257" s="160"/>
    </row>
    <row r="258" spans="1:5">
      <c r="A258" s="20">
        <f t="shared" si="3"/>
        <v>8</v>
      </c>
      <c r="E258" s="160"/>
    </row>
    <row r="259" spans="1:5">
      <c r="A259" s="20">
        <f t="shared" si="3"/>
        <v>8</v>
      </c>
      <c r="E259" s="160"/>
    </row>
    <row r="260" spans="1:5">
      <c r="A260" s="20">
        <f t="shared" si="3"/>
        <v>8</v>
      </c>
      <c r="E260" s="160"/>
    </row>
    <row r="261" spans="1:5">
      <c r="A261" s="20">
        <f t="shared" si="3"/>
        <v>8</v>
      </c>
      <c r="E261" s="160"/>
    </row>
    <row r="262" spans="1:5">
      <c r="A262" s="20">
        <f t="shared" si="3"/>
        <v>8</v>
      </c>
      <c r="E262" s="160"/>
    </row>
    <row r="263" spans="1:5">
      <c r="A263" s="20">
        <f t="shared" si="3"/>
        <v>8</v>
      </c>
      <c r="E263" s="160"/>
    </row>
    <row r="264" spans="1:5">
      <c r="A264" s="20">
        <f t="shared" si="3"/>
        <v>8</v>
      </c>
      <c r="E264" s="160"/>
    </row>
    <row r="265" spans="1:5">
      <c r="A265" s="20">
        <f t="shared" si="3"/>
        <v>8</v>
      </c>
      <c r="E265" s="160"/>
    </row>
    <row r="266" spans="1:5">
      <c r="A266" s="20">
        <f t="shared" si="3"/>
        <v>8</v>
      </c>
      <c r="E266" s="160"/>
    </row>
    <row r="267" spans="1:5">
      <c r="A267" s="20">
        <f t="shared" ref="A267:A330" si="4">IF(B267=B266, A266, A266+1)</f>
        <v>8</v>
      </c>
      <c r="E267" s="160"/>
    </row>
    <row r="268" spans="1:5">
      <c r="A268" s="20">
        <f t="shared" si="4"/>
        <v>8</v>
      </c>
      <c r="E268" s="160"/>
    </row>
    <row r="269" spans="1:5">
      <c r="A269" s="20">
        <f t="shared" si="4"/>
        <v>8</v>
      </c>
      <c r="E269" s="160"/>
    </row>
    <row r="270" spans="1:5">
      <c r="A270" s="20">
        <f t="shared" si="4"/>
        <v>8</v>
      </c>
      <c r="E270" s="160"/>
    </row>
    <row r="271" spans="1:5">
      <c r="A271" s="20">
        <f t="shared" si="4"/>
        <v>8</v>
      </c>
      <c r="E271" s="160"/>
    </row>
    <row r="272" spans="1:5">
      <c r="A272" s="20">
        <f t="shared" si="4"/>
        <v>8</v>
      </c>
      <c r="E272" s="160"/>
    </row>
    <row r="273" spans="1:5">
      <c r="A273" s="20">
        <f t="shared" si="4"/>
        <v>8</v>
      </c>
      <c r="E273" s="160"/>
    </row>
    <row r="274" spans="1:5">
      <c r="A274" s="20">
        <f t="shared" si="4"/>
        <v>8</v>
      </c>
      <c r="E274" s="160"/>
    </row>
    <row r="275" spans="1:5">
      <c r="A275" s="20">
        <f t="shared" si="4"/>
        <v>8</v>
      </c>
      <c r="E275" s="160"/>
    </row>
    <row r="276" spans="1:5">
      <c r="A276" s="20">
        <f t="shared" si="4"/>
        <v>8</v>
      </c>
      <c r="E276" s="160"/>
    </row>
    <row r="277" spans="1:5">
      <c r="A277" s="20">
        <f t="shared" si="4"/>
        <v>8</v>
      </c>
      <c r="E277" s="160"/>
    </row>
    <row r="278" spans="1:5">
      <c r="A278" s="20">
        <f t="shared" si="4"/>
        <v>8</v>
      </c>
      <c r="E278" s="160"/>
    </row>
    <row r="279" spans="1:5">
      <c r="A279" s="20">
        <f t="shared" si="4"/>
        <v>8</v>
      </c>
      <c r="E279" s="160"/>
    </row>
    <row r="280" spans="1:5">
      <c r="A280" s="20">
        <f t="shared" si="4"/>
        <v>8</v>
      </c>
      <c r="E280" s="160"/>
    </row>
    <row r="281" spans="1:5">
      <c r="A281" s="20">
        <f t="shared" si="4"/>
        <v>8</v>
      </c>
      <c r="E281" s="160"/>
    </row>
    <row r="282" spans="1:5">
      <c r="A282" s="20">
        <f t="shared" si="4"/>
        <v>8</v>
      </c>
      <c r="E282" s="160"/>
    </row>
    <row r="283" spans="1:5">
      <c r="A283" s="20">
        <f t="shared" si="4"/>
        <v>8</v>
      </c>
      <c r="E283" s="160"/>
    </row>
    <row r="284" spans="1:5">
      <c r="A284" s="20">
        <f t="shared" si="4"/>
        <v>8</v>
      </c>
      <c r="E284" s="160"/>
    </row>
    <row r="285" spans="1:5">
      <c r="A285" s="20">
        <f t="shared" si="4"/>
        <v>8</v>
      </c>
      <c r="E285" s="160"/>
    </row>
    <row r="286" spans="1:5">
      <c r="A286" s="20">
        <f t="shared" si="4"/>
        <v>8</v>
      </c>
      <c r="E286" s="160"/>
    </row>
    <row r="287" spans="1:5">
      <c r="A287" s="20">
        <f t="shared" si="4"/>
        <v>8</v>
      </c>
      <c r="E287" s="160"/>
    </row>
    <row r="288" spans="1:5">
      <c r="A288" s="20">
        <f t="shared" si="4"/>
        <v>8</v>
      </c>
      <c r="E288" s="160"/>
    </row>
    <row r="289" spans="1:5">
      <c r="A289" s="20">
        <f t="shared" si="4"/>
        <v>8</v>
      </c>
      <c r="E289" s="160"/>
    </row>
    <row r="290" spans="1:5">
      <c r="A290" s="20">
        <f t="shared" si="4"/>
        <v>8</v>
      </c>
      <c r="E290" s="160"/>
    </row>
    <row r="291" spans="1:5">
      <c r="A291" s="20">
        <f t="shared" si="4"/>
        <v>8</v>
      </c>
      <c r="E291" s="160"/>
    </row>
    <row r="292" spans="1:5">
      <c r="A292" s="20">
        <f t="shared" si="4"/>
        <v>8</v>
      </c>
      <c r="E292" s="160"/>
    </row>
    <row r="293" spans="1:5">
      <c r="A293" s="20">
        <f t="shared" si="4"/>
        <v>8</v>
      </c>
      <c r="E293" s="160"/>
    </row>
    <row r="294" spans="1:5">
      <c r="A294" s="20">
        <f t="shared" si="4"/>
        <v>8</v>
      </c>
      <c r="E294" s="160"/>
    </row>
    <row r="295" spans="1:5">
      <c r="A295" s="20">
        <f t="shared" si="4"/>
        <v>8</v>
      </c>
      <c r="E295" s="160"/>
    </row>
    <row r="296" spans="1:5">
      <c r="A296" s="20">
        <f t="shared" si="4"/>
        <v>8</v>
      </c>
      <c r="E296" s="160"/>
    </row>
    <row r="297" spans="1:5">
      <c r="A297" s="20">
        <f t="shared" si="4"/>
        <v>8</v>
      </c>
      <c r="E297" s="160"/>
    </row>
    <row r="298" spans="1:5">
      <c r="A298" s="20">
        <f t="shared" si="4"/>
        <v>8</v>
      </c>
      <c r="E298" s="160"/>
    </row>
    <row r="299" spans="1:5">
      <c r="A299" s="20">
        <f t="shared" si="4"/>
        <v>8</v>
      </c>
      <c r="E299" s="160"/>
    </row>
    <row r="300" spans="1:5">
      <c r="A300" s="20">
        <f t="shared" si="4"/>
        <v>8</v>
      </c>
      <c r="E300" s="160"/>
    </row>
    <row r="301" spans="1:5">
      <c r="A301" s="20">
        <f t="shared" si="4"/>
        <v>8</v>
      </c>
      <c r="E301" s="160"/>
    </row>
    <row r="302" spans="1:5">
      <c r="A302" s="20">
        <f t="shared" si="4"/>
        <v>8</v>
      </c>
      <c r="E302" s="160"/>
    </row>
    <row r="303" spans="1:5">
      <c r="A303" s="20">
        <f t="shared" si="4"/>
        <v>8</v>
      </c>
      <c r="E303" s="160"/>
    </row>
    <row r="304" spans="1:5">
      <c r="A304" s="20">
        <f t="shared" si="4"/>
        <v>8</v>
      </c>
      <c r="E304" s="160"/>
    </row>
    <row r="305" spans="1:1">
      <c r="A305" s="20">
        <f t="shared" si="4"/>
        <v>8</v>
      </c>
    </row>
    <row r="306" spans="1:1">
      <c r="A306" s="20">
        <f t="shared" si="4"/>
        <v>8</v>
      </c>
    </row>
    <row r="307" spans="1:1">
      <c r="A307" s="20">
        <f t="shared" si="4"/>
        <v>8</v>
      </c>
    </row>
    <row r="308" spans="1:1">
      <c r="A308" s="20">
        <f t="shared" si="4"/>
        <v>8</v>
      </c>
    </row>
    <row r="309" spans="1:1">
      <c r="A309" s="20">
        <f t="shared" si="4"/>
        <v>8</v>
      </c>
    </row>
    <row r="310" spans="1:1">
      <c r="A310" s="20">
        <f t="shared" si="4"/>
        <v>8</v>
      </c>
    </row>
    <row r="311" spans="1:1">
      <c r="A311" s="20">
        <f t="shared" si="4"/>
        <v>8</v>
      </c>
    </row>
    <row r="312" spans="1:1">
      <c r="A312" s="20">
        <f t="shared" si="4"/>
        <v>8</v>
      </c>
    </row>
    <row r="313" spans="1:1">
      <c r="A313" s="20">
        <f t="shared" si="4"/>
        <v>8</v>
      </c>
    </row>
    <row r="314" spans="1:1">
      <c r="A314" s="20">
        <f t="shared" si="4"/>
        <v>8</v>
      </c>
    </row>
    <row r="315" spans="1:1">
      <c r="A315" s="20">
        <f t="shared" si="4"/>
        <v>8</v>
      </c>
    </row>
    <row r="316" spans="1:1">
      <c r="A316" s="20">
        <f t="shared" si="4"/>
        <v>8</v>
      </c>
    </row>
    <row r="317" spans="1:1">
      <c r="A317" s="20">
        <f t="shared" si="4"/>
        <v>8</v>
      </c>
    </row>
    <row r="318" spans="1:1">
      <c r="A318" s="20">
        <f t="shared" si="4"/>
        <v>8</v>
      </c>
    </row>
    <row r="319" spans="1:1">
      <c r="A319" s="20">
        <f t="shared" si="4"/>
        <v>8</v>
      </c>
    </row>
    <row r="320" spans="1:1">
      <c r="A320" s="20">
        <f t="shared" si="4"/>
        <v>8</v>
      </c>
    </row>
    <row r="321" spans="1:1">
      <c r="A321" s="20">
        <f t="shared" si="4"/>
        <v>8</v>
      </c>
    </row>
    <row r="322" spans="1:1">
      <c r="A322" s="20">
        <f t="shared" si="4"/>
        <v>8</v>
      </c>
    </row>
    <row r="323" spans="1:1">
      <c r="A323" s="20">
        <f t="shared" si="4"/>
        <v>8</v>
      </c>
    </row>
    <row r="324" spans="1:1">
      <c r="A324" s="20">
        <f t="shared" si="4"/>
        <v>8</v>
      </c>
    </row>
    <row r="325" spans="1:1">
      <c r="A325" s="20">
        <f t="shared" si="4"/>
        <v>8</v>
      </c>
    </row>
    <row r="326" spans="1:1">
      <c r="A326" s="20">
        <f t="shared" si="4"/>
        <v>8</v>
      </c>
    </row>
    <row r="327" spans="1:1">
      <c r="A327" s="20">
        <f t="shared" si="4"/>
        <v>8</v>
      </c>
    </row>
    <row r="328" spans="1:1">
      <c r="A328" s="20">
        <f t="shared" si="4"/>
        <v>8</v>
      </c>
    </row>
    <row r="329" spans="1:1">
      <c r="A329" s="20">
        <f t="shared" si="4"/>
        <v>8</v>
      </c>
    </row>
    <row r="330" spans="1:1">
      <c r="A330" s="20">
        <f t="shared" si="4"/>
        <v>8</v>
      </c>
    </row>
    <row r="331" spans="1:1">
      <c r="A331" s="20">
        <f t="shared" ref="A331:A394" si="5">IF(B331=B330, A330, A330+1)</f>
        <v>8</v>
      </c>
    </row>
    <row r="332" spans="1:1">
      <c r="A332" s="20">
        <f t="shared" si="5"/>
        <v>8</v>
      </c>
    </row>
    <row r="333" spans="1:1">
      <c r="A333" s="20">
        <f t="shared" si="5"/>
        <v>8</v>
      </c>
    </row>
    <row r="334" spans="1:1">
      <c r="A334" s="20">
        <f t="shared" si="5"/>
        <v>8</v>
      </c>
    </row>
    <row r="335" spans="1:1">
      <c r="A335" s="20">
        <f t="shared" si="5"/>
        <v>8</v>
      </c>
    </row>
    <row r="336" spans="1:1">
      <c r="A336" s="20">
        <f t="shared" si="5"/>
        <v>8</v>
      </c>
    </row>
    <row r="337" spans="1:1">
      <c r="A337" s="20">
        <f t="shared" si="5"/>
        <v>8</v>
      </c>
    </row>
    <row r="338" spans="1:1">
      <c r="A338" s="20">
        <f t="shared" si="5"/>
        <v>8</v>
      </c>
    </row>
    <row r="339" spans="1:1">
      <c r="A339" s="20">
        <f t="shared" si="5"/>
        <v>8</v>
      </c>
    </row>
    <row r="340" spans="1:1">
      <c r="A340" s="20">
        <f t="shared" si="5"/>
        <v>8</v>
      </c>
    </row>
    <row r="341" spans="1:1">
      <c r="A341" s="20">
        <f t="shared" si="5"/>
        <v>8</v>
      </c>
    </row>
    <row r="342" spans="1:1">
      <c r="A342" s="20">
        <f t="shared" si="5"/>
        <v>8</v>
      </c>
    </row>
    <row r="343" spans="1:1">
      <c r="A343" s="20">
        <f t="shared" si="5"/>
        <v>8</v>
      </c>
    </row>
    <row r="344" spans="1:1">
      <c r="A344" s="20">
        <f t="shared" si="5"/>
        <v>8</v>
      </c>
    </row>
    <row r="345" spans="1:1">
      <c r="A345" s="20">
        <f t="shared" si="5"/>
        <v>8</v>
      </c>
    </row>
    <row r="346" spans="1:1">
      <c r="A346" s="20">
        <f t="shared" si="5"/>
        <v>8</v>
      </c>
    </row>
    <row r="347" spans="1:1">
      <c r="A347" s="20">
        <f t="shared" si="5"/>
        <v>8</v>
      </c>
    </row>
    <row r="348" spans="1:1">
      <c r="A348" s="20">
        <f t="shared" si="5"/>
        <v>8</v>
      </c>
    </row>
    <row r="349" spans="1:1">
      <c r="A349" s="20">
        <f t="shared" si="5"/>
        <v>8</v>
      </c>
    </row>
    <row r="350" spans="1:1">
      <c r="A350" s="20">
        <f t="shared" si="5"/>
        <v>8</v>
      </c>
    </row>
    <row r="351" spans="1:1">
      <c r="A351" s="20">
        <f t="shared" si="5"/>
        <v>8</v>
      </c>
    </row>
    <row r="352" spans="1:1">
      <c r="A352" s="20">
        <f t="shared" si="5"/>
        <v>8</v>
      </c>
    </row>
    <row r="353" spans="1:1">
      <c r="A353" s="20">
        <f t="shared" si="5"/>
        <v>8</v>
      </c>
    </row>
    <row r="354" spans="1:1">
      <c r="A354" s="20">
        <f t="shared" si="5"/>
        <v>8</v>
      </c>
    </row>
    <row r="355" spans="1:1">
      <c r="A355" s="20">
        <f t="shared" si="5"/>
        <v>8</v>
      </c>
    </row>
    <row r="356" spans="1:1">
      <c r="A356" s="20">
        <f t="shared" si="5"/>
        <v>8</v>
      </c>
    </row>
    <row r="357" spans="1:1">
      <c r="A357" s="20">
        <f t="shared" si="5"/>
        <v>8</v>
      </c>
    </row>
    <row r="358" spans="1:1">
      <c r="A358" s="20">
        <f t="shared" si="5"/>
        <v>8</v>
      </c>
    </row>
    <row r="359" spans="1:1">
      <c r="A359" s="20">
        <f t="shared" si="5"/>
        <v>8</v>
      </c>
    </row>
    <row r="360" spans="1:1">
      <c r="A360" s="20">
        <f t="shared" si="5"/>
        <v>8</v>
      </c>
    </row>
    <row r="361" spans="1:1">
      <c r="A361" s="20">
        <f t="shared" si="5"/>
        <v>8</v>
      </c>
    </row>
    <row r="362" spans="1:1">
      <c r="A362" s="20">
        <f t="shared" si="5"/>
        <v>8</v>
      </c>
    </row>
    <row r="363" spans="1:1">
      <c r="A363" s="20">
        <f t="shared" si="5"/>
        <v>8</v>
      </c>
    </row>
    <row r="364" spans="1:1">
      <c r="A364" s="20">
        <f t="shared" si="5"/>
        <v>8</v>
      </c>
    </row>
    <row r="365" spans="1:1">
      <c r="A365" s="20">
        <f t="shared" si="5"/>
        <v>8</v>
      </c>
    </row>
    <row r="366" spans="1:1">
      <c r="A366" s="20">
        <f t="shared" si="5"/>
        <v>8</v>
      </c>
    </row>
    <row r="367" spans="1:1">
      <c r="A367" s="20">
        <f t="shared" si="5"/>
        <v>8</v>
      </c>
    </row>
    <row r="368" spans="1:1">
      <c r="A368" s="20">
        <f t="shared" si="5"/>
        <v>8</v>
      </c>
    </row>
    <row r="369" spans="1:1">
      <c r="A369" s="20">
        <f t="shared" si="5"/>
        <v>8</v>
      </c>
    </row>
    <row r="370" spans="1:1">
      <c r="A370" s="20">
        <f t="shared" si="5"/>
        <v>8</v>
      </c>
    </row>
    <row r="371" spans="1:1">
      <c r="A371" s="20">
        <f t="shared" si="5"/>
        <v>8</v>
      </c>
    </row>
    <row r="372" spans="1:1">
      <c r="A372" s="20">
        <f t="shared" si="5"/>
        <v>8</v>
      </c>
    </row>
    <row r="373" spans="1:1">
      <c r="A373" s="20">
        <f t="shared" si="5"/>
        <v>8</v>
      </c>
    </row>
    <row r="374" spans="1:1">
      <c r="A374" s="20">
        <f t="shared" si="5"/>
        <v>8</v>
      </c>
    </row>
    <row r="375" spans="1:1">
      <c r="A375" s="20">
        <f t="shared" si="5"/>
        <v>8</v>
      </c>
    </row>
    <row r="376" spans="1:1">
      <c r="A376" s="20">
        <f t="shared" si="5"/>
        <v>8</v>
      </c>
    </row>
    <row r="377" spans="1:1">
      <c r="A377" s="20">
        <f t="shared" si="5"/>
        <v>8</v>
      </c>
    </row>
    <row r="378" spans="1:1">
      <c r="A378" s="20">
        <f t="shared" si="5"/>
        <v>8</v>
      </c>
    </row>
    <row r="379" spans="1:1">
      <c r="A379" s="20">
        <f t="shared" si="5"/>
        <v>8</v>
      </c>
    </row>
    <row r="380" spans="1:1">
      <c r="A380" s="20">
        <f t="shared" si="5"/>
        <v>8</v>
      </c>
    </row>
    <row r="381" spans="1:1">
      <c r="A381" s="20">
        <f t="shared" si="5"/>
        <v>8</v>
      </c>
    </row>
    <row r="382" spans="1:1">
      <c r="A382" s="20">
        <f t="shared" si="5"/>
        <v>8</v>
      </c>
    </row>
    <row r="383" spans="1:1">
      <c r="A383" s="20">
        <f t="shared" si="5"/>
        <v>8</v>
      </c>
    </row>
    <row r="384" spans="1:1">
      <c r="A384" s="20">
        <f t="shared" si="5"/>
        <v>8</v>
      </c>
    </row>
    <row r="385" spans="1:1">
      <c r="A385" s="20">
        <f t="shared" si="5"/>
        <v>8</v>
      </c>
    </row>
    <row r="386" spans="1:1">
      <c r="A386" s="20">
        <f t="shared" si="5"/>
        <v>8</v>
      </c>
    </row>
    <row r="387" spans="1:1">
      <c r="A387" s="20">
        <f t="shared" si="5"/>
        <v>8</v>
      </c>
    </row>
    <row r="388" spans="1:1">
      <c r="A388" s="20">
        <f t="shared" si="5"/>
        <v>8</v>
      </c>
    </row>
    <row r="389" spans="1:1">
      <c r="A389" s="20">
        <f t="shared" si="5"/>
        <v>8</v>
      </c>
    </row>
    <row r="390" spans="1:1">
      <c r="A390" s="20">
        <f t="shared" si="5"/>
        <v>8</v>
      </c>
    </row>
    <row r="391" spans="1:1">
      <c r="A391" s="20">
        <f t="shared" si="5"/>
        <v>8</v>
      </c>
    </row>
    <row r="392" spans="1:1">
      <c r="A392" s="20">
        <f t="shared" si="5"/>
        <v>8</v>
      </c>
    </row>
    <row r="393" spans="1:1">
      <c r="A393" s="20">
        <f t="shared" si="5"/>
        <v>8</v>
      </c>
    </row>
    <row r="394" spans="1:1">
      <c r="A394" s="20">
        <f t="shared" si="5"/>
        <v>8</v>
      </c>
    </row>
    <row r="395" spans="1:1">
      <c r="A395" s="20">
        <f t="shared" ref="A395:A458" si="6">IF(B395=B394, A394, A394+1)</f>
        <v>8</v>
      </c>
    </row>
    <row r="396" spans="1:1">
      <c r="A396" s="20">
        <f t="shared" si="6"/>
        <v>8</v>
      </c>
    </row>
    <row r="397" spans="1:1">
      <c r="A397" s="20">
        <f t="shared" si="6"/>
        <v>8</v>
      </c>
    </row>
    <row r="398" spans="1:1">
      <c r="A398" s="20">
        <f t="shared" si="6"/>
        <v>8</v>
      </c>
    </row>
    <row r="399" spans="1:1">
      <c r="A399" s="20">
        <f t="shared" si="6"/>
        <v>8</v>
      </c>
    </row>
    <row r="400" spans="1:1">
      <c r="A400" s="20">
        <f t="shared" si="6"/>
        <v>8</v>
      </c>
    </row>
    <row r="401" spans="1:1">
      <c r="A401" s="20">
        <f t="shared" si="6"/>
        <v>8</v>
      </c>
    </row>
    <row r="402" spans="1:1">
      <c r="A402" s="20">
        <f t="shared" si="6"/>
        <v>8</v>
      </c>
    </row>
    <row r="403" spans="1:1">
      <c r="A403" s="20">
        <f t="shared" si="6"/>
        <v>8</v>
      </c>
    </row>
    <row r="404" spans="1:1">
      <c r="A404" s="20">
        <f t="shared" si="6"/>
        <v>8</v>
      </c>
    </row>
    <row r="405" spans="1:1">
      <c r="A405" s="20">
        <f t="shared" si="6"/>
        <v>8</v>
      </c>
    </row>
    <row r="406" spans="1:1">
      <c r="A406" s="20">
        <f t="shared" si="6"/>
        <v>8</v>
      </c>
    </row>
    <row r="407" spans="1:1">
      <c r="A407" s="20">
        <f t="shared" si="6"/>
        <v>8</v>
      </c>
    </row>
    <row r="408" spans="1:1">
      <c r="A408" s="20">
        <f t="shared" si="6"/>
        <v>8</v>
      </c>
    </row>
    <row r="409" spans="1:1">
      <c r="A409" s="20">
        <f t="shared" si="6"/>
        <v>8</v>
      </c>
    </row>
    <row r="410" spans="1:1">
      <c r="A410" s="20">
        <f t="shared" si="6"/>
        <v>8</v>
      </c>
    </row>
    <row r="411" spans="1:1">
      <c r="A411" s="20">
        <f t="shared" si="6"/>
        <v>8</v>
      </c>
    </row>
    <row r="412" spans="1:1">
      <c r="A412" s="20">
        <f t="shared" si="6"/>
        <v>8</v>
      </c>
    </row>
    <row r="413" spans="1:1">
      <c r="A413" s="20">
        <f t="shared" si="6"/>
        <v>8</v>
      </c>
    </row>
    <row r="414" spans="1:1">
      <c r="A414" s="20">
        <f t="shared" si="6"/>
        <v>8</v>
      </c>
    </row>
    <row r="415" spans="1:1">
      <c r="A415" s="20">
        <f t="shared" si="6"/>
        <v>8</v>
      </c>
    </row>
    <row r="416" spans="1:1">
      <c r="A416" s="20">
        <f t="shared" si="6"/>
        <v>8</v>
      </c>
    </row>
    <row r="417" spans="1:1">
      <c r="A417" s="20">
        <f t="shared" si="6"/>
        <v>8</v>
      </c>
    </row>
    <row r="418" spans="1:1">
      <c r="A418" s="20">
        <f t="shared" si="6"/>
        <v>8</v>
      </c>
    </row>
    <row r="419" spans="1:1">
      <c r="A419" s="20">
        <f t="shared" si="6"/>
        <v>8</v>
      </c>
    </row>
    <row r="420" spans="1:1">
      <c r="A420" s="20">
        <f t="shared" si="6"/>
        <v>8</v>
      </c>
    </row>
    <row r="421" spans="1:1">
      <c r="A421" s="20">
        <f t="shared" si="6"/>
        <v>8</v>
      </c>
    </row>
    <row r="422" spans="1:1">
      <c r="A422" s="20">
        <f t="shared" si="6"/>
        <v>8</v>
      </c>
    </row>
    <row r="423" spans="1:1">
      <c r="A423" s="20">
        <f t="shared" si="6"/>
        <v>8</v>
      </c>
    </row>
    <row r="424" spans="1:1">
      <c r="A424" s="20">
        <f t="shared" si="6"/>
        <v>8</v>
      </c>
    </row>
    <row r="425" spans="1:1">
      <c r="A425" s="20">
        <f t="shared" si="6"/>
        <v>8</v>
      </c>
    </row>
    <row r="426" spans="1:1">
      <c r="A426" s="20">
        <f t="shared" si="6"/>
        <v>8</v>
      </c>
    </row>
    <row r="427" spans="1:1">
      <c r="A427" s="20">
        <f t="shared" si="6"/>
        <v>8</v>
      </c>
    </row>
    <row r="428" spans="1:1">
      <c r="A428" s="20">
        <f t="shared" si="6"/>
        <v>8</v>
      </c>
    </row>
    <row r="429" spans="1:1">
      <c r="A429" s="20">
        <f t="shared" si="6"/>
        <v>8</v>
      </c>
    </row>
    <row r="430" spans="1:1">
      <c r="A430" s="20">
        <f t="shared" si="6"/>
        <v>8</v>
      </c>
    </row>
    <row r="431" spans="1:1">
      <c r="A431" s="20">
        <f t="shared" si="6"/>
        <v>8</v>
      </c>
    </row>
    <row r="432" spans="1:1">
      <c r="A432" s="20">
        <f t="shared" si="6"/>
        <v>8</v>
      </c>
    </row>
    <row r="433" spans="1:1">
      <c r="A433" s="20">
        <f t="shared" si="6"/>
        <v>8</v>
      </c>
    </row>
    <row r="434" spans="1:1">
      <c r="A434" s="20">
        <f t="shared" si="6"/>
        <v>8</v>
      </c>
    </row>
    <row r="435" spans="1:1">
      <c r="A435" s="20">
        <f t="shared" si="6"/>
        <v>8</v>
      </c>
    </row>
    <row r="436" spans="1:1">
      <c r="A436" s="20">
        <f t="shared" si="6"/>
        <v>8</v>
      </c>
    </row>
    <row r="437" spans="1:1">
      <c r="A437" s="20">
        <f t="shared" si="6"/>
        <v>8</v>
      </c>
    </row>
    <row r="438" spans="1:1">
      <c r="A438" s="20">
        <f t="shared" si="6"/>
        <v>8</v>
      </c>
    </row>
    <row r="439" spans="1:1">
      <c r="A439" s="20">
        <f t="shared" si="6"/>
        <v>8</v>
      </c>
    </row>
    <row r="440" spans="1:1">
      <c r="A440" s="20">
        <f t="shared" si="6"/>
        <v>8</v>
      </c>
    </row>
    <row r="441" spans="1:1">
      <c r="A441" s="20">
        <f t="shared" si="6"/>
        <v>8</v>
      </c>
    </row>
    <row r="442" spans="1:1">
      <c r="A442" s="20">
        <f t="shared" si="6"/>
        <v>8</v>
      </c>
    </row>
    <row r="443" spans="1:1">
      <c r="A443" s="20">
        <f t="shared" si="6"/>
        <v>8</v>
      </c>
    </row>
    <row r="444" spans="1:1">
      <c r="A444" s="20">
        <f t="shared" si="6"/>
        <v>8</v>
      </c>
    </row>
    <row r="445" spans="1:1">
      <c r="A445" s="20">
        <f t="shared" si="6"/>
        <v>8</v>
      </c>
    </row>
    <row r="446" spans="1:1">
      <c r="A446" s="20">
        <f t="shared" si="6"/>
        <v>8</v>
      </c>
    </row>
    <row r="447" spans="1:1">
      <c r="A447" s="20">
        <f t="shared" si="6"/>
        <v>8</v>
      </c>
    </row>
    <row r="448" spans="1:1">
      <c r="A448" s="20">
        <f t="shared" si="6"/>
        <v>8</v>
      </c>
    </row>
    <row r="449" spans="1:1">
      <c r="A449" s="20">
        <f t="shared" si="6"/>
        <v>8</v>
      </c>
    </row>
    <row r="450" spans="1:1">
      <c r="A450" s="20">
        <f t="shared" si="6"/>
        <v>8</v>
      </c>
    </row>
    <row r="451" spans="1:1">
      <c r="A451" s="20">
        <f t="shared" si="6"/>
        <v>8</v>
      </c>
    </row>
    <row r="452" spans="1:1">
      <c r="A452" s="20">
        <f t="shared" si="6"/>
        <v>8</v>
      </c>
    </row>
    <row r="453" spans="1:1">
      <c r="A453" s="20">
        <f t="shared" si="6"/>
        <v>8</v>
      </c>
    </row>
    <row r="454" spans="1:1">
      <c r="A454" s="20">
        <f t="shared" si="6"/>
        <v>8</v>
      </c>
    </row>
    <row r="455" spans="1:1">
      <c r="A455" s="20">
        <f t="shared" si="6"/>
        <v>8</v>
      </c>
    </row>
    <row r="456" spans="1:1">
      <c r="A456" s="20">
        <f t="shared" si="6"/>
        <v>8</v>
      </c>
    </row>
    <row r="457" spans="1:1">
      <c r="A457" s="20">
        <f t="shared" si="6"/>
        <v>8</v>
      </c>
    </row>
    <row r="458" spans="1:1">
      <c r="A458" s="20">
        <f t="shared" si="6"/>
        <v>8</v>
      </c>
    </row>
    <row r="459" spans="1:1">
      <c r="A459" s="20">
        <f t="shared" ref="A459:A522" si="7">IF(B459=B458, A458, A458+1)</f>
        <v>8</v>
      </c>
    </row>
    <row r="460" spans="1:1">
      <c r="A460" s="20">
        <f t="shared" si="7"/>
        <v>8</v>
      </c>
    </row>
    <row r="461" spans="1:1">
      <c r="A461" s="20">
        <f t="shared" si="7"/>
        <v>8</v>
      </c>
    </row>
    <row r="462" spans="1:1">
      <c r="A462" s="20">
        <f t="shared" si="7"/>
        <v>8</v>
      </c>
    </row>
    <row r="463" spans="1:1">
      <c r="A463" s="20">
        <f t="shared" si="7"/>
        <v>8</v>
      </c>
    </row>
    <row r="464" spans="1:1">
      <c r="A464" s="20">
        <f t="shared" si="7"/>
        <v>8</v>
      </c>
    </row>
    <row r="465" spans="1:1">
      <c r="A465" s="20">
        <f t="shared" si="7"/>
        <v>8</v>
      </c>
    </row>
    <row r="466" spans="1:1">
      <c r="A466" s="20">
        <f t="shared" si="7"/>
        <v>8</v>
      </c>
    </row>
    <row r="467" spans="1:1">
      <c r="A467" s="20">
        <f t="shared" si="7"/>
        <v>8</v>
      </c>
    </row>
    <row r="468" spans="1:1">
      <c r="A468" s="20">
        <f t="shared" si="7"/>
        <v>8</v>
      </c>
    </row>
    <row r="469" spans="1:1">
      <c r="A469" s="20">
        <f t="shared" si="7"/>
        <v>8</v>
      </c>
    </row>
    <row r="470" spans="1:1">
      <c r="A470" s="20">
        <f t="shared" si="7"/>
        <v>8</v>
      </c>
    </row>
    <row r="471" spans="1:1">
      <c r="A471" s="20">
        <f t="shared" si="7"/>
        <v>8</v>
      </c>
    </row>
    <row r="472" spans="1:1">
      <c r="A472" s="20">
        <f t="shared" si="7"/>
        <v>8</v>
      </c>
    </row>
    <row r="473" spans="1:1">
      <c r="A473" s="20">
        <f t="shared" si="7"/>
        <v>8</v>
      </c>
    </row>
    <row r="474" spans="1:1">
      <c r="A474" s="20">
        <f t="shared" si="7"/>
        <v>8</v>
      </c>
    </row>
    <row r="475" spans="1:1">
      <c r="A475" s="20">
        <f t="shared" si="7"/>
        <v>8</v>
      </c>
    </row>
    <row r="476" spans="1:1">
      <c r="A476" s="20">
        <f t="shared" si="7"/>
        <v>8</v>
      </c>
    </row>
    <row r="477" spans="1:1">
      <c r="A477" s="20">
        <f t="shared" si="7"/>
        <v>8</v>
      </c>
    </row>
    <row r="478" spans="1:1">
      <c r="A478" s="20">
        <f t="shared" si="7"/>
        <v>8</v>
      </c>
    </row>
    <row r="479" spans="1:1">
      <c r="A479" s="20">
        <f t="shared" si="7"/>
        <v>8</v>
      </c>
    </row>
    <row r="480" spans="1:1">
      <c r="A480" s="20">
        <f t="shared" si="7"/>
        <v>8</v>
      </c>
    </row>
    <row r="481" spans="1:1">
      <c r="A481" s="20">
        <f t="shared" si="7"/>
        <v>8</v>
      </c>
    </row>
    <row r="482" spans="1:1">
      <c r="A482" s="20">
        <f t="shared" si="7"/>
        <v>8</v>
      </c>
    </row>
    <row r="483" spans="1:1">
      <c r="A483" s="20">
        <f t="shared" si="7"/>
        <v>8</v>
      </c>
    </row>
    <row r="484" spans="1:1">
      <c r="A484" s="20">
        <f t="shared" si="7"/>
        <v>8</v>
      </c>
    </row>
    <row r="485" spans="1:1">
      <c r="A485" s="20">
        <f t="shared" si="7"/>
        <v>8</v>
      </c>
    </row>
    <row r="486" spans="1:1">
      <c r="A486" s="20">
        <f t="shared" si="7"/>
        <v>8</v>
      </c>
    </row>
    <row r="487" spans="1:1">
      <c r="A487" s="20">
        <f t="shared" si="7"/>
        <v>8</v>
      </c>
    </row>
    <row r="488" spans="1:1">
      <c r="A488" s="20">
        <f t="shared" si="7"/>
        <v>8</v>
      </c>
    </row>
    <row r="489" spans="1:1">
      <c r="A489" s="20">
        <f t="shared" si="7"/>
        <v>8</v>
      </c>
    </row>
    <row r="490" spans="1:1">
      <c r="A490" s="20">
        <f t="shared" si="7"/>
        <v>8</v>
      </c>
    </row>
    <row r="491" spans="1:1">
      <c r="A491" s="20">
        <f t="shared" si="7"/>
        <v>8</v>
      </c>
    </row>
    <row r="492" spans="1:1">
      <c r="A492" s="20">
        <f t="shared" si="7"/>
        <v>8</v>
      </c>
    </row>
    <row r="493" spans="1:1">
      <c r="A493" s="20">
        <f t="shared" si="7"/>
        <v>8</v>
      </c>
    </row>
    <row r="494" spans="1:1">
      <c r="A494" s="20">
        <f t="shared" si="7"/>
        <v>8</v>
      </c>
    </row>
    <row r="495" spans="1:1">
      <c r="A495" s="20">
        <f t="shared" si="7"/>
        <v>8</v>
      </c>
    </row>
    <row r="496" spans="1:1">
      <c r="A496" s="20">
        <f t="shared" si="7"/>
        <v>8</v>
      </c>
    </row>
    <row r="497" spans="1:1">
      <c r="A497" s="20">
        <f t="shared" si="7"/>
        <v>8</v>
      </c>
    </row>
    <row r="498" spans="1:1">
      <c r="A498" s="20">
        <f t="shared" si="7"/>
        <v>8</v>
      </c>
    </row>
    <row r="499" spans="1:1">
      <c r="A499" s="20">
        <f t="shared" si="7"/>
        <v>8</v>
      </c>
    </row>
    <row r="500" spans="1:1">
      <c r="A500" s="20">
        <f t="shared" si="7"/>
        <v>8</v>
      </c>
    </row>
    <row r="501" spans="1:1">
      <c r="A501" s="20">
        <f t="shared" si="7"/>
        <v>8</v>
      </c>
    </row>
    <row r="502" spans="1:1">
      <c r="A502" s="20">
        <f t="shared" si="7"/>
        <v>8</v>
      </c>
    </row>
    <row r="503" spans="1:1">
      <c r="A503" s="20">
        <f t="shared" si="7"/>
        <v>8</v>
      </c>
    </row>
    <row r="504" spans="1:1">
      <c r="A504" s="20">
        <f t="shared" si="7"/>
        <v>8</v>
      </c>
    </row>
    <row r="505" spans="1:1">
      <c r="A505" s="20">
        <f t="shared" si="7"/>
        <v>8</v>
      </c>
    </row>
    <row r="506" spans="1:1">
      <c r="A506" s="20">
        <f t="shared" si="7"/>
        <v>8</v>
      </c>
    </row>
    <row r="507" spans="1:1">
      <c r="A507" s="20">
        <f t="shared" si="7"/>
        <v>8</v>
      </c>
    </row>
    <row r="508" spans="1:1">
      <c r="A508" s="20">
        <f t="shared" si="7"/>
        <v>8</v>
      </c>
    </row>
    <row r="509" spans="1:1">
      <c r="A509" s="20">
        <f t="shared" si="7"/>
        <v>8</v>
      </c>
    </row>
    <row r="510" spans="1:1">
      <c r="A510" s="20">
        <f t="shared" si="7"/>
        <v>8</v>
      </c>
    </row>
    <row r="511" spans="1:1">
      <c r="A511" s="20">
        <f t="shared" si="7"/>
        <v>8</v>
      </c>
    </row>
    <row r="512" spans="1:1">
      <c r="A512" s="20">
        <f t="shared" si="7"/>
        <v>8</v>
      </c>
    </row>
    <row r="513" spans="1:1">
      <c r="A513" s="20">
        <f t="shared" si="7"/>
        <v>8</v>
      </c>
    </row>
    <row r="514" spans="1:1">
      <c r="A514" s="20">
        <f t="shared" si="7"/>
        <v>8</v>
      </c>
    </row>
    <row r="515" spans="1:1">
      <c r="A515" s="20">
        <f t="shared" si="7"/>
        <v>8</v>
      </c>
    </row>
    <row r="516" spans="1:1">
      <c r="A516" s="20">
        <f t="shared" si="7"/>
        <v>8</v>
      </c>
    </row>
    <row r="517" spans="1:1">
      <c r="A517" s="20">
        <f t="shared" si="7"/>
        <v>8</v>
      </c>
    </row>
    <row r="518" spans="1:1">
      <c r="A518" s="20">
        <f t="shared" si="7"/>
        <v>8</v>
      </c>
    </row>
    <row r="519" spans="1:1">
      <c r="A519" s="20">
        <f t="shared" si="7"/>
        <v>8</v>
      </c>
    </row>
    <row r="520" spans="1:1">
      <c r="A520" s="20">
        <f t="shared" si="7"/>
        <v>8</v>
      </c>
    </row>
    <row r="521" spans="1:1">
      <c r="A521" s="20">
        <f t="shared" si="7"/>
        <v>8</v>
      </c>
    </row>
    <row r="522" spans="1:1">
      <c r="A522" s="20">
        <f t="shared" si="7"/>
        <v>8</v>
      </c>
    </row>
    <row r="523" spans="1:1">
      <c r="A523" s="20">
        <f t="shared" ref="A523:A586" si="8">IF(B523=B522, A522, A522+1)</f>
        <v>8</v>
      </c>
    </row>
    <row r="524" spans="1:1">
      <c r="A524" s="20">
        <f t="shared" si="8"/>
        <v>8</v>
      </c>
    </row>
    <row r="525" spans="1:1">
      <c r="A525" s="20">
        <f t="shared" si="8"/>
        <v>8</v>
      </c>
    </row>
    <row r="526" spans="1:1">
      <c r="A526" s="20">
        <f t="shared" si="8"/>
        <v>8</v>
      </c>
    </row>
    <row r="527" spans="1:1">
      <c r="A527" s="20">
        <f t="shared" si="8"/>
        <v>8</v>
      </c>
    </row>
    <row r="528" spans="1:1">
      <c r="A528" s="20">
        <f t="shared" si="8"/>
        <v>8</v>
      </c>
    </row>
    <row r="529" spans="1:1">
      <c r="A529" s="20">
        <f t="shared" si="8"/>
        <v>8</v>
      </c>
    </row>
    <row r="530" spans="1:1">
      <c r="A530" s="20">
        <f t="shared" si="8"/>
        <v>8</v>
      </c>
    </row>
    <row r="531" spans="1:1">
      <c r="A531" s="20">
        <f t="shared" si="8"/>
        <v>8</v>
      </c>
    </row>
    <row r="532" spans="1:1">
      <c r="A532" s="20">
        <f t="shared" si="8"/>
        <v>8</v>
      </c>
    </row>
    <row r="533" spans="1:1">
      <c r="A533" s="20">
        <f t="shared" si="8"/>
        <v>8</v>
      </c>
    </row>
    <row r="534" spans="1:1">
      <c r="A534" s="20">
        <f t="shared" si="8"/>
        <v>8</v>
      </c>
    </row>
    <row r="535" spans="1:1">
      <c r="A535" s="20">
        <f t="shared" si="8"/>
        <v>8</v>
      </c>
    </row>
    <row r="536" spans="1:1">
      <c r="A536" s="20">
        <f t="shared" si="8"/>
        <v>8</v>
      </c>
    </row>
    <row r="537" spans="1:1">
      <c r="A537" s="20">
        <f t="shared" si="8"/>
        <v>8</v>
      </c>
    </row>
    <row r="538" spans="1:1">
      <c r="A538" s="20">
        <f t="shared" si="8"/>
        <v>8</v>
      </c>
    </row>
    <row r="539" spans="1:1">
      <c r="A539" s="20">
        <f t="shared" si="8"/>
        <v>8</v>
      </c>
    </row>
    <row r="540" spans="1:1">
      <c r="A540" s="20">
        <f t="shared" si="8"/>
        <v>8</v>
      </c>
    </row>
    <row r="541" spans="1:1">
      <c r="A541" s="20">
        <f t="shared" si="8"/>
        <v>8</v>
      </c>
    </row>
    <row r="542" spans="1:1">
      <c r="A542" s="20">
        <f t="shared" si="8"/>
        <v>8</v>
      </c>
    </row>
    <row r="543" spans="1:1">
      <c r="A543" s="20">
        <f t="shared" si="8"/>
        <v>8</v>
      </c>
    </row>
    <row r="544" spans="1:1">
      <c r="A544" s="20">
        <f t="shared" si="8"/>
        <v>8</v>
      </c>
    </row>
    <row r="545" spans="1:1">
      <c r="A545" s="20">
        <f t="shared" si="8"/>
        <v>8</v>
      </c>
    </row>
    <row r="546" spans="1:1">
      <c r="A546" s="20">
        <f t="shared" si="8"/>
        <v>8</v>
      </c>
    </row>
    <row r="547" spans="1:1">
      <c r="A547" s="20">
        <f t="shared" si="8"/>
        <v>8</v>
      </c>
    </row>
    <row r="548" spans="1:1">
      <c r="A548" s="20">
        <f t="shared" si="8"/>
        <v>8</v>
      </c>
    </row>
    <row r="549" spans="1:1">
      <c r="A549" s="20">
        <f t="shared" si="8"/>
        <v>8</v>
      </c>
    </row>
    <row r="550" spans="1:1">
      <c r="A550" s="20">
        <f t="shared" si="8"/>
        <v>8</v>
      </c>
    </row>
    <row r="551" spans="1:1">
      <c r="A551" s="20">
        <f t="shared" si="8"/>
        <v>8</v>
      </c>
    </row>
    <row r="552" spans="1:1">
      <c r="A552" s="20">
        <f t="shared" si="8"/>
        <v>8</v>
      </c>
    </row>
    <row r="553" spans="1:1">
      <c r="A553" s="20">
        <f t="shared" si="8"/>
        <v>8</v>
      </c>
    </row>
    <row r="554" spans="1:1">
      <c r="A554" s="20">
        <f t="shared" si="8"/>
        <v>8</v>
      </c>
    </row>
    <row r="555" spans="1:1">
      <c r="A555" s="20">
        <f t="shared" si="8"/>
        <v>8</v>
      </c>
    </row>
    <row r="556" spans="1:1">
      <c r="A556" s="20">
        <f t="shared" si="8"/>
        <v>8</v>
      </c>
    </row>
    <row r="557" spans="1:1">
      <c r="A557" s="20">
        <f t="shared" si="8"/>
        <v>8</v>
      </c>
    </row>
    <row r="558" spans="1:1">
      <c r="A558" s="20">
        <f t="shared" si="8"/>
        <v>8</v>
      </c>
    </row>
    <row r="559" spans="1:1">
      <c r="A559" s="20">
        <f t="shared" si="8"/>
        <v>8</v>
      </c>
    </row>
    <row r="560" spans="1:1">
      <c r="A560" s="20">
        <f t="shared" si="8"/>
        <v>8</v>
      </c>
    </row>
    <row r="561" spans="1:1">
      <c r="A561" s="20">
        <f t="shared" si="8"/>
        <v>8</v>
      </c>
    </row>
    <row r="562" spans="1:1">
      <c r="A562" s="20">
        <f t="shared" si="8"/>
        <v>8</v>
      </c>
    </row>
    <row r="563" spans="1:1">
      <c r="A563" s="20">
        <f t="shared" si="8"/>
        <v>8</v>
      </c>
    </row>
    <row r="564" spans="1:1">
      <c r="A564" s="20">
        <f t="shared" si="8"/>
        <v>8</v>
      </c>
    </row>
    <row r="565" spans="1:1">
      <c r="A565" s="20">
        <f t="shared" si="8"/>
        <v>8</v>
      </c>
    </row>
    <row r="566" spans="1:1">
      <c r="A566" s="20">
        <f t="shared" si="8"/>
        <v>8</v>
      </c>
    </row>
    <row r="567" spans="1:1">
      <c r="A567" s="20">
        <f t="shared" si="8"/>
        <v>8</v>
      </c>
    </row>
    <row r="568" spans="1:1">
      <c r="A568" s="20">
        <f t="shared" si="8"/>
        <v>8</v>
      </c>
    </row>
    <row r="569" spans="1:1">
      <c r="A569" s="20">
        <f t="shared" si="8"/>
        <v>8</v>
      </c>
    </row>
    <row r="570" spans="1:1">
      <c r="A570" s="20">
        <f t="shared" si="8"/>
        <v>8</v>
      </c>
    </row>
    <row r="571" spans="1:1">
      <c r="A571" s="20">
        <f t="shared" si="8"/>
        <v>8</v>
      </c>
    </row>
    <row r="572" spans="1:1">
      <c r="A572" s="20">
        <f t="shared" si="8"/>
        <v>8</v>
      </c>
    </row>
    <row r="573" spans="1:1">
      <c r="A573" s="20">
        <f t="shared" si="8"/>
        <v>8</v>
      </c>
    </row>
    <row r="574" spans="1:1">
      <c r="A574" s="20">
        <f t="shared" si="8"/>
        <v>8</v>
      </c>
    </row>
    <row r="575" spans="1:1">
      <c r="A575" s="20">
        <f t="shared" si="8"/>
        <v>8</v>
      </c>
    </row>
    <row r="576" spans="1:1">
      <c r="A576" s="20">
        <f t="shared" si="8"/>
        <v>8</v>
      </c>
    </row>
    <row r="577" spans="1:1">
      <c r="A577" s="20">
        <f t="shared" si="8"/>
        <v>8</v>
      </c>
    </row>
    <row r="578" spans="1:1">
      <c r="A578" s="20">
        <f t="shared" si="8"/>
        <v>8</v>
      </c>
    </row>
    <row r="579" spans="1:1">
      <c r="A579" s="20">
        <f t="shared" si="8"/>
        <v>8</v>
      </c>
    </row>
    <row r="580" spans="1:1">
      <c r="A580" s="20">
        <f t="shared" si="8"/>
        <v>8</v>
      </c>
    </row>
    <row r="581" spans="1:1">
      <c r="A581" s="20">
        <f t="shared" si="8"/>
        <v>8</v>
      </c>
    </row>
    <row r="582" spans="1:1">
      <c r="A582" s="20">
        <f t="shared" si="8"/>
        <v>8</v>
      </c>
    </row>
    <row r="583" spans="1:1">
      <c r="A583" s="20">
        <f t="shared" si="8"/>
        <v>8</v>
      </c>
    </row>
    <row r="584" spans="1:1">
      <c r="A584" s="20">
        <f t="shared" si="8"/>
        <v>8</v>
      </c>
    </row>
    <row r="585" spans="1:1">
      <c r="A585" s="20">
        <f t="shared" si="8"/>
        <v>8</v>
      </c>
    </row>
    <row r="586" spans="1:1">
      <c r="A586" s="20">
        <f t="shared" si="8"/>
        <v>8</v>
      </c>
    </row>
    <row r="587" spans="1:1">
      <c r="A587" s="20">
        <f t="shared" ref="A587:A650" si="9">IF(B587=B586, A586, A586+1)</f>
        <v>8</v>
      </c>
    </row>
    <row r="588" spans="1:1">
      <c r="A588" s="20">
        <f t="shared" si="9"/>
        <v>8</v>
      </c>
    </row>
    <row r="589" spans="1:1">
      <c r="A589" s="20">
        <f t="shared" si="9"/>
        <v>8</v>
      </c>
    </row>
    <row r="590" spans="1:1">
      <c r="A590" s="20">
        <f t="shared" si="9"/>
        <v>8</v>
      </c>
    </row>
    <row r="591" spans="1:1">
      <c r="A591" s="20">
        <f t="shared" si="9"/>
        <v>8</v>
      </c>
    </row>
    <row r="592" spans="1:1">
      <c r="A592" s="20">
        <f t="shared" si="9"/>
        <v>8</v>
      </c>
    </row>
    <row r="593" spans="1:1">
      <c r="A593" s="20">
        <f t="shared" si="9"/>
        <v>8</v>
      </c>
    </row>
    <row r="594" spans="1:1">
      <c r="A594" s="20">
        <f t="shared" si="9"/>
        <v>8</v>
      </c>
    </row>
    <row r="595" spans="1:1">
      <c r="A595" s="20">
        <f t="shared" si="9"/>
        <v>8</v>
      </c>
    </row>
    <row r="596" spans="1:1">
      <c r="A596" s="20">
        <f t="shared" si="9"/>
        <v>8</v>
      </c>
    </row>
    <row r="597" spans="1:1">
      <c r="A597" s="20">
        <f t="shared" si="9"/>
        <v>8</v>
      </c>
    </row>
    <row r="598" spans="1:1">
      <c r="A598" s="20">
        <f t="shared" si="9"/>
        <v>8</v>
      </c>
    </row>
    <row r="599" spans="1:1">
      <c r="A599" s="20">
        <f t="shared" si="9"/>
        <v>8</v>
      </c>
    </row>
    <row r="600" spans="1:1">
      <c r="A600" s="20">
        <f t="shared" si="9"/>
        <v>8</v>
      </c>
    </row>
    <row r="601" spans="1:1">
      <c r="A601" s="20">
        <f t="shared" si="9"/>
        <v>8</v>
      </c>
    </row>
    <row r="602" spans="1:1">
      <c r="A602" s="20">
        <f t="shared" si="9"/>
        <v>8</v>
      </c>
    </row>
    <row r="603" spans="1:1">
      <c r="A603" s="20">
        <f t="shared" si="9"/>
        <v>8</v>
      </c>
    </row>
    <row r="604" spans="1:1">
      <c r="A604" s="20">
        <f t="shared" si="9"/>
        <v>8</v>
      </c>
    </row>
    <row r="605" spans="1:1">
      <c r="A605" s="20">
        <f t="shared" si="9"/>
        <v>8</v>
      </c>
    </row>
    <row r="606" spans="1:1">
      <c r="A606" s="20">
        <f t="shared" si="9"/>
        <v>8</v>
      </c>
    </row>
    <row r="607" spans="1:1">
      <c r="A607" s="20">
        <f t="shared" si="9"/>
        <v>8</v>
      </c>
    </row>
    <row r="608" spans="1:1">
      <c r="A608" s="20">
        <f t="shared" si="9"/>
        <v>8</v>
      </c>
    </row>
    <row r="609" spans="1:1">
      <c r="A609" s="20">
        <f t="shared" si="9"/>
        <v>8</v>
      </c>
    </row>
    <row r="610" spans="1:1">
      <c r="A610" s="20">
        <f t="shared" si="9"/>
        <v>8</v>
      </c>
    </row>
    <row r="611" spans="1:1">
      <c r="A611" s="20">
        <f t="shared" si="9"/>
        <v>8</v>
      </c>
    </row>
    <row r="612" spans="1:1">
      <c r="A612" s="20">
        <f t="shared" si="9"/>
        <v>8</v>
      </c>
    </row>
    <row r="613" spans="1:1">
      <c r="A613" s="20">
        <f t="shared" si="9"/>
        <v>8</v>
      </c>
    </row>
    <row r="614" spans="1:1">
      <c r="A614" s="20">
        <f t="shared" si="9"/>
        <v>8</v>
      </c>
    </row>
    <row r="615" spans="1:1">
      <c r="A615" s="20">
        <f t="shared" si="9"/>
        <v>8</v>
      </c>
    </row>
    <row r="616" spans="1:1">
      <c r="A616" s="20">
        <f t="shared" si="9"/>
        <v>8</v>
      </c>
    </row>
    <row r="617" spans="1:1">
      <c r="A617" s="20">
        <f t="shared" si="9"/>
        <v>8</v>
      </c>
    </row>
    <row r="618" spans="1:1">
      <c r="A618" s="20">
        <f t="shared" si="9"/>
        <v>8</v>
      </c>
    </row>
    <row r="619" spans="1:1">
      <c r="A619" s="20">
        <f t="shared" si="9"/>
        <v>8</v>
      </c>
    </row>
    <row r="620" spans="1:1">
      <c r="A620" s="20">
        <f t="shared" si="9"/>
        <v>8</v>
      </c>
    </row>
    <row r="621" spans="1:1">
      <c r="A621" s="20">
        <f t="shared" si="9"/>
        <v>8</v>
      </c>
    </row>
    <row r="622" spans="1:1">
      <c r="A622" s="20">
        <f t="shared" si="9"/>
        <v>8</v>
      </c>
    </row>
    <row r="623" spans="1:1">
      <c r="A623" s="20">
        <f t="shared" si="9"/>
        <v>8</v>
      </c>
    </row>
    <row r="624" spans="1:1">
      <c r="A624" s="20">
        <f t="shared" si="9"/>
        <v>8</v>
      </c>
    </row>
    <row r="625" spans="1:1">
      <c r="A625" s="20">
        <f t="shared" si="9"/>
        <v>8</v>
      </c>
    </row>
    <row r="626" spans="1:1">
      <c r="A626" s="20">
        <f t="shared" si="9"/>
        <v>8</v>
      </c>
    </row>
    <row r="627" spans="1:1">
      <c r="A627" s="20">
        <f t="shared" si="9"/>
        <v>8</v>
      </c>
    </row>
    <row r="628" spans="1:1">
      <c r="A628" s="20">
        <f t="shared" si="9"/>
        <v>8</v>
      </c>
    </row>
    <row r="629" spans="1:1">
      <c r="A629" s="20">
        <f t="shared" si="9"/>
        <v>8</v>
      </c>
    </row>
    <row r="630" spans="1:1">
      <c r="A630" s="20">
        <f t="shared" si="9"/>
        <v>8</v>
      </c>
    </row>
    <row r="631" spans="1:1">
      <c r="A631" s="20">
        <f t="shared" si="9"/>
        <v>8</v>
      </c>
    </row>
    <row r="632" spans="1:1">
      <c r="A632" s="20">
        <f t="shared" si="9"/>
        <v>8</v>
      </c>
    </row>
    <row r="633" spans="1:1">
      <c r="A633" s="20">
        <f t="shared" si="9"/>
        <v>8</v>
      </c>
    </row>
    <row r="634" spans="1:1">
      <c r="A634" s="20">
        <f t="shared" si="9"/>
        <v>8</v>
      </c>
    </row>
    <row r="635" spans="1:1">
      <c r="A635" s="20">
        <f t="shared" si="9"/>
        <v>8</v>
      </c>
    </row>
    <row r="636" spans="1:1">
      <c r="A636" s="20">
        <f t="shared" si="9"/>
        <v>8</v>
      </c>
    </row>
    <row r="637" spans="1:1">
      <c r="A637" s="20">
        <f t="shared" si="9"/>
        <v>8</v>
      </c>
    </row>
    <row r="638" spans="1:1">
      <c r="A638" s="20">
        <f t="shared" si="9"/>
        <v>8</v>
      </c>
    </row>
    <row r="639" spans="1:1">
      <c r="A639" s="20">
        <f t="shared" si="9"/>
        <v>8</v>
      </c>
    </row>
    <row r="640" spans="1:1">
      <c r="A640" s="20">
        <f t="shared" si="9"/>
        <v>8</v>
      </c>
    </row>
    <row r="641" spans="1:1">
      <c r="A641" s="20">
        <f t="shared" si="9"/>
        <v>8</v>
      </c>
    </row>
    <row r="642" spans="1:1">
      <c r="A642" s="20">
        <f t="shared" si="9"/>
        <v>8</v>
      </c>
    </row>
    <row r="643" spans="1:1">
      <c r="A643" s="20">
        <f t="shared" si="9"/>
        <v>8</v>
      </c>
    </row>
    <row r="644" spans="1:1">
      <c r="A644" s="20">
        <f t="shared" si="9"/>
        <v>8</v>
      </c>
    </row>
    <row r="645" spans="1:1">
      <c r="A645" s="20">
        <f t="shared" si="9"/>
        <v>8</v>
      </c>
    </row>
    <row r="646" spans="1:1">
      <c r="A646" s="20">
        <f t="shared" si="9"/>
        <v>8</v>
      </c>
    </row>
    <row r="647" spans="1:1">
      <c r="A647" s="20">
        <f t="shared" si="9"/>
        <v>8</v>
      </c>
    </row>
    <row r="648" spans="1:1">
      <c r="A648" s="20">
        <f t="shared" si="9"/>
        <v>8</v>
      </c>
    </row>
    <row r="649" spans="1:1">
      <c r="A649" s="20">
        <f t="shared" si="9"/>
        <v>8</v>
      </c>
    </row>
    <row r="650" spans="1:1">
      <c r="A650" s="20">
        <f t="shared" si="9"/>
        <v>8</v>
      </c>
    </row>
    <row r="651" spans="1:1">
      <c r="A651" s="20">
        <f t="shared" ref="A651:A703" si="10">IF(B651=B650, A650, A650+1)</f>
        <v>8</v>
      </c>
    </row>
    <row r="652" spans="1:1">
      <c r="A652" s="20">
        <f t="shared" si="10"/>
        <v>8</v>
      </c>
    </row>
    <row r="653" spans="1:1">
      <c r="A653" s="20">
        <f t="shared" si="10"/>
        <v>8</v>
      </c>
    </row>
    <row r="654" spans="1:1">
      <c r="A654" s="20">
        <f t="shared" si="10"/>
        <v>8</v>
      </c>
    </row>
    <row r="655" spans="1:1">
      <c r="A655" s="20">
        <f t="shared" si="10"/>
        <v>8</v>
      </c>
    </row>
    <row r="656" spans="1:1">
      <c r="A656" s="20">
        <f t="shared" si="10"/>
        <v>8</v>
      </c>
    </row>
    <row r="657" spans="1:1">
      <c r="A657" s="20">
        <f t="shared" si="10"/>
        <v>8</v>
      </c>
    </row>
    <row r="658" spans="1:1">
      <c r="A658" s="20">
        <f t="shared" si="10"/>
        <v>8</v>
      </c>
    </row>
    <row r="659" spans="1:1">
      <c r="A659" s="20">
        <f t="shared" si="10"/>
        <v>8</v>
      </c>
    </row>
    <row r="660" spans="1:1">
      <c r="A660" s="20">
        <f t="shared" si="10"/>
        <v>8</v>
      </c>
    </row>
    <row r="661" spans="1:1">
      <c r="A661" s="20">
        <f t="shared" si="10"/>
        <v>8</v>
      </c>
    </row>
    <row r="662" spans="1:1">
      <c r="A662" s="20">
        <f t="shared" si="10"/>
        <v>8</v>
      </c>
    </row>
    <row r="663" spans="1:1">
      <c r="A663" s="20">
        <f t="shared" si="10"/>
        <v>8</v>
      </c>
    </row>
    <row r="664" spans="1:1">
      <c r="A664" s="20">
        <f t="shared" si="10"/>
        <v>8</v>
      </c>
    </row>
    <row r="665" spans="1:1">
      <c r="A665" s="20">
        <f t="shared" si="10"/>
        <v>8</v>
      </c>
    </row>
    <row r="666" spans="1:1">
      <c r="A666" s="20">
        <f t="shared" si="10"/>
        <v>8</v>
      </c>
    </row>
    <row r="667" spans="1:1">
      <c r="A667" s="20">
        <f t="shared" si="10"/>
        <v>8</v>
      </c>
    </row>
    <row r="668" spans="1:1">
      <c r="A668" s="20">
        <f t="shared" si="10"/>
        <v>8</v>
      </c>
    </row>
    <row r="669" spans="1:1">
      <c r="A669" s="20">
        <f t="shared" si="10"/>
        <v>8</v>
      </c>
    </row>
    <row r="670" spans="1:1">
      <c r="A670" s="20">
        <f t="shared" si="10"/>
        <v>8</v>
      </c>
    </row>
    <row r="671" spans="1:1">
      <c r="A671" s="20">
        <f t="shared" si="10"/>
        <v>8</v>
      </c>
    </row>
    <row r="672" spans="1:1">
      <c r="A672" s="20">
        <f t="shared" si="10"/>
        <v>8</v>
      </c>
    </row>
    <row r="673" spans="1:1">
      <c r="A673" s="20">
        <f t="shared" si="10"/>
        <v>8</v>
      </c>
    </row>
    <row r="674" spans="1:1">
      <c r="A674" s="20">
        <f t="shared" si="10"/>
        <v>8</v>
      </c>
    </row>
    <row r="675" spans="1:1">
      <c r="A675" s="20">
        <f t="shared" si="10"/>
        <v>8</v>
      </c>
    </row>
    <row r="676" spans="1:1">
      <c r="A676" s="20">
        <f t="shared" si="10"/>
        <v>8</v>
      </c>
    </row>
    <row r="677" spans="1:1">
      <c r="A677" s="20">
        <f t="shared" si="10"/>
        <v>8</v>
      </c>
    </row>
    <row r="678" spans="1:1">
      <c r="A678" s="20">
        <f t="shared" si="10"/>
        <v>8</v>
      </c>
    </row>
    <row r="679" spans="1:1">
      <c r="A679" s="20">
        <f t="shared" si="10"/>
        <v>8</v>
      </c>
    </row>
    <row r="680" spans="1:1">
      <c r="A680" s="20">
        <f t="shared" si="10"/>
        <v>8</v>
      </c>
    </row>
    <row r="681" spans="1:1">
      <c r="A681" s="20">
        <f t="shared" si="10"/>
        <v>8</v>
      </c>
    </row>
    <row r="682" spans="1:1">
      <c r="A682" s="20">
        <f t="shared" si="10"/>
        <v>8</v>
      </c>
    </row>
    <row r="683" spans="1:1">
      <c r="A683" s="20">
        <f t="shared" si="10"/>
        <v>8</v>
      </c>
    </row>
    <row r="684" spans="1:1">
      <c r="A684" s="20">
        <f t="shared" si="10"/>
        <v>8</v>
      </c>
    </row>
    <row r="685" spans="1:1">
      <c r="A685" s="20">
        <f t="shared" si="10"/>
        <v>8</v>
      </c>
    </row>
    <row r="686" spans="1:1">
      <c r="A686" s="20">
        <f t="shared" si="10"/>
        <v>8</v>
      </c>
    </row>
    <row r="687" spans="1:1">
      <c r="A687" s="20">
        <f t="shared" si="10"/>
        <v>8</v>
      </c>
    </row>
    <row r="688" spans="1:1">
      <c r="A688" s="20">
        <f t="shared" si="10"/>
        <v>8</v>
      </c>
    </row>
    <row r="689" spans="1:1">
      <c r="A689" s="20">
        <f t="shared" si="10"/>
        <v>8</v>
      </c>
    </row>
    <row r="690" spans="1:1">
      <c r="A690" s="20">
        <f t="shared" si="10"/>
        <v>8</v>
      </c>
    </row>
    <row r="691" spans="1:1">
      <c r="A691" s="20">
        <f t="shared" si="10"/>
        <v>8</v>
      </c>
    </row>
    <row r="692" spans="1:1">
      <c r="A692" s="20">
        <f t="shared" si="10"/>
        <v>8</v>
      </c>
    </row>
    <row r="693" spans="1:1">
      <c r="A693" s="20">
        <f t="shared" si="10"/>
        <v>8</v>
      </c>
    </row>
    <row r="694" spans="1:1">
      <c r="A694" s="20">
        <f t="shared" si="10"/>
        <v>8</v>
      </c>
    </row>
    <row r="695" spans="1:1">
      <c r="A695" s="20">
        <f t="shared" si="10"/>
        <v>8</v>
      </c>
    </row>
    <row r="696" spans="1:1">
      <c r="A696" s="20">
        <f t="shared" si="10"/>
        <v>8</v>
      </c>
    </row>
    <row r="697" spans="1:1">
      <c r="A697" s="20">
        <f t="shared" si="10"/>
        <v>8</v>
      </c>
    </row>
    <row r="698" spans="1:1">
      <c r="A698" s="20">
        <f t="shared" si="10"/>
        <v>8</v>
      </c>
    </row>
    <row r="699" spans="1:1">
      <c r="A699" s="20">
        <f t="shared" si="10"/>
        <v>8</v>
      </c>
    </row>
    <row r="700" spans="1:1">
      <c r="A700" s="20">
        <f t="shared" si="10"/>
        <v>8</v>
      </c>
    </row>
    <row r="701" spans="1:1">
      <c r="A701" s="20">
        <f t="shared" si="10"/>
        <v>8</v>
      </c>
    </row>
    <row r="702" spans="1:1">
      <c r="A702" s="20">
        <f t="shared" si="10"/>
        <v>8</v>
      </c>
    </row>
    <row r="703" spans="1:1">
      <c r="A703" s="20">
        <f t="shared" si="10"/>
        <v>8</v>
      </c>
    </row>
  </sheetData>
  <mergeCells count="1">
    <mergeCell ref="N1:O1"/>
  </mergeCells>
  <phoneticPr fontId="0" type="noConversion"/>
  <conditionalFormatting sqref="B3:G141 I3:L141">
    <cfRule type="expression" dxfId="0" priority="1">
      <formula>ISODD($A3)</formula>
    </cfRule>
  </conditionalFormatting>
  <hyperlinks>
    <hyperlink ref="N1:O1" location="Contents!A1" display="Back to Contents" xr:uid="{00000000-0004-0000-1A00-000000000000}"/>
  </hyperlinks>
  <pageMargins left="0.75" right="0.75" top="1" bottom="1" header="0.5" footer="0.5"/>
  <pageSetup paperSize="9" orientation="landscape" horizontalDpi="4294967292" verticalDpi="4294967292"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39997558519241921"/>
  </sheetPr>
  <dimension ref="A1:N25"/>
  <sheetViews>
    <sheetView workbookViewId="0"/>
  </sheetViews>
  <sheetFormatPr defaultColWidth="8.81640625" defaultRowHeight="12.5"/>
  <cols>
    <col min="2" max="3" width="9.453125" bestFit="1" customWidth="1"/>
    <col min="6" max="6" width="12.7265625" bestFit="1" customWidth="1"/>
    <col min="7" max="7" width="9.453125" bestFit="1" customWidth="1"/>
  </cols>
  <sheetData>
    <row r="1" spans="1:14" ht="26.25" customHeight="1">
      <c r="A1" s="17" t="s">
        <v>510</v>
      </c>
      <c r="B1" s="16"/>
      <c r="C1" s="16"/>
      <c r="D1" s="16"/>
      <c r="E1" s="16"/>
      <c r="F1" s="16"/>
      <c r="G1" s="16"/>
      <c r="M1" s="212" t="s">
        <v>79</v>
      </c>
      <c r="N1" s="212"/>
    </row>
    <row r="2" spans="1:14">
      <c r="B2" s="219" t="s">
        <v>511</v>
      </c>
      <c r="C2" s="219"/>
      <c r="D2" s="220" t="s">
        <v>512</v>
      </c>
      <c r="E2" s="220"/>
      <c r="F2" s="221" t="s">
        <v>513</v>
      </c>
      <c r="G2" s="221"/>
    </row>
    <row r="3" spans="1:14">
      <c r="A3" s="49" t="s">
        <v>299</v>
      </c>
      <c r="B3" s="49" t="s">
        <v>514</v>
      </c>
      <c r="C3" s="49" t="s">
        <v>515</v>
      </c>
      <c r="D3" s="49" t="s">
        <v>215</v>
      </c>
      <c r="E3" s="49" t="s">
        <v>516</v>
      </c>
      <c r="F3" s="42" t="s">
        <v>517</v>
      </c>
      <c r="G3" s="42" t="s">
        <v>82</v>
      </c>
      <c r="H3" s="42"/>
    </row>
    <row r="4" spans="1:14" ht="14.5">
      <c r="A4" s="49">
        <v>2001</v>
      </c>
      <c r="B4" s="66">
        <v>187147.73194999999</v>
      </c>
      <c r="C4" s="66">
        <v>176201</v>
      </c>
      <c r="D4" s="66">
        <v>183260.75218000001</v>
      </c>
      <c r="E4" s="66">
        <v>167221</v>
      </c>
      <c r="F4" s="66">
        <v>174604.97388000001</v>
      </c>
      <c r="G4" s="66">
        <v>196829</v>
      </c>
      <c r="H4" s="42"/>
      <c r="I4" s="204"/>
      <c r="J4" s="204"/>
    </row>
    <row r="5" spans="1:14" ht="14.5">
      <c r="A5" s="49">
        <v>2002</v>
      </c>
      <c r="B5" s="66">
        <v>193844.56967</v>
      </c>
      <c r="C5" s="66">
        <v>181479</v>
      </c>
      <c r="D5" s="66">
        <v>190301.50489000001</v>
      </c>
      <c r="E5" s="66">
        <v>171800</v>
      </c>
      <c r="F5" s="66">
        <v>179881.95237000001</v>
      </c>
      <c r="G5" s="66">
        <v>203608</v>
      </c>
      <c r="H5" s="42"/>
      <c r="I5" s="204"/>
      <c r="J5" s="204"/>
    </row>
    <row r="6" spans="1:14" ht="14.5">
      <c r="A6" s="49">
        <v>2003</v>
      </c>
      <c r="B6" s="66">
        <v>199027.62771999999</v>
      </c>
      <c r="C6" s="66">
        <v>187511</v>
      </c>
      <c r="D6" s="66">
        <v>198661.15478000001</v>
      </c>
      <c r="E6" s="66">
        <v>176475</v>
      </c>
      <c r="F6" s="66">
        <v>185798.34531</v>
      </c>
      <c r="G6" s="66">
        <v>211201</v>
      </c>
      <c r="H6" s="42"/>
      <c r="I6" s="204"/>
      <c r="J6" s="204"/>
    </row>
    <row r="7" spans="1:14" ht="14.5">
      <c r="A7" s="49">
        <v>2004</v>
      </c>
      <c r="B7" s="66">
        <v>207256.86105000001</v>
      </c>
      <c r="C7" s="66">
        <v>191478</v>
      </c>
      <c r="D7" s="66">
        <v>205530.22253</v>
      </c>
      <c r="E7" s="66">
        <v>179722</v>
      </c>
      <c r="F7" s="66">
        <v>190221.39324</v>
      </c>
      <c r="G7" s="66">
        <v>216514</v>
      </c>
      <c r="H7" s="42"/>
      <c r="I7" s="204"/>
      <c r="J7" s="204"/>
    </row>
    <row r="8" spans="1:14" ht="14.5">
      <c r="A8" s="49">
        <v>2005</v>
      </c>
      <c r="B8" s="66">
        <v>211113.25747000001</v>
      </c>
      <c r="C8" s="66">
        <v>194449</v>
      </c>
      <c r="D8" s="66">
        <v>211010.01048</v>
      </c>
      <c r="E8" s="66">
        <v>182758</v>
      </c>
      <c r="F8" s="66">
        <v>193247.26821000001</v>
      </c>
      <c r="G8" s="66">
        <v>221867</v>
      </c>
      <c r="H8" s="42"/>
      <c r="I8" s="204"/>
      <c r="J8" s="204"/>
    </row>
    <row r="9" spans="1:14" ht="14.5">
      <c r="A9" s="49">
        <v>2006</v>
      </c>
      <c r="B9" s="66">
        <v>217321.99041999999</v>
      </c>
      <c r="C9" s="66">
        <v>200294</v>
      </c>
      <c r="D9" s="66">
        <v>223970.43293000001</v>
      </c>
      <c r="E9" s="66">
        <v>185432</v>
      </c>
      <c r="F9" s="66">
        <v>198272.10086999999</v>
      </c>
      <c r="G9" s="66">
        <v>237719</v>
      </c>
      <c r="H9" s="42"/>
      <c r="I9" s="204"/>
      <c r="J9" s="204"/>
    </row>
    <row r="10" spans="1:14" ht="14.5">
      <c r="A10" s="49">
        <v>2007</v>
      </c>
      <c r="B10" s="66">
        <v>222510.89431999999</v>
      </c>
      <c r="C10" s="66">
        <v>201489</v>
      </c>
      <c r="D10" s="66">
        <v>224821.75531000001</v>
      </c>
      <c r="E10" s="66">
        <v>188847</v>
      </c>
      <c r="F10" s="66">
        <v>199835.55197999999</v>
      </c>
      <c r="G10" s="66">
        <v>241549</v>
      </c>
      <c r="H10" s="42"/>
      <c r="I10" s="204"/>
      <c r="J10" s="204"/>
    </row>
    <row r="11" spans="1:14" ht="14.5">
      <c r="A11" s="49">
        <v>2008</v>
      </c>
      <c r="B11" s="66">
        <v>227715.72657999999</v>
      </c>
      <c r="C11" s="66">
        <v>204188</v>
      </c>
      <c r="D11" s="66">
        <v>227589.42574999999</v>
      </c>
      <c r="E11" s="66">
        <v>192900</v>
      </c>
      <c r="F11" s="66">
        <v>202799.62156999999</v>
      </c>
      <c r="G11" s="66">
        <v>244887</v>
      </c>
      <c r="H11" s="42"/>
      <c r="I11" s="204"/>
      <c r="J11" s="204"/>
    </row>
    <row r="12" spans="1:14" ht="14.5">
      <c r="A12" s="49">
        <v>2009</v>
      </c>
      <c r="B12" s="66">
        <v>232437.07089</v>
      </c>
      <c r="C12" s="66">
        <v>205640</v>
      </c>
      <c r="D12" s="66">
        <v>228030.04467999999</v>
      </c>
      <c r="E12" s="66">
        <v>196342</v>
      </c>
      <c r="F12" s="66">
        <v>204618.08494999999</v>
      </c>
      <c r="G12" s="66">
        <v>247843</v>
      </c>
      <c r="H12" s="42"/>
      <c r="I12" s="204"/>
      <c r="J12" s="204"/>
    </row>
    <row r="13" spans="1:14" ht="14.5">
      <c r="A13" s="49">
        <v>2010</v>
      </c>
      <c r="B13" s="66">
        <v>239919.74882000001</v>
      </c>
      <c r="C13" s="66">
        <v>208705</v>
      </c>
      <c r="D13" s="66">
        <v>230940.47618</v>
      </c>
      <c r="E13" s="66">
        <v>200927</v>
      </c>
      <c r="F13" s="66">
        <v>207948.26725999999</v>
      </c>
      <c r="G13" s="66">
        <v>255028</v>
      </c>
      <c r="H13" s="42"/>
      <c r="I13" s="204"/>
      <c r="J13" s="204"/>
    </row>
    <row r="14" spans="1:14" ht="14.5">
      <c r="A14" s="49">
        <v>2011</v>
      </c>
      <c r="B14" s="66">
        <v>245237.76121</v>
      </c>
      <c r="C14" s="66">
        <v>213175</v>
      </c>
      <c r="D14" s="66">
        <v>235363.67997</v>
      </c>
      <c r="E14" s="66">
        <v>206405</v>
      </c>
      <c r="F14" s="66">
        <v>212611.46609999999</v>
      </c>
      <c r="G14" s="66">
        <v>260650</v>
      </c>
      <c r="H14" s="42"/>
      <c r="I14" s="204"/>
      <c r="J14" s="204"/>
    </row>
    <row r="15" spans="1:14" ht="14.5">
      <c r="A15" s="49">
        <v>2012</v>
      </c>
      <c r="B15" s="66">
        <v>251441.24223999999</v>
      </c>
      <c r="C15" s="66">
        <v>214576</v>
      </c>
      <c r="D15" s="66">
        <v>236188.11994</v>
      </c>
      <c r="E15" s="66">
        <v>209336</v>
      </c>
      <c r="F15" s="66">
        <v>214626.36464000001</v>
      </c>
      <c r="G15" s="66">
        <v>263327</v>
      </c>
      <c r="H15" s="42"/>
      <c r="I15" s="204"/>
      <c r="J15" s="204"/>
    </row>
    <row r="16" spans="1:14" ht="14.5">
      <c r="A16" s="49">
        <v>2013</v>
      </c>
      <c r="B16" s="66">
        <v>254099.30532000001</v>
      </c>
      <c r="C16" s="66">
        <v>216896</v>
      </c>
      <c r="D16" s="66">
        <v>237623.76805000001</v>
      </c>
      <c r="E16" s="66">
        <v>212077</v>
      </c>
      <c r="F16" s="66">
        <v>217126.34666000001</v>
      </c>
      <c r="G16" s="66">
        <v>265952</v>
      </c>
      <c r="H16" s="42"/>
      <c r="I16" s="204"/>
      <c r="J16" s="204"/>
    </row>
    <row r="17" spans="1:10" ht="14.5">
      <c r="A17" s="49">
        <v>2014</v>
      </c>
      <c r="B17" s="66">
        <v>259958.46059999999</v>
      </c>
      <c r="C17" s="66">
        <v>217993</v>
      </c>
      <c r="D17" s="66">
        <v>237853.78000999999</v>
      </c>
      <c r="E17" s="66">
        <v>214228</v>
      </c>
      <c r="F17" s="66">
        <v>218442.86093</v>
      </c>
      <c r="G17" s="66">
        <v>270076</v>
      </c>
      <c r="H17" s="42"/>
      <c r="I17" s="204"/>
      <c r="J17" s="204"/>
    </row>
    <row r="18" spans="1:10" ht="14.5">
      <c r="A18" s="49">
        <v>2015</v>
      </c>
      <c r="B18" s="66">
        <v>259978.25025000001</v>
      </c>
      <c r="C18" s="66">
        <v>217659</v>
      </c>
      <c r="D18" s="66">
        <v>236822.85745000001</v>
      </c>
      <c r="E18" s="66">
        <v>213951</v>
      </c>
      <c r="F18" s="66">
        <v>217905.31875999999</v>
      </c>
      <c r="G18" s="66">
        <v>270206</v>
      </c>
      <c r="H18" s="42"/>
      <c r="I18" s="204"/>
      <c r="J18" s="204"/>
    </row>
    <row r="19" spans="1:10" ht="14.5">
      <c r="A19" s="49">
        <v>2016</v>
      </c>
      <c r="B19" s="66">
        <v>263297.53970999998</v>
      </c>
      <c r="C19" s="66">
        <v>218128</v>
      </c>
      <c r="D19" s="66">
        <v>237551.37359</v>
      </c>
      <c r="E19" s="66">
        <v>214829</v>
      </c>
      <c r="F19" s="66">
        <v>218681.18416</v>
      </c>
      <c r="G19" s="66">
        <v>270859</v>
      </c>
      <c r="H19" s="42"/>
      <c r="I19" s="204"/>
      <c r="J19" s="204"/>
    </row>
    <row r="20" spans="1:10" ht="14.5">
      <c r="A20" s="49">
        <v>2017</v>
      </c>
      <c r="B20" s="66">
        <v>261073.67971</v>
      </c>
      <c r="C20" s="66">
        <v>214910</v>
      </c>
      <c r="D20" s="66">
        <v>233314.16631999999</v>
      </c>
      <c r="E20" s="66">
        <v>212006</v>
      </c>
      <c r="F20" s="66">
        <v>215399.86606</v>
      </c>
      <c r="G20" s="66">
        <v>267104</v>
      </c>
      <c r="I20" s="204"/>
      <c r="J20" s="204"/>
    </row>
    <row r="21" spans="1:10" ht="14.5">
      <c r="A21" s="49">
        <v>2018</v>
      </c>
      <c r="B21" s="66">
        <v>262279.54423</v>
      </c>
      <c r="C21" s="66">
        <v>213724</v>
      </c>
      <c r="D21" s="66">
        <v>233419.03782999999</v>
      </c>
      <c r="E21" s="66">
        <v>210789</v>
      </c>
      <c r="F21" s="66">
        <v>214279.61345999999</v>
      </c>
      <c r="G21" s="66">
        <v>268677</v>
      </c>
      <c r="I21" s="204"/>
      <c r="J21" s="204"/>
    </row>
    <row r="22" spans="1:10" ht="14.5">
      <c r="A22" s="49">
        <v>2019</v>
      </c>
      <c r="B22" s="66">
        <v>262466.46552999999</v>
      </c>
      <c r="C22" s="66">
        <v>211990</v>
      </c>
      <c r="D22" s="66">
        <v>232217.32266999999</v>
      </c>
      <c r="E22" s="66">
        <v>209187</v>
      </c>
      <c r="F22" s="66">
        <v>212810.07128</v>
      </c>
      <c r="G22" s="66">
        <v>266119</v>
      </c>
      <c r="I22" s="204"/>
      <c r="J22" s="204"/>
    </row>
    <row r="23" spans="1:10" ht="14.5">
      <c r="A23" s="49">
        <v>2020</v>
      </c>
      <c r="B23" s="66">
        <v>260086.43195999999</v>
      </c>
      <c r="C23" s="66">
        <v>208750</v>
      </c>
      <c r="D23" s="66">
        <v>229704.73978999999</v>
      </c>
      <c r="E23" s="66">
        <v>205620</v>
      </c>
      <c r="F23" s="66">
        <v>209325.62341999999</v>
      </c>
      <c r="G23" s="66">
        <v>264740</v>
      </c>
      <c r="I23" s="204"/>
      <c r="J23" s="204"/>
    </row>
    <row r="24" spans="1:10" ht="14.5">
      <c r="A24" s="49">
        <v>2021</v>
      </c>
      <c r="B24" s="66">
        <v>258066.60553999999</v>
      </c>
      <c r="C24" s="66">
        <v>206268</v>
      </c>
      <c r="D24" s="66">
        <v>228252.20864</v>
      </c>
      <c r="E24" s="66">
        <v>202520</v>
      </c>
      <c r="F24" s="66">
        <v>206901.75206</v>
      </c>
      <c r="G24" s="66">
        <v>262328</v>
      </c>
      <c r="I24" s="204"/>
      <c r="J24" s="204"/>
    </row>
    <row r="25" spans="1:10" ht="14.5">
      <c r="A25" s="49">
        <v>2022</v>
      </c>
      <c r="B25" s="66">
        <v>250901.67851</v>
      </c>
      <c r="C25" s="66">
        <v>202103</v>
      </c>
      <c r="D25" s="66">
        <v>224803.70108</v>
      </c>
      <c r="E25" s="66">
        <v>197615</v>
      </c>
      <c r="F25" s="66">
        <v>202560.72711000001</v>
      </c>
      <c r="G25" s="66">
        <v>257560</v>
      </c>
      <c r="I25" s="204"/>
      <c r="J25" s="204"/>
    </row>
  </sheetData>
  <mergeCells count="4">
    <mergeCell ref="M1:N1"/>
    <mergeCell ref="B2:C2"/>
    <mergeCell ref="D2:E2"/>
    <mergeCell ref="F2:G2"/>
  </mergeCells>
  <hyperlinks>
    <hyperlink ref="M1:N1" location="Contents!A1" display="Back to Contents" xr:uid="{00000000-0004-0000-1B00-000000000000}"/>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39997558519241921"/>
  </sheetPr>
  <dimension ref="A1:W53"/>
  <sheetViews>
    <sheetView workbookViewId="0"/>
  </sheetViews>
  <sheetFormatPr defaultColWidth="8.81640625" defaultRowHeight="12.5"/>
  <cols>
    <col min="1" max="1" width="9.26953125" bestFit="1" customWidth="1"/>
    <col min="2" max="6" width="9.453125" bestFit="1" customWidth="1"/>
    <col min="12" max="12" width="3.1796875" customWidth="1"/>
    <col min="13" max="13" width="11.453125" bestFit="1" customWidth="1"/>
    <col min="14" max="14" width="11.7265625" bestFit="1" customWidth="1"/>
  </cols>
  <sheetData>
    <row r="1" spans="1:23" ht="25.5" customHeight="1">
      <c r="B1" s="17" t="s">
        <v>510</v>
      </c>
      <c r="C1" s="16"/>
      <c r="D1" s="16"/>
      <c r="E1" s="16"/>
      <c r="F1" s="16"/>
      <c r="G1" s="16"/>
      <c r="H1" s="16"/>
      <c r="I1" s="16"/>
      <c r="J1" s="16"/>
      <c r="K1" s="16"/>
      <c r="M1" s="16"/>
      <c r="N1" s="16"/>
      <c r="P1" s="212" t="s">
        <v>79</v>
      </c>
      <c r="Q1" s="212"/>
      <c r="R1" s="16"/>
      <c r="S1" s="16"/>
      <c r="T1" s="16"/>
      <c r="U1" s="16"/>
      <c r="V1" s="16"/>
      <c r="W1" s="16"/>
    </row>
    <row r="2" spans="1:23">
      <c r="A2" s="104"/>
      <c r="B2" s="222" t="s">
        <v>518</v>
      </c>
      <c r="C2" s="223"/>
      <c r="D2" s="223"/>
      <c r="E2" s="223"/>
      <c r="F2" s="224"/>
      <c r="G2" s="225" t="s">
        <v>519</v>
      </c>
      <c r="H2" s="226"/>
      <c r="I2" s="226"/>
      <c r="J2" s="226"/>
      <c r="K2" s="227"/>
      <c r="M2" s="37" t="s">
        <v>520</v>
      </c>
    </row>
    <row r="3" spans="1:23">
      <c r="A3" s="77" t="s">
        <v>299</v>
      </c>
      <c r="B3" s="49" t="s">
        <v>521</v>
      </c>
      <c r="C3" s="49" t="s">
        <v>522</v>
      </c>
      <c r="D3" s="49" t="s">
        <v>523</v>
      </c>
      <c r="E3" s="49" t="s">
        <v>524</v>
      </c>
      <c r="F3" s="49" t="s">
        <v>525</v>
      </c>
      <c r="G3" s="49" t="s">
        <v>521</v>
      </c>
      <c r="H3" s="49" t="s">
        <v>522</v>
      </c>
      <c r="I3" s="49" t="s">
        <v>523</v>
      </c>
      <c r="J3" s="49" t="s">
        <v>524</v>
      </c>
      <c r="K3" s="49" t="s">
        <v>525</v>
      </c>
      <c r="L3" s="1"/>
      <c r="M3" s="49" t="s">
        <v>517</v>
      </c>
      <c r="N3" s="49" t="s">
        <v>82</v>
      </c>
    </row>
    <row r="4" spans="1:23">
      <c r="A4" s="66">
        <v>2001</v>
      </c>
      <c r="B4" s="66">
        <v>147782.51362000001</v>
      </c>
      <c r="C4" s="66">
        <v>159887.98895</v>
      </c>
      <c r="D4" s="66">
        <v>184359.94450000001</v>
      </c>
      <c r="E4" s="66">
        <v>186228.5626</v>
      </c>
      <c r="F4" s="66">
        <v>206797.6765</v>
      </c>
      <c r="G4" s="66">
        <v>150082.31661000001</v>
      </c>
      <c r="H4" s="66">
        <v>176499.57905999999</v>
      </c>
      <c r="I4" s="66">
        <v>199794.49165000001</v>
      </c>
      <c r="J4" s="66">
        <v>204766.86811000001</v>
      </c>
      <c r="K4" s="66">
        <v>217158.92619999999</v>
      </c>
      <c r="L4" s="49"/>
      <c r="M4" s="66">
        <v>1861.0237735999999</v>
      </c>
      <c r="N4" s="66">
        <v>2139</v>
      </c>
    </row>
    <row r="5" spans="1:23">
      <c r="A5" s="66">
        <v>2002</v>
      </c>
      <c r="B5" s="66">
        <v>152786.04018000001</v>
      </c>
      <c r="C5" s="66">
        <v>165632.30934000001</v>
      </c>
      <c r="D5" s="66">
        <v>188663.31607999999</v>
      </c>
      <c r="E5" s="66">
        <v>190807.14994999999</v>
      </c>
      <c r="F5" s="66">
        <v>214115.29902000001</v>
      </c>
      <c r="G5" s="66">
        <v>158167.84672999999</v>
      </c>
      <c r="H5" s="66">
        <v>184546.06492999999</v>
      </c>
      <c r="I5" s="66">
        <v>205730.56864000001</v>
      </c>
      <c r="J5" s="66">
        <v>211352.3897</v>
      </c>
      <c r="K5" s="66">
        <v>216426.72255999999</v>
      </c>
      <c r="L5" s="49"/>
      <c r="M5" s="66">
        <v>1875.8089921000001</v>
      </c>
      <c r="N5" s="66">
        <v>2200</v>
      </c>
    </row>
    <row r="6" spans="1:23">
      <c r="A6" s="66">
        <v>2003</v>
      </c>
      <c r="B6" s="66">
        <v>162766.94148000001</v>
      </c>
      <c r="C6" s="66">
        <v>172752.2022</v>
      </c>
      <c r="D6" s="66">
        <v>192752.41422999999</v>
      </c>
      <c r="E6" s="66">
        <v>195380.66535</v>
      </c>
      <c r="F6" s="66">
        <v>215834.86168999999</v>
      </c>
      <c r="G6" s="66">
        <v>160016.62174</v>
      </c>
      <c r="H6" s="66">
        <v>190033.14264000001</v>
      </c>
      <c r="I6" s="66">
        <v>213311.48392</v>
      </c>
      <c r="J6" s="66">
        <v>221124.65633999999</v>
      </c>
      <c r="K6" s="66">
        <v>216302.4633</v>
      </c>
      <c r="L6" s="49"/>
      <c r="M6" s="66">
        <v>1884.3872354</v>
      </c>
      <c r="N6" s="66">
        <v>2179</v>
      </c>
    </row>
    <row r="7" spans="1:23">
      <c r="A7" s="66">
        <v>2004</v>
      </c>
      <c r="B7" s="66">
        <v>166957.93014000001</v>
      </c>
      <c r="C7" s="66">
        <v>177295.38639</v>
      </c>
      <c r="D7" s="66">
        <v>195011.22347999999</v>
      </c>
      <c r="E7" s="66">
        <v>202110.54316999999</v>
      </c>
      <c r="F7" s="66">
        <v>221480.51641000001</v>
      </c>
      <c r="G7" s="66">
        <v>159935.76019999999</v>
      </c>
      <c r="H7" s="66">
        <v>188839.56623</v>
      </c>
      <c r="I7" s="66">
        <v>218223.43914999999</v>
      </c>
      <c r="J7" s="66">
        <v>226260.52884000001</v>
      </c>
      <c r="K7" s="66">
        <v>222378.95787000001</v>
      </c>
      <c r="L7" s="49"/>
      <c r="M7" s="66">
        <v>1910.7987379000001</v>
      </c>
      <c r="N7" s="66">
        <v>2215</v>
      </c>
    </row>
    <row r="8" spans="1:23">
      <c r="A8" s="66">
        <v>2005</v>
      </c>
      <c r="B8" s="66">
        <v>171877.55184999999</v>
      </c>
      <c r="C8" s="66">
        <v>181441.74424999999</v>
      </c>
      <c r="D8" s="66">
        <v>196701.07131999999</v>
      </c>
      <c r="E8" s="66">
        <v>202774.64728</v>
      </c>
      <c r="F8" s="66">
        <v>224633.93737999999</v>
      </c>
      <c r="G8" s="66">
        <v>172707.15033999999</v>
      </c>
      <c r="H8" s="66">
        <v>193801.14834000001</v>
      </c>
      <c r="I8" s="66">
        <v>222215.21426000001</v>
      </c>
      <c r="J8" s="66">
        <v>232061.54873000001</v>
      </c>
      <c r="K8" s="66">
        <v>215546.25304000001</v>
      </c>
      <c r="L8" s="49"/>
      <c r="M8" s="66">
        <v>1938.4409868</v>
      </c>
      <c r="N8" s="66">
        <v>2245</v>
      </c>
    </row>
    <row r="9" spans="1:23">
      <c r="A9" s="66">
        <v>2006</v>
      </c>
      <c r="B9" s="66">
        <v>189734.87458999999</v>
      </c>
      <c r="C9" s="66">
        <v>186670.98198000001</v>
      </c>
      <c r="D9" s="66">
        <v>197980.07358</v>
      </c>
      <c r="E9" s="66">
        <v>204651.3653</v>
      </c>
      <c r="F9" s="66">
        <v>228613.29926</v>
      </c>
      <c r="G9" s="66">
        <v>197973.35238</v>
      </c>
      <c r="H9" s="66">
        <v>218360.07758000001</v>
      </c>
      <c r="I9" s="66">
        <v>236059.94584</v>
      </c>
      <c r="J9" s="66">
        <v>244890.69003</v>
      </c>
      <c r="K9" s="66">
        <v>231388.70866999999</v>
      </c>
      <c r="L9" s="49"/>
      <c r="M9" s="66">
        <v>1971.4975870999999</v>
      </c>
      <c r="N9" s="66">
        <v>2261</v>
      </c>
    </row>
    <row r="10" spans="1:23">
      <c r="A10" s="66">
        <v>2007</v>
      </c>
      <c r="B10" s="66">
        <v>189708.91618</v>
      </c>
      <c r="C10" s="66">
        <v>189523.38939</v>
      </c>
      <c r="D10" s="66">
        <v>199739.44761999999</v>
      </c>
      <c r="E10" s="66">
        <v>206131.44888000001</v>
      </c>
      <c r="F10" s="66">
        <v>227335.73946000001</v>
      </c>
      <c r="G10" s="66">
        <v>189610.86150999999</v>
      </c>
      <c r="H10" s="66">
        <v>214501.38389</v>
      </c>
      <c r="I10" s="66">
        <v>240043.06109</v>
      </c>
      <c r="J10" s="66">
        <v>251211.31640000001</v>
      </c>
      <c r="K10" s="66">
        <v>223483.32551</v>
      </c>
      <c r="L10" s="49"/>
      <c r="M10" s="66">
        <v>1989.1531838999999</v>
      </c>
      <c r="N10" s="66">
        <v>2292</v>
      </c>
    </row>
    <row r="11" spans="1:23">
      <c r="A11" s="66">
        <v>2008</v>
      </c>
      <c r="B11" s="66">
        <v>191930.96815999999</v>
      </c>
      <c r="C11" s="66">
        <v>192213.56526999999</v>
      </c>
      <c r="D11" s="66">
        <v>203131.08351999999</v>
      </c>
      <c r="E11" s="66">
        <v>208611.50016</v>
      </c>
      <c r="F11" s="66">
        <v>228137.33660000001</v>
      </c>
      <c r="G11" s="66">
        <v>195522.07456000001</v>
      </c>
      <c r="H11" s="66">
        <v>214124.98741</v>
      </c>
      <c r="I11" s="66">
        <v>241267.99561000001</v>
      </c>
      <c r="J11" s="66">
        <v>253576.23014999999</v>
      </c>
      <c r="K11" s="66">
        <v>231004.98050999999</v>
      </c>
      <c r="L11" s="49"/>
      <c r="M11" s="66">
        <v>2018.1624131000001</v>
      </c>
      <c r="N11" s="66">
        <v>2319</v>
      </c>
    </row>
    <row r="12" spans="1:23">
      <c r="A12" s="66">
        <v>2009</v>
      </c>
      <c r="B12" s="66">
        <v>189370.18348000001</v>
      </c>
      <c r="C12" s="66">
        <v>195369.13704999999</v>
      </c>
      <c r="D12" s="66">
        <v>204557.17331000001</v>
      </c>
      <c r="E12" s="66">
        <v>210970.10253999999</v>
      </c>
      <c r="F12" s="66">
        <v>230058.31828000001</v>
      </c>
      <c r="G12" s="66">
        <v>184407.50133</v>
      </c>
      <c r="H12" s="66">
        <v>221261.16537999999</v>
      </c>
      <c r="I12" s="66">
        <v>242114.11512</v>
      </c>
      <c r="J12" s="66">
        <v>257681.15843000001</v>
      </c>
      <c r="K12" s="66">
        <v>225583.53591999999</v>
      </c>
      <c r="L12" s="49"/>
      <c r="M12" s="66">
        <v>2034.3933477</v>
      </c>
      <c r="N12" s="66">
        <v>2359</v>
      </c>
    </row>
    <row r="13" spans="1:23">
      <c r="A13" s="66">
        <v>2010</v>
      </c>
      <c r="B13" s="66">
        <v>190229.45584000001</v>
      </c>
      <c r="C13" s="66">
        <v>198078.83971999999</v>
      </c>
      <c r="D13" s="66">
        <v>207939.92582</v>
      </c>
      <c r="E13" s="66">
        <v>215232.71720000001</v>
      </c>
      <c r="F13" s="66">
        <v>231463.30587000001</v>
      </c>
      <c r="G13" s="66">
        <v>191087.83962000001</v>
      </c>
      <c r="H13" s="66">
        <v>220404.47812000001</v>
      </c>
      <c r="I13" s="66">
        <v>246508.46978000001</v>
      </c>
      <c r="J13" s="66">
        <v>265573.49711</v>
      </c>
      <c r="K13" s="66">
        <v>234321.41750000001</v>
      </c>
      <c r="L13" s="49"/>
      <c r="M13" s="66">
        <v>2058.6996204000002</v>
      </c>
      <c r="N13" s="66">
        <v>2390</v>
      </c>
    </row>
    <row r="14" spans="1:23">
      <c r="A14" s="66">
        <v>2011</v>
      </c>
      <c r="B14" s="66">
        <v>190402.07655999999</v>
      </c>
      <c r="C14" s="66">
        <v>203435.71853000001</v>
      </c>
      <c r="D14" s="66">
        <v>212247.67040999999</v>
      </c>
      <c r="E14" s="66">
        <v>219761.35449</v>
      </c>
      <c r="F14" s="66">
        <v>236663.02076000001</v>
      </c>
      <c r="G14" s="66">
        <v>193151.45533</v>
      </c>
      <c r="H14" s="66">
        <v>218074.10696999999</v>
      </c>
      <c r="I14" s="66">
        <v>249155.81072000001</v>
      </c>
      <c r="J14" s="66">
        <v>271663.93952000001</v>
      </c>
      <c r="K14" s="66">
        <v>238814.49958</v>
      </c>
      <c r="L14" s="49"/>
      <c r="M14" s="66">
        <v>2082.4610127000001</v>
      </c>
      <c r="N14" s="66">
        <v>2412</v>
      </c>
    </row>
    <row r="15" spans="1:23">
      <c r="A15" s="66">
        <v>2012</v>
      </c>
      <c r="B15" s="66">
        <v>190978.35368</v>
      </c>
      <c r="C15" s="66">
        <v>204741.17485000001</v>
      </c>
      <c r="D15" s="66">
        <v>214686.56745999999</v>
      </c>
      <c r="E15" s="66">
        <v>222741.64</v>
      </c>
      <c r="F15" s="66">
        <v>238623.36400999999</v>
      </c>
      <c r="G15" s="66">
        <v>178700.98319</v>
      </c>
      <c r="H15" s="66">
        <v>220226.42052000001</v>
      </c>
      <c r="I15" s="66">
        <v>250860.78343000001</v>
      </c>
      <c r="J15" s="66">
        <v>275326.36596999998</v>
      </c>
      <c r="K15" s="66">
        <v>233282.89447</v>
      </c>
      <c r="L15" s="49"/>
      <c r="M15" s="66">
        <v>2076.3699453999998</v>
      </c>
      <c r="N15" s="66">
        <v>2431</v>
      </c>
    </row>
    <row r="16" spans="1:23">
      <c r="A16" s="66">
        <v>2013</v>
      </c>
      <c r="B16" s="66">
        <v>188664.17322999999</v>
      </c>
      <c r="C16" s="66">
        <v>207080.85527</v>
      </c>
      <c r="D16" s="66">
        <v>217699.69534999999</v>
      </c>
      <c r="E16" s="66">
        <v>226223.04079999999</v>
      </c>
      <c r="F16" s="66">
        <v>240412.36300000001</v>
      </c>
      <c r="G16" s="66">
        <v>191299.43350000001</v>
      </c>
      <c r="H16" s="66">
        <v>224441.00229</v>
      </c>
      <c r="I16" s="66">
        <v>248655.43543000001</v>
      </c>
      <c r="J16" s="66">
        <v>277493.72412999999</v>
      </c>
      <c r="K16" s="66">
        <v>238038.96695999999</v>
      </c>
      <c r="L16" s="49"/>
      <c r="M16" s="66">
        <v>2076.9291441</v>
      </c>
      <c r="N16" s="66">
        <v>2468</v>
      </c>
    </row>
    <row r="17" spans="1:14">
      <c r="A17" s="66">
        <v>2014</v>
      </c>
      <c r="B17" s="66">
        <v>186954.59865999999</v>
      </c>
      <c r="C17" s="66">
        <v>209324.44755000001</v>
      </c>
      <c r="D17" s="66">
        <v>218752.45877</v>
      </c>
      <c r="E17" s="66">
        <v>228842.08145</v>
      </c>
      <c r="F17" s="66">
        <v>240158.43911000001</v>
      </c>
      <c r="G17" s="66">
        <v>173415.01553999999</v>
      </c>
      <c r="H17" s="66">
        <v>220472.10092</v>
      </c>
      <c r="I17" s="66">
        <v>251321.73731</v>
      </c>
      <c r="J17" s="66">
        <v>283765.50242999999</v>
      </c>
      <c r="K17" s="66">
        <v>231953.01118999999</v>
      </c>
      <c r="L17" s="49"/>
      <c r="M17" s="66">
        <v>2079.8616794999998</v>
      </c>
      <c r="N17" s="66">
        <v>2489</v>
      </c>
    </row>
    <row r="18" spans="1:14">
      <c r="A18" s="66">
        <v>2015</v>
      </c>
      <c r="B18" s="66">
        <v>183546.39436000001</v>
      </c>
      <c r="C18" s="66">
        <v>209603.88388000001</v>
      </c>
      <c r="D18" s="66">
        <v>218836.24405000001</v>
      </c>
      <c r="E18" s="66">
        <v>228236.55757</v>
      </c>
      <c r="F18" s="66">
        <v>239709.33584000001</v>
      </c>
      <c r="G18" s="66">
        <v>159156.06742000001</v>
      </c>
      <c r="H18" s="66">
        <v>223245.24648</v>
      </c>
      <c r="I18" s="66">
        <v>254747.32506</v>
      </c>
      <c r="J18" s="66">
        <v>281592.35019000003</v>
      </c>
      <c r="K18" s="66">
        <v>235491.84593000001</v>
      </c>
      <c r="L18" s="49"/>
      <c r="M18" s="66">
        <v>2078.2125577000002</v>
      </c>
      <c r="N18" s="66">
        <v>2510</v>
      </c>
    </row>
    <row r="19" spans="1:14">
      <c r="A19" s="66">
        <v>2016</v>
      </c>
      <c r="B19" s="66">
        <v>180825.79775999999</v>
      </c>
      <c r="C19" s="66">
        <v>210468.40388</v>
      </c>
      <c r="D19" s="66">
        <v>219779.88772999999</v>
      </c>
      <c r="E19" s="66">
        <v>229900.65098000001</v>
      </c>
      <c r="F19" s="66">
        <v>240675.13844000001</v>
      </c>
      <c r="G19" s="66">
        <v>161277.03125</v>
      </c>
      <c r="H19" s="66">
        <v>214735.70731999999</v>
      </c>
      <c r="I19" s="66">
        <v>252708.16953000001</v>
      </c>
      <c r="J19" s="66">
        <v>283121.94425</v>
      </c>
      <c r="K19" s="66">
        <v>233276.66091000001</v>
      </c>
      <c r="L19" s="49"/>
      <c r="M19" s="66">
        <v>2082.6696278999998</v>
      </c>
      <c r="N19" s="66">
        <v>2537</v>
      </c>
    </row>
    <row r="20" spans="1:14">
      <c r="A20" s="66">
        <v>2017</v>
      </c>
      <c r="B20" s="66">
        <v>175281.47151999999</v>
      </c>
      <c r="C20" s="66">
        <v>207214.88115999999</v>
      </c>
      <c r="D20" s="66">
        <v>217142.33937999999</v>
      </c>
      <c r="E20" s="66">
        <v>227765.53912</v>
      </c>
      <c r="F20" s="66">
        <v>237544.88162</v>
      </c>
      <c r="G20" s="66">
        <v>160592.35105999999</v>
      </c>
      <c r="H20" s="66">
        <v>204720.23219000001</v>
      </c>
      <c r="I20" s="66">
        <v>246931.63498999999</v>
      </c>
      <c r="J20" s="66">
        <v>280886.19040000002</v>
      </c>
      <c r="K20" s="66">
        <v>221629.37330000001</v>
      </c>
      <c r="L20" s="49"/>
      <c r="M20" s="66">
        <v>2073.1707107000002</v>
      </c>
      <c r="N20" s="66">
        <v>2554</v>
      </c>
    </row>
    <row r="21" spans="1:14">
      <c r="A21" s="66">
        <v>2018</v>
      </c>
      <c r="B21" s="66">
        <v>173959.20389999999</v>
      </c>
      <c r="C21" s="66">
        <v>204870.59836</v>
      </c>
      <c r="D21" s="66">
        <v>215881.95594000001</v>
      </c>
      <c r="E21" s="66">
        <v>227164.5001</v>
      </c>
      <c r="F21" s="66">
        <v>238160.84435</v>
      </c>
      <c r="G21" s="66">
        <v>181241.67973999999</v>
      </c>
      <c r="H21" s="66">
        <v>213321.94286000001</v>
      </c>
      <c r="I21" s="66">
        <v>245139.08872</v>
      </c>
      <c r="J21" s="66">
        <v>281093.64039999997</v>
      </c>
      <c r="K21" s="66">
        <v>230548.08056999999</v>
      </c>
      <c r="L21" s="49"/>
      <c r="M21" s="66">
        <v>2084.2287065</v>
      </c>
      <c r="N21" s="66">
        <v>2567</v>
      </c>
    </row>
    <row r="22" spans="1:14">
      <c r="A22" s="66">
        <v>2019</v>
      </c>
      <c r="B22" s="66">
        <v>171713.1367</v>
      </c>
      <c r="C22" s="66">
        <v>202646.04660999999</v>
      </c>
      <c r="D22" s="66">
        <v>214276.54819</v>
      </c>
      <c r="E22" s="66">
        <v>226802.00479000001</v>
      </c>
      <c r="F22" s="66">
        <v>237042.57837999999</v>
      </c>
      <c r="G22" s="66">
        <v>147342.39999999999</v>
      </c>
      <c r="H22" s="66">
        <v>205169.42704000001</v>
      </c>
      <c r="I22" s="66">
        <v>242286.37821</v>
      </c>
      <c r="J22" s="66">
        <v>280066.19811</v>
      </c>
      <c r="K22" s="66">
        <v>222924.02035999999</v>
      </c>
      <c r="M22" s="66">
        <v>2093.2305123000001</v>
      </c>
      <c r="N22" s="66">
        <v>2584</v>
      </c>
    </row>
    <row r="23" spans="1:14">
      <c r="A23" s="66">
        <v>2020</v>
      </c>
      <c r="B23" s="66">
        <v>169183.54641000001</v>
      </c>
      <c r="C23" s="66">
        <v>197971.32968</v>
      </c>
      <c r="D23" s="66">
        <v>210703.41003999999</v>
      </c>
      <c r="E23" s="66">
        <v>223884.97734000001</v>
      </c>
      <c r="F23" s="66">
        <v>233783.00364000001</v>
      </c>
      <c r="G23" s="66">
        <v>137641.41829999999</v>
      </c>
      <c r="H23" s="66">
        <v>199465.33181</v>
      </c>
      <c r="I23" s="66">
        <v>238116.97945000001</v>
      </c>
      <c r="J23" s="66">
        <v>279014.53479000001</v>
      </c>
      <c r="K23" s="66">
        <v>221496.67285</v>
      </c>
      <c r="M23" s="66">
        <v>2095.9430192999998</v>
      </c>
      <c r="N23" s="66">
        <v>2589</v>
      </c>
    </row>
    <row r="24" spans="1:14">
      <c r="A24" s="66">
        <v>2021</v>
      </c>
      <c r="B24" s="66">
        <v>169145.6863</v>
      </c>
      <c r="C24" s="66">
        <v>194419.77797</v>
      </c>
      <c r="D24" s="66">
        <v>208170.48533</v>
      </c>
      <c r="E24" s="66">
        <v>222675.73366999999</v>
      </c>
      <c r="F24" s="66">
        <v>231619.19584999999</v>
      </c>
      <c r="G24" s="66">
        <v>132351.35135000001</v>
      </c>
      <c r="H24" s="66">
        <v>201924.94221000001</v>
      </c>
      <c r="I24" s="66">
        <v>237545.44993999999</v>
      </c>
      <c r="J24" s="66">
        <v>276756.32714000001</v>
      </c>
      <c r="K24" s="66">
        <v>217086.82376999999</v>
      </c>
      <c r="M24" s="66">
        <v>2089.8779421999998</v>
      </c>
      <c r="N24" s="66">
        <v>2599</v>
      </c>
    </row>
    <row r="25" spans="1:14">
      <c r="A25" s="66">
        <v>2022</v>
      </c>
      <c r="B25" s="66">
        <v>166689.86050000001</v>
      </c>
      <c r="C25" s="66">
        <v>189010.02579000001</v>
      </c>
      <c r="D25" s="66">
        <v>204444.78802000001</v>
      </c>
      <c r="E25" s="66">
        <v>216531.64773</v>
      </c>
      <c r="F25" s="66">
        <v>230047.51611</v>
      </c>
      <c r="G25" s="66">
        <v>144219.63975</v>
      </c>
      <c r="H25" s="66">
        <v>195010.17647000001</v>
      </c>
      <c r="I25" s="66">
        <v>229335.36387</v>
      </c>
      <c r="J25" s="66">
        <v>271844.03716000001</v>
      </c>
      <c r="K25" s="66">
        <v>217958.53891999999</v>
      </c>
      <c r="M25" s="66">
        <v>2091.4981864000001</v>
      </c>
      <c r="N25" s="66">
        <v>2597</v>
      </c>
    </row>
    <row r="52" spans="2:2" ht="13">
      <c r="B52" s="7" t="s">
        <v>526</v>
      </c>
    </row>
    <row r="53" spans="2:2">
      <c r="B53" s="37"/>
    </row>
  </sheetData>
  <mergeCells count="3">
    <mergeCell ref="P1:Q1"/>
    <mergeCell ref="B2:F2"/>
    <mergeCell ref="G2:K2"/>
  </mergeCells>
  <hyperlinks>
    <hyperlink ref="P1:Q1" location="Contents!A1" display="Back to Contents" xr:uid="{00000000-0004-0000-1C00-000000000000}"/>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39997558519241921"/>
  </sheetPr>
  <dimension ref="A1:AB29"/>
  <sheetViews>
    <sheetView zoomScaleNormal="100" workbookViewId="0"/>
  </sheetViews>
  <sheetFormatPr defaultColWidth="8.81640625" defaultRowHeight="12.5"/>
  <cols>
    <col min="1" max="1" width="8.81640625" style="104" customWidth="1"/>
    <col min="2" max="5" width="8.81640625" customWidth="1"/>
    <col min="6" max="6" width="8.1796875" customWidth="1"/>
    <col min="7" max="7" width="8.81640625" customWidth="1"/>
    <col min="8" max="8" width="7.7265625" customWidth="1"/>
    <col min="28" max="28" width="9.453125" bestFit="1" customWidth="1"/>
  </cols>
  <sheetData>
    <row r="1" spans="1:28" ht="21.75" customHeight="1">
      <c r="B1" s="17" t="s">
        <v>527</v>
      </c>
      <c r="C1" s="13"/>
      <c r="D1" s="13"/>
      <c r="E1" s="13"/>
      <c r="F1" s="13"/>
      <c r="G1" s="13"/>
      <c r="H1" s="13"/>
      <c r="I1" s="13"/>
      <c r="J1" s="13"/>
      <c r="K1" s="13"/>
      <c r="L1" s="162"/>
      <c r="M1" s="162"/>
      <c r="N1" s="162"/>
      <c r="O1" s="162"/>
      <c r="P1" s="212" t="s">
        <v>79</v>
      </c>
      <c r="Q1" s="212"/>
      <c r="R1" s="162"/>
      <c r="S1" s="162"/>
      <c r="T1" s="58"/>
      <c r="U1" s="17" t="s">
        <v>176</v>
      </c>
      <c r="V1" s="162"/>
      <c r="W1" s="162"/>
      <c r="X1" s="162"/>
      <c r="Y1" s="162"/>
      <c r="Z1" s="162"/>
      <c r="AA1" s="162"/>
    </row>
    <row r="2" spans="1:28" ht="26.25" customHeight="1">
      <c r="A2" s="74" t="s">
        <v>80</v>
      </c>
      <c r="B2" s="58" t="s">
        <v>528</v>
      </c>
      <c r="C2" s="58" t="s">
        <v>529</v>
      </c>
      <c r="D2" s="58" t="s">
        <v>530</v>
      </c>
      <c r="E2" s="58" t="s">
        <v>531</v>
      </c>
      <c r="F2" s="58" t="s">
        <v>532</v>
      </c>
      <c r="G2" s="58" t="s">
        <v>533</v>
      </c>
      <c r="H2" s="58" t="s">
        <v>534</v>
      </c>
      <c r="I2" s="58" t="s">
        <v>535</v>
      </c>
      <c r="J2" s="58" t="s">
        <v>536</v>
      </c>
      <c r="K2" s="58" t="s">
        <v>537</v>
      </c>
      <c r="L2" s="58" t="s">
        <v>538</v>
      </c>
      <c r="M2" s="58" t="s">
        <v>539</v>
      </c>
      <c r="N2" s="58" t="s">
        <v>540</v>
      </c>
      <c r="O2" s="58" t="s">
        <v>541</v>
      </c>
      <c r="P2" s="58" t="s">
        <v>542</v>
      </c>
      <c r="Q2" s="58" t="s">
        <v>543</v>
      </c>
      <c r="R2" s="58" t="s">
        <v>544</v>
      </c>
      <c r="S2" s="58" t="s">
        <v>545</v>
      </c>
      <c r="T2" s="58"/>
      <c r="U2" s="58" t="s">
        <v>546</v>
      </c>
      <c r="V2" s="58" t="s">
        <v>547</v>
      </c>
      <c r="W2" s="58" t="s">
        <v>252</v>
      </c>
      <c r="X2" s="58" t="s">
        <v>253</v>
      </c>
      <c r="Y2" s="58" t="s">
        <v>548</v>
      </c>
      <c r="Z2" s="58" t="s">
        <v>549</v>
      </c>
      <c r="AA2" s="58" t="s">
        <v>550</v>
      </c>
    </row>
    <row r="3" spans="1:28" ht="12.65" customHeight="1">
      <c r="A3" s="42">
        <v>2000</v>
      </c>
      <c r="B3" s="42">
        <v>1245796</v>
      </c>
      <c r="C3" s="42">
        <v>757798</v>
      </c>
      <c r="D3" s="42">
        <v>18013</v>
      </c>
      <c r="E3" s="42">
        <v>124767</v>
      </c>
      <c r="F3" s="42">
        <v>160777</v>
      </c>
      <c r="G3" s="42">
        <v>35442</v>
      </c>
      <c r="H3" s="42">
        <v>87116</v>
      </c>
      <c r="I3" s="42">
        <v>63531</v>
      </c>
      <c r="J3" s="42">
        <v>63</v>
      </c>
      <c r="K3" s="42">
        <v>5383</v>
      </c>
      <c r="L3" s="42">
        <v>748</v>
      </c>
      <c r="M3" s="42">
        <v>64056</v>
      </c>
      <c r="N3" s="42">
        <v>24842</v>
      </c>
      <c r="O3" s="42">
        <v>277</v>
      </c>
      <c r="P3" s="42">
        <v>10</v>
      </c>
      <c r="Q3" s="42">
        <v>2879</v>
      </c>
      <c r="R3" s="42">
        <v>1068</v>
      </c>
      <c r="S3" s="42">
        <v>70</v>
      </c>
      <c r="T3" s="1"/>
      <c r="U3" s="70">
        <f t="shared" ref="U3:U18" si="0">(D3+E3)/SUM(B3:E3)</f>
        <v>6.6521491594661503E-2</v>
      </c>
      <c r="V3" s="70">
        <f t="shared" ref="V3:V18" si="1">(H3+I3)/SUM(F3:I3)</f>
        <v>0.43430892621358103</v>
      </c>
      <c r="W3" s="49">
        <f t="shared" ref="W3:W18" si="2">B3+C3+F3+G3</f>
        <v>2199813</v>
      </c>
      <c r="X3" s="49">
        <f t="shared" ref="X3:X18" si="3">D3+E3+H3+I3</f>
        <v>293427</v>
      </c>
      <c r="Y3" s="70">
        <f>(D3+H3)/(B3+D3+F3+H3)</f>
        <v>6.954346822323447E-2</v>
      </c>
      <c r="Z3" s="70">
        <f>(E3+I3)/(C3+E3+G3+I3)</f>
        <v>0.19183974537919063</v>
      </c>
      <c r="AA3" s="70">
        <f t="shared" ref="AA3:AA18" si="4">(D3+E3+H3+I3)/SUM(B3:I3)</f>
        <v>0.11768903114020311</v>
      </c>
      <c r="AB3" s="8"/>
    </row>
    <row r="4" spans="1:28" ht="12.65" customHeight="1">
      <c r="A4" s="42">
        <v>2001</v>
      </c>
      <c r="B4" s="42">
        <v>1224173</v>
      </c>
      <c r="C4" s="42">
        <v>834798</v>
      </c>
      <c r="D4" s="42">
        <v>19974</v>
      </c>
      <c r="E4" s="42">
        <v>133595</v>
      </c>
      <c r="F4" s="42">
        <v>154761</v>
      </c>
      <c r="G4" s="42">
        <v>34821</v>
      </c>
      <c r="H4" s="42">
        <v>96363</v>
      </c>
      <c r="I4" s="42">
        <v>63584</v>
      </c>
      <c r="J4" s="42">
        <v>63</v>
      </c>
      <c r="K4" s="42">
        <v>5022</v>
      </c>
      <c r="L4" s="42">
        <v>744</v>
      </c>
      <c r="M4" s="42">
        <v>64549</v>
      </c>
      <c r="N4" s="42">
        <v>27004</v>
      </c>
      <c r="O4" s="42">
        <v>263</v>
      </c>
      <c r="P4" s="42">
        <v>13</v>
      </c>
      <c r="Q4" s="42">
        <v>3010</v>
      </c>
      <c r="R4" s="42">
        <v>1236</v>
      </c>
      <c r="S4" s="42">
        <v>70</v>
      </c>
      <c r="T4" s="1"/>
      <c r="U4" s="70">
        <f t="shared" si="0"/>
        <v>6.9408462671861293E-2</v>
      </c>
      <c r="V4" s="70">
        <f t="shared" si="1"/>
        <v>0.45760723716773144</v>
      </c>
      <c r="W4" s="49">
        <f t="shared" si="2"/>
        <v>2248553</v>
      </c>
      <c r="X4" s="49">
        <f t="shared" si="3"/>
        <v>313516</v>
      </c>
      <c r="Y4" s="70">
        <f t="shared" ref="Y4:Y23" si="5">(D4+H4)/(B4+D4+F4+H4)</f>
        <v>7.7803287832105356E-2</v>
      </c>
      <c r="Z4" s="70">
        <f t="shared" ref="Z4:Z23" si="6">(E4+I4)/(C4+E4+G4+I4)</f>
        <v>0.18483255499166665</v>
      </c>
      <c r="AA4" s="70">
        <f t="shared" si="4"/>
        <v>0.12236828906637565</v>
      </c>
      <c r="AB4" s="8"/>
    </row>
    <row r="5" spans="1:28" ht="12.65" customHeight="1">
      <c r="A5" s="42">
        <v>2002</v>
      </c>
      <c r="B5" s="42">
        <v>1212163</v>
      </c>
      <c r="C5" s="42">
        <v>911420</v>
      </c>
      <c r="D5" s="42">
        <v>21926</v>
      </c>
      <c r="E5" s="42">
        <v>145750</v>
      </c>
      <c r="F5" s="42">
        <v>149544</v>
      </c>
      <c r="G5" s="42">
        <v>34628</v>
      </c>
      <c r="H5" s="42">
        <v>106275</v>
      </c>
      <c r="I5" s="42">
        <v>64741</v>
      </c>
      <c r="J5" s="42">
        <v>60</v>
      </c>
      <c r="K5" s="42">
        <v>4660</v>
      </c>
      <c r="L5" s="42">
        <v>743</v>
      </c>
      <c r="M5" s="42">
        <v>65621</v>
      </c>
      <c r="N5" s="42">
        <v>30185</v>
      </c>
      <c r="O5" s="42">
        <v>248</v>
      </c>
      <c r="P5" s="42">
        <v>13</v>
      </c>
      <c r="Q5" s="42">
        <v>3108</v>
      </c>
      <c r="R5" s="42">
        <v>1542</v>
      </c>
      <c r="S5" s="42">
        <v>69</v>
      </c>
      <c r="T5" s="1"/>
      <c r="U5" s="70">
        <f t="shared" si="0"/>
        <v>7.3180727277012331E-2</v>
      </c>
      <c r="V5" s="70">
        <f t="shared" si="1"/>
        <v>0.48148023018795683</v>
      </c>
      <c r="W5" s="49">
        <f t="shared" si="2"/>
        <v>2307755</v>
      </c>
      <c r="X5" s="49">
        <f t="shared" si="3"/>
        <v>338692</v>
      </c>
      <c r="Y5" s="70">
        <f t="shared" si="5"/>
        <v>8.6046252520289843E-2</v>
      </c>
      <c r="Z5" s="70">
        <f t="shared" si="6"/>
        <v>0.18200077991317198</v>
      </c>
      <c r="AA5" s="70">
        <f t="shared" si="4"/>
        <v>0.12797989153004008</v>
      </c>
      <c r="AB5" s="8"/>
    </row>
    <row r="6" spans="1:28" ht="12.65" customHeight="1">
      <c r="A6" s="42">
        <v>2003</v>
      </c>
      <c r="B6" s="42">
        <v>1209995</v>
      </c>
      <c r="C6" s="42">
        <v>997377</v>
      </c>
      <c r="D6" s="42">
        <v>23743</v>
      </c>
      <c r="E6" s="42">
        <v>162856</v>
      </c>
      <c r="F6" s="42">
        <v>145618</v>
      </c>
      <c r="G6" s="42">
        <v>34053</v>
      </c>
      <c r="H6" s="42">
        <v>116968</v>
      </c>
      <c r="I6" s="42">
        <v>67297</v>
      </c>
      <c r="J6" s="42">
        <v>63</v>
      </c>
      <c r="K6" s="42">
        <v>4338</v>
      </c>
      <c r="L6" s="42">
        <v>720</v>
      </c>
      <c r="M6" s="42">
        <v>67081</v>
      </c>
      <c r="N6" s="42">
        <v>34278</v>
      </c>
      <c r="O6" s="42">
        <v>231</v>
      </c>
      <c r="P6" s="42">
        <v>13</v>
      </c>
      <c r="Q6" s="42">
        <v>3260</v>
      </c>
      <c r="R6" s="42">
        <v>1776</v>
      </c>
      <c r="S6" s="42">
        <v>73</v>
      </c>
      <c r="T6" s="1"/>
      <c r="U6" s="70">
        <f t="shared" si="0"/>
        <v>7.7945388645058775E-2</v>
      </c>
      <c r="V6" s="70">
        <f t="shared" si="1"/>
        <v>0.50631154928339051</v>
      </c>
      <c r="W6" s="49">
        <f t="shared" si="2"/>
        <v>2387043</v>
      </c>
      <c r="X6" s="49">
        <f t="shared" si="3"/>
        <v>370864</v>
      </c>
      <c r="Y6" s="70">
        <f t="shared" si="5"/>
        <v>9.4037788607280237E-2</v>
      </c>
      <c r="Z6" s="70">
        <f t="shared" si="6"/>
        <v>0.18243191292209868</v>
      </c>
      <c r="AA6" s="70">
        <f t="shared" si="4"/>
        <v>0.13447298984338485</v>
      </c>
      <c r="AB6" s="8"/>
    </row>
    <row r="7" spans="1:28" ht="12.65" customHeight="1">
      <c r="A7" s="42">
        <v>2004</v>
      </c>
      <c r="B7" s="42">
        <v>1211997</v>
      </c>
      <c r="C7" s="42">
        <v>1076125</v>
      </c>
      <c r="D7" s="42">
        <v>25959</v>
      </c>
      <c r="E7" s="42">
        <v>175699</v>
      </c>
      <c r="F7" s="42">
        <v>142463</v>
      </c>
      <c r="G7" s="42">
        <v>33362</v>
      </c>
      <c r="H7" s="42">
        <v>129125</v>
      </c>
      <c r="I7" s="42">
        <v>70838</v>
      </c>
      <c r="J7" s="42">
        <v>64</v>
      </c>
      <c r="K7" s="42">
        <v>4071</v>
      </c>
      <c r="L7" s="42">
        <v>735</v>
      </c>
      <c r="M7" s="42">
        <v>69097</v>
      </c>
      <c r="N7" s="42">
        <v>39438</v>
      </c>
      <c r="O7" s="42">
        <v>220</v>
      </c>
      <c r="P7" s="42">
        <v>15</v>
      </c>
      <c r="Q7" s="42">
        <v>3485</v>
      </c>
      <c r="R7" s="42">
        <v>1988</v>
      </c>
      <c r="S7" s="42">
        <v>73</v>
      </c>
      <c r="T7" s="1"/>
      <c r="U7" s="70">
        <f t="shared" si="0"/>
        <v>8.09943047176859E-2</v>
      </c>
      <c r="V7" s="70">
        <f t="shared" si="1"/>
        <v>0.53211651250172964</v>
      </c>
      <c r="W7" s="49">
        <f t="shared" si="2"/>
        <v>2463947</v>
      </c>
      <c r="X7" s="49">
        <f t="shared" si="3"/>
        <v>401621</v>
      </c>
      <c r="Y7" s="70">
        <f t="shared" si="5"/>
        <v>0.10273566057034442</v>
      </c>
      <c r="Z7" s="70">
        <f t="shared" si="6"/>
        <v>0.18180872904904338</v>
      </c>
      <c r="AA7" s="70">
        <f t="shared" si="4"/>
        <v>0.14015406369697037</v>
      </c>
      <c r="AB7" s="8"/>
    </row>
    <row r="8" spans="1:28" ht="12.65" customHeight="1">
      <c r="A8" s="42">
        <v>2005</v>
      </c>
      <c r="B8" s="42">
        <v>1216472</v>
      </c>
      <c r="C8" s="42">
        <v>1145310</v>
      </c>
      <c r="D8" s="42">
        <v>29800</v>
      </c>
      <c r="E8" s="42">
        <v>185770</v>
      </c>
      <c r="F8" s="42">
        <v>139144</v>
      </c>
      <c r="G8" s="42">
        <v>33139</v>
      </c>
      <c r="H8" s="42">
        <v>143035</v>
      </c>
      <c r="I8" s="42">
        <v>72998</v>
      </c>
      <c r="J8" s="42">
        <v>64</v>
      </c>
      <c r="K8" s="42">
        <v>3755</v>
      </c>
      <c r="L8" s="42">
        <v>762</v>
      </c>
      <c r="M8" s="42">
        <v>71272</v>
      </c>
      <c r="N8" s="42">
        <v>43660</v>
      </c>
      <c r="O8" s="42">
        <v>208</v>
      </c>
      <c r="P8" s="42">
        <v>20</v>
      </c>
      <c r="Q8" s="42">
        <v>3636</v>
      </c>
      <c r="R8" s="42">
        <v>2174</v>
      </c>
      <c r="S8" s="42">
        <v>75</v>
      </c>
      <c r="T8" s="1"/>
      <c r="U8" s="70">
        <f t="shared" si="0"/>
        <v>8.3640108142E-2</v>
      </c>
      <c r="V8" s="70">
        <f t="shared" si="1"/>
        <v>0.55633298653673813</v>
      </c>
      <c r="W8" s="49">
        <f t="shared" si="2"/>
        <v>2534065</v>
      </c>
      <c r="X8" s="49">
        <f t="shared" si="3"/>
        <v>431603</v>
      </c>
      <c r="Y8" s="70">
        <f t="shared" si="5"/>
        <v>0.11307853506589351</v>
      </c>
      <c r="Z8" s="70">
        <f t="shared" si="6"/>
        <v>0.18004796770425063</v>
      </c>
      <c r="AA8" s="70">
        <f t="shared" si="4"/>
        <v>0.14553314801252196</v>
      </c>
      <c r="AB8" s="8"/>
    </row>
    <row r="9" spans="1:28" ht="12.65" customHeight="1">
      <c r="A9" s="42">
        <v>2006</v>
      </c>
      <c r="B9" s="42">
        <v>1221311</v>
      </c>
      <c r="C9" s="42">
        <v>1187828</v>
      </c>
      <c r="D9" s="42">
        <v>35207</v>
      </c>
      <c r="E9" s="42">
        <v>186070</v>
      </c>
      <c r="F9" s="42">
        <v>135074</v>
      </c>
      <c r="G9" s="42">
        <v>32660</v>
      </c>
      <c r="H9" s="42">
        <v>156204</v>
      </c>
      <c r="I9" s="42">
        <v>73873</v>
      </c>
      <c r="J9" s="42">
        <v>66</v>
      </c>
      <c r="K9" s="42">
        <v>3499</v>
      </c>
      <c r="L9" s="42">
        <v>761</v>
      </c>
      <c r="M9" s="42">
        <v>72490</v>
      </c>
      <c r="N9" s="42">
        <v>47256</v>
      </c>
      <c r="O9" s="42">
        <v>191</v>
      </c>
      <c r="P9" s="42">
        <v>27</v>
      </c>
      <c r="Q9" s="42">
        <v>3720</v>
      </c>
      <c r="R9" s="42">
        <v>2349</v>
      </c>
      <c r="S9" s="42">
        <v>74</v>
      </c>
      <c r="T9" s="1"/>
      <c r="U9" s="70">
        <f t="shared" si="0"/>
        <v>8.4122435386646072E-2</v>
      </c>
      <c r="V9" s="70">
        <f t="shared" si="1"/>
        <v>0.5783575617567136</v>
      </c>
      <c r="W9" s="49">
        <f t="shared" si="2"/>
        <v>2576873</v>
      </c>
      <c r="X9" s="49">
        <f t="shared" si="3"/>
        <v>451354</v>
      </c>
      <c r="Y9" s="70">
        <f t="shared" si="5"/>
        <v>0.12366681397290082</v>
      </c>
      <c r="Z9" s="70">
        <f t="shared" si="6"/>
        <v>0.17558602866327441</v>
      </c>
      <c r="AA9" s="70">
        <f t="shared" si="4"/>
        <v>0.14904893193277782</v>
      </c>
      <c r="AB9" s="8"/>
    </row>
    <row r="10" spans="1:28" ht="12.65" customHeight="1">
      <c r="A10" s="42">
        <v>2007</v>
      </c>
      <c r="B10" s="42">
        <v>1227439</v>
      </c>
      <c r="C10" s="42">
        <v>1225359</v>
      </c>
      <c r="D10" s="42">
        <v>42457</v>
      </c>
      <c r="E10" s="42">
        <v>182780</v>
      </c>
      <c r="F10" s="42">
        <v>130773</v>
      </c>
      <c r="G10" s="42">
        <v>32933</v>
      </c>
      <c r="H10" s="42">
        <v>170985</v>
      </c>
      <c r="I10" s="42">
        <v>74452</v>
      </c>
      <c r="J10" s="42">
        <v>65</v>
      </c>
      <c r="K10" s="42">
        <v>3251</v>
      </c>
      <c r="L10" s="42">
        <v>775</v>
      </c>
      <c r="M10" s="42">
        <v>73909</v>
      </c>
      <c r="N10" s="42">
        <v>50560</v>
      </c>
      <c r="O10" s="42">
        <v>181</v>
      </c>
      <c r="P10" s="42">
        <v>32</v>
      </c>
      <c r="Q10" s="42">
        <v>3845</v>
      </c>
      <c r="R10" s="42">
        <v>2672</v>
      </c>
      <c r="S10" s="42">
        <v>73</v>
      </c>
      <c r="T10" s="1"/>
      <c r="U10" s="70">
        <f t="shared" si="0"/>
        <v>8.4105323492784823E-2</v>
      </c>
      <c r="V10" s="70">
        <f t="shared" si="1"/>
        <v>0.5998807262986291</v>
      </c>
      <c r="W10" s="49">
        <f t="shared" si="2"/>
        <v>2616504</v>
      </c>
      <c r="X10" s="49">
        <f t="shared" si="3"/>
        <v>470674</v>
      </c>
      <c r="Y10" s="70">
        <f t="shared" si="5"/>
        <v>0.13580724510611114</v>
      </c>
      <c r="Z10" s="70">
        <f t="shared" si="6"/>
        <v>0.16973139323428729</v>
      </c>
      <c r="AA10" s="70">
        <f t="shared" si="4"/>
        <v>0.15246092062070926</v>
      </c>
      <c r="AB10" s="8"/>
    </row>
    <row r="11" spans="1:28" ht="12.65" customHeight="1">
      <c r="A11" s="42">
        <v>2008</v>
      </c>
      <c r="B11" s="42">
        <v>1230310</v>
      </c>
      <c r="C11" s="42">
        <v>1235694</v>
      </c>
      <c r="D11" s="42">
        <v>51459</v>
      </c>
      <c r="E11" s="42">
        <v>174146</v>
      </c>
      <c r="F11" s="42">
        <v>126125</v>
      </c>
      <c r="G11" s="42">
        <v>33357</v>
      </c>
      <c r="H11" s="42">
        <v>184337</v>
      </c>
      <c r="I11" s="42">
        <v>71800</v>
      </c>
      <c r="J11" s="42">
        <v>69</v>
      </c>
      <c r="K11" s="42">
        <v>3026</v>
      </c>
      <c r="L11" s="42">
        <v>796</v>
      </c>
      <c r="M11" s="42">
        <v>75430</v>
      </c>
      <c r="N11" s="42">
        <v>51718</v>
      </c>
      <c r="O11" s="42">
        <v>171</v>
      </c>
      <c r="P11" s="42">
        <v>37</v>
      </c>
      <c r="Q11" s="42">
        <v>4045</v>
      </c>
      <c r="R11" s="42">
        <v>2926</v>
      </c>
      <c r="S11" s="42">
        <v>77</v>
      </c>
      <c r="T11" s="1"/>
      <c r="U11" s="70">
        <f t="shared" si="0"/>
        <v>8.3817894798241505E-2</v>
      </c>
      <c r="V11" s="70">
        <f t="shared" si="1"/>
        <v>0.61627837033436872</v>
      </c>
      <c r="W11" s="49">
        <f t="shared" si="2"/>
        <v>2625486</v>
      </c>
      <c r="X11" s="49">
        <f t="shared" si="3"/>
        <v>481742</v>
      </c>
      <c r="Y11" s="70">
        <f t="shared" si="5"/>
        <v>0.14809157716436874</v>
      </c>
      <c r="Z11" s="70">
        <f t="shared" si="6"/>
        <v>0.1623409155265654</v>
      </c>
      <c r="AA11" s="70">
        <f t="shared" si="4"/>
        <v>0.15503915386962269</v>
      </c>
      <c r="AB11" s="8"/>
    </row>
    <row r="12" spans="1:28" ht="12.65" customHeight="1">
      <c r="A12" s="42">
        <v>2009</v>
      </c>
      <c r="B12" s="42">
        <v>1224830</v>
      </c>
      <c r="C12" s="42">
        <v>1234439</v>
      </c>
      <c r="D12" s="42">
        <v>59439</v>
      </c>
      <c r="E12" s="42">
        <v>164836</v>
      </c>
      <c r="F12" s="42">
        <v>121416</v>
      </c>
      <c r="G12" s="42">
        <v>33017</v>
      </c>
      <c r="H12" s="42">
        <v>192262</v>
      </c>
      <c r="I12" s="42">
        <v>68324</v>
      </c>
      <c r="J12" s="42">
        <v>70</v>
      </c>
      <c r="K12" s="42">
        <v>2837</v>
      </c>
      <c r="L12" s="42">
        <v>795</v>
      </c>
      <c r="M12" s="42">
        <v>75212</v>
      </c>
      <c r="N12" s="42">
        <v>51301</v>
      </c>
      <c r="O12" s="42">
        <v>166</v>
      </c>
      <c r="P12" s="42">
        <v>35</v>
      </c>
      <c r="Q12" s="42">
        <v>4355</v>
      </c>
      <c r="R12" s="42">
        <v>2996</v>
      </c>
      <c r="S12" s="42">
        <v>77</v>
      </c>
      <c r="T12" s="1"/>
      <c r="U12" s="70">
        <f t="shared" si="0"/>
        <v>8.357418398953026E-2</v>
      </c>
      <c r="V12" s="70">
        <f t="shared" si="1"/>
        <v>0.62788932554895072</v>
      </c>
      <c r="W12" s="49">
        <f t="shared" si="2"/>
        <v>2613702</v>
      </c>
      <c r="X12" s="49">
        <f t="shared" si="3"/>
        <v>484861</v>
      </c>
      <c r="Y12" s="70">
        <f t="shared" si="5"/>
        <v>0.15751523673813964</v>
      </c>
      <c r="Z12" s="70">
        <f t="shared" si="6"/>
        <v>0.15537619217707929</v>
      </c>
      <c r="AA12" s="70">
        <f t="shared" si="4"/>
        <v>0.15647930992527825</v>
      </c>
      <c r="AB12" s="8"/>
    </row>
    <row r="13" spans="1:28" ht="12.65" customHeight="1">
      <c r="A13" s="42">
        <v>2010</v>
      </c>
      <c r="B13" s="42">
        <v>1228084</v>
      </c>
      <c r="C13" s="42">
        <v>1252676</v>
      </c>
      <c r="D13" s="42">
        <v>68438</v>
      </c>
      <c r="E13" s="42">
        <v>154956</v>
      </c>
      <c r="F13" s="42">
        <v>117278</v>
      </c>
      <c r="G13" s="42">
        <v>33128</v>
      </c>
      <c r="H13" s="42">
        <v>202248</v>
      </c>
      <c r="I13" s="42">
        <v>64452</v>
      </c>
      <c r="J13" s="42">
        <v>80</v>
      </c>
      <c r="K13" s="42">
        <v>2629</v>
      </c>
      <c r="L13" s="42">
        <v>800</v>
      </c>
      <c r="M13" s="42">
        <v>74786</v>
      </c>
      <c r="N13" s="42">
        <v>50594</v>
      </c>
      <c r="O13" s="42">
        <v>149</v>
      </c>
      <c r="P13" s="42">
        <v>36</v>
      </c>
      <c r="Q13" s="42">
        <v>4509</v>
      </c>
      <c r="R13" s="42">
        <v>2997</v>
      </c>
      <c r="S13" s="42">
        <v>77</v>
      </c>
      <c r="T13" s="1"/>
      <c r="U13" s="70">
        <f t="shared" si="0"/>
        <v>8.2611419320053517E-2</v>
      </c>
      <c r="V13" s="70">
        <f t="shared" si="1"/>
        <v>0.63940581051339462</v>
      </c>
      <c r="W13" s="49">
        <f t="shared" si="2"/>
        <v>2631166</v>
      </c>
      <c r="X13" s="49">
        <f t="shared" si="3"/>
        <v>490094</v>
      </c>
      <c r="Y13" s="70">
        <f t="shared" si="5"/>
        <v>0.16749873766125759</v>
      </c>
      <c r="Z13" s="70">
        <f t="shared" si="6"/>
        <v>0.14576551342933752</v>
      </c>
      <c r="AA13" s="70">
        <f t="shared" si="4"/>
        <v>0.15701799914137241</v>
      </c>
      <c r="AB13" s="8"/>
    </row>
    <row r="14" spans="1:28" ht="12.65" customHeight="1">
      <c r="A14" s="42">
        <v>2011</v>
      </c>
      <c r="B14" s="42">
        <v>1227093</v>
      </c>
      <c r="C14" s="42">
        <v>1248362</v>
      </c>
      <c r="D14" s="42">
        <v>78402</v>
      </c>
      <c r="E14" s="42">
        <v>143378</v>
      </c>
      <c r="F14" s="42">
        <v>112746</v>
      </c>
      <c r="G14" s="42">
        <v>33707</v>
      </c>
      <c r="H14" s="42">
        <v>213036</v>
      </c>
      <c r="I14" s="42">
        <v>59841</v>
      </c>
      <c r="J14" s="42">
        <v>93</v>
      </c>
      <c r="K14" s="42">
        <v>2476</v>
      </c>
      <c r="L14" s="42">
        <v>792</v>
      </c>
      <c r="M14" s="42">
        <v>74886</v>
      </c>
      <c r="N14" s="42">
        <v>49449</v>
      </c>
      <c r="O14" s="42">
        <v>138</v>
      </c>
      <c r="P14" s="42">
        <v>37</v>
      </c>
      <c r="Q14" s="42">
        <v>4688</v>
      </c>
      <c r="R14" s="42">
        <v>2949</v>
      </c>
      <c r="S14" s="42">
        <v>76</v>
      </c>
      <c r="T14" s="1"/>
      <c r="U14" s="70">
        <f t="shared" si="0"/>
        <v>8.2224945175336961E-2</v>
      </c>
      <c r="V14" s="70">
        <f t="shared" si="1"/>
        <v>0.65074523644862037</v>
      </c>
      <c r="W14" s="49">
        <f t="shared" si="2"/>
        <v>2621908</v>
      </c>
      <c r="X14" s="49">
        <f t="shared" si="3"/>
        <v>494657</v>
      </c>
      <c r="Y14" s="70">
        <f t="shared" si="5"/>
        <v>0.17865635327415269</v>
      </c>
      <c r="Z14" s="70">
        <f t="shared" si="6"/>
        <v>0.13682127641238601</v>
      </c>
      <c r="AA14" s="70">
        <f t="shared" si="4"/>
        <v>0.15871865338922819</v>
      </c>
      <c r="AB14" s="8"/>
    </row>
    <row r="15" spans="1:28" ht="12.65" customHeight="1">
      <c r="A15" s="42">
        <v>2012</v>
      </c>
      <c r="B15" s="42">
        <v>1248396</v>
      </c>
      <c r="C15" s="42">
        <v>1259595</v>
      </c>
      <c r="D15" s="42">
        <v>91735</v>
      </c>
      <c r="E15" s="42">
        <v>135663</v>
      </c>
      <c r="F15" s="42">
        <v>110482</v>
      </c>
      <c r="G15" s="42">
        <v>34540</v>
      </c>
      <c r="H15" s="42">
        <v>227547</v>
      </c>
      <c r="I15" s="42">
        <v>56785</v>
      </c>
      <c r="J15" s="42">
        <v>114</v>
      </c>
      <c r="K15" s="42">
        <v>2338</v>
      </c>
      <c r="L15" s="42">
        <v>792</v>
      </c>
      <c r="M15" s="42">
        <v>75812</v>
      </c>
      <c r="N15" s="42">
        <v>48685</v>
      </c>
      <c r="O15" s="42">
        <v>131</v>
      </c>
      <c r="P15" s="42">
        <v>34</v>
      </c>
      <c r="Q15" s="42">
        <v>4823</v>
      </c>
      <c r="R15" s="42">
        <v>2955</v>
      </c>
      <c r="S15" s="42">
        <v>73</v>
      </c>
      <c r="T15" s="1"/>
      <c r="U15" s="70">
        <f t="shared" si="0"/>
        <v>8.313186899559806E-2</v>
      </c>
      <c r="V15" s="70">
        <f t="shared" si="1"/>
        <v>0.66223209752325585</v>
      </c>
      <c r="W15" s="49">
        <f t="shared" si="2"/>
        <v>2653013</v>
      </c>
      <c r="X15" s="49">
        <f>D15+E15+H15+I15</f>
        <v>511730</v>
      </c>
      <c r="Y15" s="70">
        <f t="shared" si="5"/>
        <v>0.19025718644229395</v>
      </c>
      <c r="Z15" s="70">
        <f t="shared" si="6"/>
        <v>0.12945661291700497</v>
      </c>
      <c r="AA15" s="70">
        <f t="shared" si="4"/>
        <v>0.16169717414652626</v>
      </c>
      <c r="AB15" s="8"/>
    </row>
    <row r="16" spans="1:28" ht="12.65" customHeight="1">
      <c r="A16" s="42">
        <v>2013</v>
      </c>
      <c r="B16" s="42">
        <v>1273113</v>
      </c>
      <c r="C16" s="42">
        <v>1285126</v>
      </c>
      <c r="D16" s="42">
        <v>106196</v>
      </c>
      <c r="E16" s="42">
        <v>129100</v>
      </c>
      <c r="F16" s="42">
        <v>108801</v>
      </c>
      <c r="G16" s="42">
        <v>36230</v>
      </c>
      <c r="H16" s="42">
        <v>248255</v>
      </c>
      <c r="I16" s="42">
        <v>55615</v>
      </c>
      <c r="J16" s="42">
        <v>145</v>
      </c>
      <c r="K16" s="42">
        <v>2286</v>
      </c>
      <c r="L16" s="42">
        <v>792</v>
      </c>
      <c r="M16" s="42">
        <v>77934</v>
      </c>
      <c r="N16" s="42">
        <v>48568</v>
      </c>
      <c r="O16" s="42">
        <v>124</v>
      </c>
      <c r="P16" s="42">
        <v>35</v>
      </c>
      <c r="Q16" s="42">
        <v>5053</v>
      </c>
      <c r="R16" s="42">
        <v>2988</v>
      </c>
      <c r="S16" s="42">
        <v>73</v>
      </c>
      <c r="T16" s="1"/>
      <c r="U16" s="70">
        <f t="shared" si="0"/>
        <v>8.4228763913822446E-2</v>
      </c>
      <c r="V16" s="70">
        <f t="shared" si="1"/>
        <v>0.67691985538013955</v>
      </c>
      <c r="W16" s="49">
        <f t="shared" si="2"/>
        <v>2703270</v>
      </c>
      <c r="X16" s="49">
        <f t="shared" si="3"/>
        <v>539166</v>
      </c>
      <c r="Y16" s="70">
        <f t="shared" si="5"/>
        <v>0.20413392345503392</v>
      </c>
      <c r="Z16" s="70">
        <f t="shared" si="6"/>
        <v>0.1226469402836918</v>
      </c>
      <c r="AA16" s="70">
        <f t="shared" si="4"/>
        <v>0.16628423814687476</v>
      </c>
      <c r="AB16" s="8"/>
    </row>
    <row r="17" spans="1:28" ht="12.65" customHeight="1">
      <c r="A17" s="42">
        <v>2014</v>
      </c>
      <c r="B17" s="42">
        <v>1304212</v>
      </c>
      <c r="C17" s="42">
        <v>1335711</v>
      </c>
      <c r="D17" s="42">
        <v>120242</v>
      </c>
      <c r="E17" s="42">
        <v>122599</v>
      </c>
      <c r="F17" s="42">
        <v>107607</v>
      </c>
      <c r="G17" s="42">
        <v>38966</v>
      </c>
      <c r="H17" s="42">
        <v>273499</v>
      </c>
      <c r="I17" s="42">
        <v>55162</v>
      </c>
      <c r="J17" s="42">
        <v>254</v>
      </c>
      <c r="K17" s="42">
        <v>2216</v>
      </c>
      <c r="L17" s="42">
        <v>799</v>
      </c>
      <c r="M17" s="42">
        <v>81253</v>
      </c>
      <c r="N17" s="42">
        <v>48861</v>
      </c>
      <c r="O17" s="42">
        <v>118</v>
      </c>
      <c r="P17" s="42">
        <v>38</v>
      </c>
      <c r="Q17" s="42">
        <v>5272</v>
      </c>
      <c r="R17" s="42">
        <v>2990</v>
      </c>
      <c r="S17" s="42">
        <v>73</v>
      </c>
      <c r="T17" s="1"/>
      <c r="U17" s="70">
        <f t="shared" si="0"/>
        <v>8.4238945678522414E-2</v>
      </c>
      <c r="V17" s="70">
        <f t="shared" si="1"/>
        <v>0.69157720196787265</v>
      </c>
      <c r="W17" s="49">
        <f t="shared" si="2"/>
        <v>2786496</v>
      </c>
      <c r="X17" s="49">
        <f t="shared" si="3"/>
        <v>571502</v>
      </c>
      <c r="Y17" s="70">
        <f t="shared" si="5"/>
        <v>0.21807140167039588</v>
      </c>
      <c r="Z17" s="70">
        <f t="shared" si="6"/>
        <v>0.11450441177038954</v>
      </c>
      <c r="AA17" s="70">
        <f t="shared" si="4"/>
        <v>0.17019128659397653</v>
      </c>
      <c r="AB17" s="8"/>
    </row>
    <row r="18" spans="1:28" ht="12.65" customHeight="1">
      <c r="A18" s="42">
        <v>2015</v>
      </c>
      <c r="B18" s="42">
        <v>1335063</v>
      </c>
      <c r="C18" s="42">
        <v>1391548</v>
      </c>
      <c r="D18" s="42">
        <v>134570</v>
      </c>
      <c r="E18" s="42">
        <v>116307</v>
      </c>
      <c r="F18" s="42">
        <v>105415</v>
      </c>
      <c r="G18" s="42">
        <v>42271</v>
      </c>
      <c r="H18" s="42">
        <v>301319</v>
      </c>
      <c r="I18" s="42">
        <v>54719</v>
      </c>
      <c r="J18" s="42">
        <v>519</v>
      </c>
      <c r="K18" s="42">
        <v>2148</v>
      </c>
      <c r="L18" s="42">
        <v>807</v>
      </c>
      <c r="M18" s="42">
        <v>84377</v>
      </c>
      <c r="N18" s="42">
        <v>49305</v>
      </c>
      <c r="O18" s="42">
        <v>117</v>
      </c>
      <c r="P18" s="42">
        <v>40</v>
      </c>
      <c r="Q18" s="42">
        <v>5514</v>
      </c>
      <c r="R18" s="42">
        <v>2980</v>
      </c>
      <c r="S18" s="42">
        <v>72</v>
      </c>
      <c r="T18" s="1"/>
      <c r="U18" s="70">
        <f t="shared" si="0"/>
        <v>8.4257938235183488E-2</v>
      </c>
      <c r="V18" s="70">
        <f t="shared" si="1"/>
        <v>0.70681166670637097</v>
      </c>
      <c r="W18" s="49">
        <f t="shared" si="2"/>
        <v>2874297</v>
      </c>
      <c r="X18" s="49">
        <f t="shared" si="3"/>
        <v>606915</v>
      </c>
      <c r="Y18" s="70">
        <f t="shared" si="5"/>
        <v>0.23230476767071687</v>
      </c>
      <c r="Z18" s="70">
        <f t="shared" si="6"/>
        <v>0.10656854711825753</v>
      </c>
      <c r="AA18" s="70">
        <f t="shared" si="4"/>
        <v>0.1743401436051582</v>
      </c>
      <c r="AB18" s="8"/>
    </row>
    <row r="19" spans="1:28" ht="12.65" customHeight="1">
      <c r="A19" s="42">
        <v>2016</v>
      </c>
      <c r="B19" s="42">
        <v>1373701</v>
      </c>
      <c r="C19" s="42">
        <v>1452435</v>
      </c>
      <c r="D19" s="42">
        <v>150970</v>
      </c>
      <c r="E19" s="42">
        <v>111536</v>
      </c>
      <c r="F19" s="42">
        <v>103636</v>
      </c>
      <c r="G19" s="42">
        <v>47020</v>
      </c>
      <c r="H19" s="42">
        <v>333970</v>
      </c>
      <c r="I19" s="42">
        <v>55221</v>
      </c>
      <c r="J19" s="42">
        <v>1586</v>
      </c>
      <c r="K19" s="42">
        <v>2056</v>
      </c>
      <c r="L19" s="42">
        <v>829</v>
      </c>
      <c r="M19" s="42">
        <v>87378</v>
      </c>
      <c r="N19" s="42">
        <v>49716</v>
      </c>
      <c r="O19" s="42">
        <v>111</v>
      </c>
      <c r="P19" s="42">
        <v>40</v>
      </c>
      <c r="Q19" s="42">
        <v>6122</v>
      </c>
      <c r="R19" s="42">
        <v>2989</v>
      </c>
      <c r="S19" s="42">
        <v>72</v>
      </c>
      <c r="T19" s="1"/>
      <c r="U19" s="70">
        <f t="shared" ref="U19" si="7">(D19+E19)/SUM(B19:E19)</f>
        <v>8.4990749980088334E-2</v>
      </c>
      <c r="V19" s="70">
        <f t="shared" ref="V19" si="8">(H19+I19)/SUM(F19:I19)</f>
        <v>0.72092833710291992</v>
      </c>
      <c r="W19" s="49">
        <f t="shared" ref="W19" si="9">B19+C19+F19+G19</f>
        <v>2976792</v>
      </c>
      <c r="X19" s="49">
        <f t="shared" ref="X19" si="10">D19+E19+H19+I19</f>
        <v>651697</v>
      </c>
      <c r="Y19" s="70">
        <f t="shared" si="5"/>
        <v>0.24713126638084226</v>
      </c>
      <c r="Z19" s="70">
        <f t="shared" si="6"/>
        <v>0.10008150223380938</v>
      </c>
      <c r="AA19" s="70">
        <f t="shared" ref="AA19" si="11">(D19+E19+H19+I19)/SUM(B19:I19)</f>
        <v>0.17960561545039821</v>
      </c>
      <c r="AB19" s="8"/>
    </row>
    <row r="20" spans="1:28" ht="12.65" customHeight="1">
      <c r="A20" s="42">
        <v>2017</v>
      </c>
      <c r="B20" s="42">
        <v>1410995</v>
      </c>
      <c r="C20" s="42">
        <v>1510795</v>
      </c>
      <c r="D20" s="42">
        <v>166193</v>
      </c>
      <c r="E20" s="42">
        <v>108352</v>
      </c>
      <c r="F20" s="42">
        <v>101118</v>
      </c>
      <c r="G20" s="42">
        <v>51868</v>
      </c>
      <c r="H20" s="42">
        <v>371970</v>
      </c>
      <c r="I20" s="42">
        <v>56572</v>
      </c>
      <c r="J20" s="42">
        <v>4480</v>
      </c>
      <c r="K20" s="42">
        <v>1979</v>
      </c>
      <c r="L20" s="42">
        <v>833</v>
      </c>
      <c r="M20" s="42">
        <v>91324</v>
      </c>
      <c r="N20" s="42">
        <v>50499</v>
      </c>
      <c r="O20" s="42">
        <v>102</v>
      </c>
      <c r="P20" s="42">
        <v>43</v>
      </c>
      <c r="Q20" s="42">
        <v>6647</v>
      </c>
      <c r="R20" s="42">
        <v>2987</v>
      </c>
      <c r="S20" s="42">
        <v>73</v>
      </c>
      <c r="T20" s="1"/>
      <c r="U20" s="70">
        <f t="shared" ref="U20" si="12">(D20+E20)/SUM(B20:E20)</f>
        <v>8.5893687614095521E-2</v>
      </c>
      <c r="V20" s="70">
        <f t="shared" ref="V20" si="13">(H20+I20)/SUM(F20:I20)</f>
        <v>0.736924103396569</v>
      </c>
      <c r="W20" s="49">
        <f t="shared" ref="W20" si="14">B20+C20+F20+G20</f>
        <v>3074776</v>
      </c>
      <c r="X20" s="49">
        <f t="shared" ref="X20" si="15">D20+E20+H20+I20</f>
        <v>703087</v>
      </c>
      <c r="Y20" s="70">
        <f t="shared" si="5"/>
        <v>0.26248319738415704</v>
      </c>
      <c r="Z20" s="70">
        <f t="shared" si="6"/>
        <v>9.5464946193737271E-2</v>
      </c>
      <c r="AA20" s="70">
        <f t="shared" ref="AA20" si="16">(D20+E20+H20+I20)/SUM(B20:I20)</f>
        <v>0.18610706634941501</v>
      </c>
      <c r="AB20" s="8"/>
    </row>
    <row r="21" spans="1:28" ht="12.65" customHeight="1">
      <c r="A21" s="42">
        <v>2018</v>
      </c>
      <c r="B21" s="42">
        <v>1444697</v>
      </c>
      <c r="C21" s="42">
        <v>1539936</v>
      </c>
      <c r="D21" s="42">
        <v>179652</v>
      </c>
      <c r="E21" s="42">
        <v>103861</v>
      </c>
      <c r="F21" s="42">
        <v>97741</v>
      </c>
      <c r="G21" s="42">
        <v>55752</v>
      </c>
      <c r="H21" s="42">
        <v>410859</v>
      </c>
      <c r="I21" s="42">
        <v>57427</v>
      </c>
      <c r="J21" s="42">
        <v>8772</v>
      </c>
      <c r="K21" s="42">
        <v>1913</v>
      </c>
      <c r="L21" s="42">
        <v>839</v>
      </c>
      <c r="M21" s="42">
        <v>95273</v>
      </c>
      <c r="N21" s="42">
        <v>51115</v>
      </c>
      <c r="O21" s="42">
        <v>95</v>
      </c>
      <c r="P21" s="42">
        <v>44</v>
      </c>
      <c r="Q21" s="42">
        <v>7414</v>
      </c>
      <c r="R21" s="42">
        <v>2983</v>
      </c>
      <c r="S21" s="42">
        <v>93</v>
      </c>
      <c r="T21" s="1"/>
      <c r="U21" s="70">
        <f t="shared" ref="U21" si="17">(D21+E21)/SUM(B21:E21)</f>
        <v>8.6750408335490525E-2</v>
      </c>
      <c r="V21" s="70">
        <f t="shared" ref="V21" si="18">(H21+I21)/SUM(F21:I21)</f>
        <v>0.75313897703203225</v>
      </c>
      <c r="W21" s="49">
        <f t="shared" ref="W21" si="19">B21+C21+F21+G21</f>
        <v>3138126</v>
      </c>
      <c r="X21" s="49">
        <f t="shared" ref="X21" si="20">D21+E21+H21+I21</f>
        <v>751799</v>
      </c>
      <c r="Y21" s="70">
        <f t="shared" si="5"/>
        <v>0.27685190785152386</v>
      </c>
      <c r="Z21" s="70">
        <f t="shared" si="6"/>
        <v>9.1798635837939735E-2</v>
      </c>
      <c r="AA21" s="70">
        <f t="shared" ref="AA21" si="21">(D21+E21+H21+I21)/SUM(B21:I21)</f>
        <v>0.19326825067321349</v>
      </c>
      <c r="AB21" s="8"/>
    </row>
    <row r="22" spans="1:28" ht="12.65" customHeight="1">
      <c r="A22" s="42">
        <v>2019</v>
      </c>
      <c r="B22" s="42">
        <v>1473435</v>
      </c>
      <c r="C22" s="42">
        <v>1559653</v>
      </c>
      <c r="D22" s="42">
        <v>191237</v>
      </c>
      <c r="E22" s="42">
        <v>99513</v>
      </c>
      <c r="F22" s="42">
        <v>94607</v>
      </c>
      <c r="G22" s="42">
        <v>59093</v>
      </c>
      <c r="H22" s="42">
        <v>446077</v>
      </c>
      <c r="I22" s="42">
        <v>57671</v>
      </c>
      <c r="J22" s="42">
        <v>14056</v>
      </c>
      <c r="K22" s="42">
        <v>1855</v>
      </c>
      <c r="L22" s="42">
        <v>843</v>
      </c>
      <c r="M22" s="42">
        <v>99049</v>
      </c>
      <c r="N22" s="42">
        <v>51479</v>
      </c>
      <c r="O22" s="42">
        <v>92</v>
      </c>
      <c r="P22" s="42">
        <v>44</v>
      </c>
      <c r="Q22" s="42">
        <v>7704</v>
      </c>
      <c r="R22" s="42">
        <v>2959</v>
      </c>
      <c r="S22" s="42">
        <v>105</v>
      </c>
      <c r="T22" s="1"/>
      <c r="U22" s="70">
        <f t="shared" ref="U22" si="22">(D22+E22)/SUM(B22:E22)</f>
        <v>8.7474178946145995E-2</v>
      </c>
      <c r="V22" s="70">
        <f t="shared" ref="V22" si="23">(H22+I22)/SUM(F22:I22)</f>
        <v>0.7662172521629087</v>
      </c>
      <c r="W22" s="49">
        <f t="shared" ref="W22" si="24">B22+C22+F22+G22</f>
        <v>3186788</v>
      </c>
      <c r="X22" s="49">
        <f t="shared" ref="X22" si="25">D22+E22+H22+I22</f>
        <v>794498</v>
      </c>
      <c r="Y22" s="70">
        <f t="shared" si="5"/>
        <v>0.28898463558717957</v>
      </c>
      <c r="Z22" s="70">
        <f t="shared" si="6"/>
        <v>8.8507992995219401E-2</v>
      </c>
      <c r="AA22" s="70">
        <f t="shared" ref="AA22" si="26">(D22+E22+H22+I22)/SUM(B22:I22)</f>
        <v>0.19955813272394898</v>
      </c>
      <c r="AB22" s="8"/>
    </row>
    <row r="23" spans="1:28" ht="12.65" customHeight="1">
      <c r="A23" s="42">
        <v>2020</v>
      </c>
      <c r="B23" s="42">
        <v>1486892</v>
      </c>
      <c r="C23" s="42">
        <v>1556545</v>
      </c>
      <c r="D23" s="42">
        <v>197642</v>
      </c>
      <c r="E23" s="42">
        <v>96517</v>
      </c>
      <c r="F23" s="42">
        <v>91882</v>
      </c>
      <c r="G23" s="42">
        <v>61141</v>
      </c>
      <c r="H23" s="42">
        <v>470619</v>
      </c>
      <c r="I23" s="42">
        <v>57415</v>
      </c>
      <c r="J23" s="42">
        <v>17956</v>
      </c>
      <c r="K23" s="42">
        <v>1811</v>
      </c>
      <c r="L23" s="42">
        <v>838</v>
      </c>
      <c r="M23" s="42">
        <v>101839</v>
      </c>
      <c r="N23" s="42">
        <v>51736</v>
      </c>
      <c r="O23" s="42">
        <v>88</v>
      </c>
      <c r="P23" s="42">
        <v>43</v>
      </c>
      <c r="Q23" s="42">
        <v>7814</v>
      </c>
      <c r="R23" s="42">
        <v>2902</v>
      </c>
      <c r="S23" s="42">
        <v>99</v>
      </c>
      <c r="T23" s="1"/>
      <c r="U23" s="70">
        <f t="shared" ref="U23" si="27">(D23+E23)/SUM(B23:E23)</f>
        <v>8.8134992970988701E-2</v>
      </c>
      <c r="V23" s="70">
        <f t="shared" ref="V23" si="28">(H23+I23)/SUM(F23:I23)</f>
        <v>0.7753154288113917</v>
      </c>
      <c r="W23" s="49">
        <f t="shared" ref="W23" si="29">B23+C23+F23+G23</f>
        <v>3196460</v>
      </c>
      <c r="X23" s="49">
        <f t="shared" ref="X23" si="30">D23+E23+H23+I23</f>
        <v>822193</v>
      </c>
      <c r="Y23" s="70">
        <f t="shared" si="5"/>
        <v>0.2973967917722688</v>
      </c>
      <c r="Z23" s="70">
        <f t="shared" si="6"/>
        <v>8.6887805384682257E-2</v>
      </c>
      <c r="AA23" s="70">
        <f t="shared" ref="AA23" si="31">(D23+E23+H23+I23)/SUM(B23:I23)</f>
        <v>0.20459417620779899</v>
      </c>
      <c r="AB23" s="8"/>
    </row>
    <row r="24" spans="1:28" s="42" customFormat="1" ht="12.65" customHeight="1">
      <c r="A24" s="42">
        <v>2021</v>
      </c>
      <c r="B24" s="42">
        <v>1524785</v>
      </c>
      <c r="C24" s="42">
        <v>1556837</v>
      </c>
      <c r="D24" s="42">
        <v>204879</v>
      </c>
      <c r="E24" s="42">
        <v>95892</v>
      </c>
      <c r="F24" s="42">
        <v>89678</v>
      </c>
      <c r="G24" s="42">
        <v>62052</v>
      </c>
      <c r="H24" s="42">
        <v>507154</v>
      </c>
      <c r="I24" s="42">
        <v>56035</v>
      </c>
      <c r="J24" s="42">
        <v>27394</v>
      </c>
      <c r="K24" s="42">
        <v>1764</v>
      </c>
      <c r="L24" s="42">
        <v>851</v>
      </c>
      <c r="M24" s="42">
        <v>105683</v>
      </c>
      <c r="N24" s="42">
        <v>52476</v>
      </c>
      <c r="O24" s="42">
        <v>85</v>
      </c>
      <c r="P24" s="42">
        <v>43</v>
      </c>
      <c r="Q24" s="42">
        <v>8003</v>
      </c>
      <c r="R24" s="42">
        <v>2818</v>
      </c>
      <c r="S24" s="42">
        <v>143</v>
      </c>
      <c r="U24" s="70">
        <f t="shared" ref="U24" si="32">(D24+E24)/SUM(B24:E24)</f>
        <v>8.8922546847749501E-2</v>
      </c>
      <c r="V24" s="70">
        <f t="shared" ref="V24:V25" si="33">(H24+I24)/SUM(F24:I24)</f>
        <v>0.78776616651676623</v>
      </c>
      <c r="W24" s="49">
        <f t="shared" ref="W24:W25" si="34">B24+C24+F24+G24</f>
        <v>3233352</v>
      </c>
      <c r="X24" s="49">
        <f t="shared" ref="X24:X25" si="35">D24+E24+H24+I24</f>
        <v>863960</v>
      </c>
      <c r="Y24" s="70">
        <f t="shared" ref="Y24:Y25" si="36">(D24+H24)/(B24+D24+F24+H24)</f>
        <v>0.30605382515164437</v>
      </c>
      <c r="Z24" s="70">
        <f t="shared" ref="Z24:Z25" si="37">(E24+I24)/(C24+E24+G24+I24)</f>
        <v>8.5794910369005023E-2</v>
      </c>
      <c r="AA24" s="70">
        <f t="shared" ref="AA24" si="38">(D24+E24+H24+I24)/SUM(B24:I24)</f>
        <v>0.21086019321935942</v>
      </c>
    </row>
    <row r="25" spans="1:28" s="42" customFormat="1" ht="12.65" customHeight="1">
      <c r="A25" s="42">
        <v>2022</v>
      </c>
      <c r="B25" s="42">
        <v>1560483</v>
      </c>
      <c r="C25" s="42">
        <v>1549098</v>
      </c>
      <c r="D25" s="42">
        <v>211855</v>
      </c>
      <c r="E25" s="42">
        <v>94166</v>
      </c>
      <c r="F25" s="42">
        <v>88166</v>
      </c>
      <c r="G25" s="42">
        <v>63482</v>
      </c>
      <c r="H25" s="42">
        <v>536961</v>
      </c>
      <c r="I25" s="42">
        <v>55326</v>
      </c>
      <c r="J25" s="42">
        <v>47075</v>
      </c>
      <c r="K25" s="42">
        <v>1748</v>
      </c>
      <c r="L25" s="42">
        <v>886</v>
      </c>
      <c r="M25" s="42">
        <v>110471</v>
      </c>
      <c r="N25" s="42">
        <v>52988</v>
      </c>
      <c r="O25" s="42">
        <v>84</v>
      </c>
      <c r="P25" s="42">
        <v>47</v>
      </c>
      <c r="Q25" s="42">
        <v>8207</v>
      </c>
      <c r="R25" s="42">
        <v>2728</v>
      </c>
      <c r="S25" s="42">
        <v>250</v>
      </c>
      <c r="U25" s="70">
        <f t="shared" ref="U25" si="39">(D25+E25)/SUM(B25:E25)</f>
        <v>8.9595040639980889E-2</v>
      </c>
      <c r="V25" s="70">
        <f t="shared" si="33"/>
        <v>0.79615423390484386</v>
      </c>
      <c r="W25" s="49">
        <f t="shared" si="34"/>
        <v>3261229</v>
      </c>
      <c r="X25" s="49">
        <f t="shared" si="35"/>
        <v>898308</v>
      </c>
      <c r="Y25" s="70">
        <f t="shared" si="36"/>
        <v>0.31233657217102229</v>
      </c>
      <c r="Z25" s="70">
        <f t="shared" si="37"/>
        <v>8.4838758007618309E-2</v>
      </c>
      <c r="AA25" s="70">
        <f t="shared" ref="AA25" si="40">(D25+E25+H25+I25)/SUM(B25:I25)</f>
        <v>0.21596345939463935</v>
      </c>
    </row>
    <row r="26" spans="1:28" ht="12.65" customHeight="1">
      <c r="A26" s="42">
        <v>2023</v>
      </c>
      <c r="B26" s="42">
        <v>1584311</v>
      </c>
      <c r="C26" s="42">
        <v>1550769</v>
      </c>
      <c r="D26" s="42">
        <v>213622</v>
      </c>
      <c r="E26" s="42">
        <v>90110</v>
      </c>
      <c r="F26" s="42">
        <v>86498</v>
      </c>
      <c r="G26" s="42">
        <v>63363</v>
      </c>
      <c r="H26" s="42">
        <v>548691</v>
      </c>
      <c r="I26" s="42">
        <v>54331</v>
      </c>
      <c r="J26" s="42">
        <v>72334</v>
      </c>
      <c r="K26" s="42">
        <v>1769</v>
      </c>
      <c r="L26" s="42">
        <v>890</v>
      </c>
      <c r="M26" s="42">
        <v>115332</v>
      </c>
      <c r="N26" s="42">
        <v>52518</v>
      </c>
      <c r="O26" s="42">
        <v>84</v>
      </c>
      <c r="P26" s="42">
        <v>50</v>
      </c>
      <c r="Q26" s="42">
        <v>8321</v>
      </c>
      <c r="R26" s="42">
        <v>2685</v>
      </c>
      <c r="S26" s="42">
        <v>350</v>
      </c>
      <c r="T26" s="42"/>
      <c r="U26" s="70">
        <f t="shared" ref="U26" si="41">(D26+E26)/SUM(B26:E26)</f>
        <v>8.8324688875111523E-2</v>
      </c>
      <c r="V26" s="70">
        <f t="shared" ref="V26" si="42">(H26+I26)/SUM(F26:I26)</f>
        <v>0.80095047968940725</v>
      </c>
      <c r="W26" s="49">
        <f t="shared" ref="W26" si="43">B26+C26+F26+G26</f>
        <v>3284941</v>
      </c>
      <c r="X26" s="49">
        <f t="shared" ref="X26" si="44">D26+E26+H26+I26</f>
        <v>906754</v>
      </c>
      <c r="Y26" s="70">
        <f t="shared" ref="Y26" si="45">(D26+H26)/(B26+D26+F26+H26)</f>
        <v>0.31330652552564153</v>
      </c>
      <c r="Z26" s="70">
        <f t="shared" ref="Z26" si="46">(E26+I26)/(C26+E26+G26+I26)</f>
        <v>8.2135344964354623E-2</v>
      </c>
      <c r="AA26" s="70">
        <f t="shared" ref="AA26" si="47">(D26+E26+H26+I26)/SUM(B26:I26)</f>
        <v>0.21632155965546157</v>
      </c>
    </row>
    <row r="28" spans="1:28">
      <c r="B28" s="42" t="s">
        <v>551</v>
      </c>
    </row>
    <row r="29" spans="1:28">
      <c r="B29" s="42" t="s">
        <v>552</v>
      </c>
    </row>
  </sheetData>
  <mergeCells count="1">
    <mergeCell ref="P1:Q1"/>
  </mergeCells>
  <phoneticPr fontId="5" type="noConversion"/>
  <hyperlinks>
    <hyperlink ref="P1:Q1" location="Contents!A1" display="Back to Contents" xr:uid="{00000000-0004-0000-1D00-000000000000}"/>
  </hyperlinks>
  <pageMargins left="0.75" right="0.75" top="1" bottom="1" header="0.5" footer="0.5"/>
  <pageSetup paperSize="9" orientation="landscape" horizontalDpi="4294967292" verticalDpi="4294967292"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39997558519241921"/>
  </sheetPr>
  <dimension ref="A1:AF29"/>
  <sheetViews>
    <sheetView tabSelected="1" workbookViewId="0">
      <selection activeCell="L18" sqref="L18"/>
    </sheetView>
  </sheetViews>
  <sheetFormatPr defaultColWidth="8.81640625" defaultRowHeight="12.5"/>
  <cols>
    <col min="1" max="1" width="11.7265625" customWidth="1"/>
    <col min="2" max="2" width="11.453125" customWidth="1"/>
    <col min="3" max="3" width="13" customWidth="1"/>
    <col min="4" max="4" width="12.453125" customWidth="1"/>
    <col min="5" max="5" width="12.453125" bestFit="1" customWidth="1"/>
    <col min="6" max="8" width="11.7265625" bestFit="1" customWidth="1"/>
    <col min="9" max="9" width="11" customWidth="1"/>
    <col min="10" max="10" width="9.453125" bestFit="1" customWidth="1"/>
    <col min="12" max="12" width="9.453125" bestFit="1" customWidth="1"/>
    <col min="13" max="13" width="5.7265625" customWidth="1"/>
    <col min="14" max="17" width="14.26953125" customWidth="1"/>
    <col min="18" max="18" width="12.453125" customWidth="1"/>
    <col min="25" max="25" width="5.7265625" customWidth="1"/>
    <col min="26" max="29" width="10.81640625" customWidth="1"/>
  </cols>
  <sheetData>
    <row r="1" spans="1:32" ht="26.25" customHeight="1">
      <c r="B1" s="17" t="s">
        <v>553</v>
      </c>
      <c r="C1" s="13"/>
      <c r="D1" s="13"/>
      <c r="E1" s="13"/>
      <c r="F1" s="13"/>
      <c r="G1" s="13"/>
      <c r="H1" s="13"/>
      <c r="I1" s="13"/>
      <c r="J1" s="162"/>
      <c r="K1" s="162"/>
      <c r="L1" s="162"/>
      <c r="M1" s="58"/>
      <c r="N1" s="17" t="s">
        <v>554</v>
      </c>
      <c r="O1" s="162"/>
      <c r="P1" s="162"/>
      <c r="Q1" s="162"/>
      <c r="R1" s="162"/>
      <c r="S1" s="162"/>
      <c r="T1" s="162"/>
      <c r="U1" s="162"/>
      <c r="V1" s="213" t="s">
        <v>79</v>
      </c>
      <c r="W1" s="213"/>
      <c r="X1" s="162"/>
      <c r="Y1" s="42"/>
      <c r="Z1" s="17" t="s">
        <v>176</v>
      </c>
      <c r="AA1" s="162"/>
      <c r="AB1" s="162"/>
      <c r="AC1" s="162"/>
    </row>
    <row r="2" spans="1:32" s="42" customFormat="1" ht="20">
      <c r="A2" s="61" t="s">
        <v>299</v>
      </c>
      <c r="B2" s="58" t="s">
        <v>555</v>
      </c>
      <c r="C2" s="58" t="s">
        <v>556</v>
      </c>
      <c r="D2" s="58" t="s">
        <v>557</v>
      </c>
      <c r="E2" s="58" t="s">
        <v>558</v>
      </c>
      <c r="F2" s="58" t="s">
        <v>559</v>
      </c>
      <c r="G2" s="58" t="s">
        <v>560</v>
      </c>
      <c r="H2" s="58" t="s">
        <v>561</v>
      </c>
      <c r="I2" s="58" t="s">
        <v>562</v>
      </c>
      <c r="J2" s="58" t="s">
        <v>563</v>
      </c>
      <c r="K2" s="58" t="s">
        <v>564</v>
      </c>
      <c r="L2" s="58" t="s">
        <v>565</v>
      </c>
      <c r="M2" s="58"/>
      <c r="N2" s="58" t="s">
        <v>566</v>
      </c>
      <c r="O2" s="58" t="s">
        <v>567</v>
      </c>
      <c r="P2" s="58" t="s">
        <v>568</v>
      </c>
      <c r="Q2" s="58" t="s">
        <v>569</v>
      </c>
      <c r="R2" s="58" t="s">
        <v>570</v>
      </c>
      <c r="S2" s="58" t="s">
        <v>278</v>
      </c>
      <c r="T2" s="58" t="s">
        <v>571</v>
      </c>
      <c r="U2" s="58" t="s">
        <v>572</v>
      </c>
      <c r="V2" s="58" t="s">
        <v>573</v>
      </c>
      <c r="W2" s="58" t="s">
        <v>574</v>
      </c>
      <c r="X2" s="58" t="s">
        <v>575</v>
      </c>
      <c r="Y2" s="58"/>
      <c r="Z2" s="58" t="s">
        <v>576</v>
      </c>
      <c r="AA2" s="58" t="s">
        <v>577</v>
      </c>
      <c r="AB2" s="58" t="s">
        <v>578</v>
      </c>
      <c r="AC2" s="58" t="s">
        <v>579</v>
      </c>
    </row>
    <row r="3" spans="1:32">
      <c r="A3" s="66">
        <v>2001</v>
      </c>
      <c r="B3" s="66">
        <v>26289.97351</v>
      </c>
      <c r="C3" s="66">
        <v>2488.670854</v>
      </c>
      <c r="D3" s="66">
        <v>2323.812923</v>
      </c>
      <c r="E3" s="66">
        <v>2851.0635609999999</v>
      </c>
      <c r="F3" s="66">
        <v>0.49813702199999998</v>
      </c>
      <c r="G3" s="66">
        <v>231.51450109999999</v>
      </c>
      <c r="H3" s="66">
        <v>31.784837060000001</v>
      </c>
      <c r="I3" s="66">
        <v>2154.110115</v>
      </c>
      <c r="J3" s="66">
        <v>2.8552664110000001</v>
      </c>
      <c r="K3" s="66">
        <v>134.53306309999999</v>
      </c>
      <c r="L3" s="66">
        <v>1.3202981069999999</v>
      </c>
      <c r="M3" s="63"/>
      <c r="N3" s="66">
        <v>2154001</v>
      </c>
      <c r="O3" s="66">
        <v>158504</v>
      </c>
      <c r="P3" s="66">
        <v>197328</v>
      </c>
      <c r="Q3" s="66">
        <v>164224</v>
      </c>
      <c r="R3" s="66">
        <v>58</v>
      </c>
      <c r="S3" s="66">
        <v>75725</v>
      </c>
      <c r="T3" s="66">
        <v>5655</v>
      </c>
      <c r="U3" s="66">
        <v>93807</v>
      </c>
      <c r="V3" s="66">
        <v>237</v>
      </c>
      <c r="W3" s="66">
        <v>4223</v>
      </c>
      <c r="X3" s="66">
        <v>64</v>
      </c>
      <c r="Y3" s="42"/>
      <c r="Z3" s="63">
        <f t="shared" ref="Z3:Z21" si="0">B3+D3</f>
        <v>28613.786433000001</v>
      </c>
      <c r="AA3" s="63">
        <f t="shared" ref="AA3:AA21" si="1">C3+E3</f>
        <v>5339.7344149999999</v>
      </c>
      <c r="AB3" s="63">
        <f>Z3/(N3+P3)*1000000</f>
        <v>12169.197263760198</v>
      </c>
      <c r="AC3" s="63">
        <f>AA3/(O3+Q3)*1000000</f>
        <v>16545.618647901636</v>
      </c>
      <c r="AE3" s="5"/>
      <c r="AF3" s="5"/>
    </row>
    <row r="4" spans="1:32">
      <c r="A4" s="66">
        <v>2002</v>
      </c>
      <c r="B4" s="66">
        <v>27153.647130000001</v>
      </c>
      <c r="C4" s="66">
        <v>2616.9153719999999</v>
      </c>
      <c r="D4" s="66">
        <v>2252.1208539999998</v>
      </c>
      <c r="E4" s="66">
        <v>3020.3336920000002</v>
      </c>
      <c r="F4" s="66">
        <v>0.448444379</v>
      </c>
      <c r="G4" s="66">
        <v>229.4043063</v>
      </c>
      <c r="H4" s="66">
        <v>30.276229019999999</v>
      </c>
      <c r="I4" s="66">
        <v>2248.878631</v>
      </c>
      <c r="J4" s="66">
        <v>2.5746603590000001</v>
      </c>
      <c r="K4" s="66">
        <v>144.14722760000001</v>
      </c>
      <c r="L4" s="66">
        <v>1.2899253610000001</v>
      </c>
      <c r="M4" s="63"/>
      <c r="N4" s="66">
        <v>2227888</v>
      </c>
      <c r="O4" s="66">
        <v>173887</v>
      </c>
      <c r="P4" s="66">
        <v>194224</v>
      </c>
      <c r="Q4" s="66">
        <v>176641</v>
      </c>
      <c r="R4" s="66">
        <v>57</v>
      </c>
      <c r="S4" s="66">
        <v>78564</v>
      </c>
      <c r="T4" s="66">
        <v>5418</v>
      </c>
      <c r="U4" s="66">
        <v>98533</v>
      </c>
      <c r="V4" s="66">
        <v>229</v>
      </c>
      <c r="W4" s="66">
        <v>4649</v>
      </c>
      <c r="X4" s="66">
        <v>63</v>
      </c>
      <c r="Y4" s="42"/>
      <c r="Z4" s="63">
        <f t="shared" si="0"/>
        <v>29405.767984000002</v>
      </c>
      <c r="AA4" s="63">
        <f t="shared" si="1"/>
        <v>5637.2490639999996</v>
      </c>
      <c r="AB4" s="63">
        <f t="shared" ref="AB4:AB19" si="2">Z4/(N4+P4)*1000000</f>
        <v>12140.548407340371</v>
      </c>
      <c r="AC4" s="63">
        <f t="shared" ref="AC4:AC19" si="3">AA4/(O4+Q4)*1000000</f>
        <v>16082.164802811758</v>
      </c>
      <c r="AE4" s="5"/>
      <c r="AF4" s="5"/>
    </row>
    <row r="5" spans="1:32">
      <c r="A5" s="66">
        <v>2003</v>
      </c>
      <c r="B5" s="66">
        <v>27866.162960000001</v>
      </c>
      <c r="C5" s="66">
        <v>2852.8876049999999</v>
      </c>
      <c r="D5" s="66">
        <v>2172.1157010000002</v>
      </c>
      <c r="E5" s="66">
        <v>3216.0756929999998</v>
      </c>
      <c r="F5" s="66">
        <v>0.42799067299999999</v>
      </c>
      <c r="G5" s="66">
        <v>231.9395682</v>
      </c>
      <c r="H5" s="66">
        <v>28.25856014</v>
      </c>
      <c r="I5" s="66">
        <v>2332.0481989999998</v>
      </c>
      <c r="J5" s="66">
        <v>2.1652484950000002</v>
      </c>
      <c r="K5" s="66">
        <v>154.2508029</v>
      </c>
      <c r="L5" s="66">
        <v>1.3912730259999999</v>
      </c>
      <c r="M5" s="63"/>
      <c r="N5" s="66">
        <v>2320023</v>
      </c>
      <c r="O5" s="66">
        <v>194369</v>
      </c>
      <c r="P5" s="66">
        <v>190834</v>
      </c>
      <c r="Q5" s="66">
        <v>191066</v>
      </c>
      <c r="R5" s="66">
        <v>60</v>
      </c>
      <c r="S5" s="66">
        <v>82706</v>
      </c>
      <c r="T5" s="66">
        <v>5157</v>
      </c>
      <c r="U5" s="66">
        <v>104759</v>
      </c>
      <c r="V5" s="66">
        <v>218</v>
      </c>
      <c r="W5" s="66">
        <v>5055</v>
      </c>
      <c r="X5" s="66">
        <v>67</v>
      </c>
      <c r="Y5" s="42"/>
      <c r="Z5" s="63">
        <f t="shared" si="0"/>
        <v>30038.278661</v>
      </c>
      <c r="AA5" s="63">
        <f t="shared" si="1"/>
        <v>6068.9632979999997</v>
      </c>
      <c r="AB5" s="63">
        <f t="shared" si="2"/>
        <v>11963.35699763069</v>
      </c>
      <c r="AC5" s="63">
        <f t="shared" si="3"/>
        <v>15745.750380738646</v>
      </c>
      <c r="AE5" s="5"/>
      <c r="AF5" s="5"/>
    </row>
    <row r="6" spans="1:32">
      <c r="A6" s="66">
        <v>2004</v>
      </c>
      <c r="B6" s="66">
        <v>28431.103309999999</v>
      </c>
      <c r="C6" s="66">
        <v>3080.129778</v>
      </c>
      <c r="D6" s="66">
        <v>2086.2090309999999</v>
      </c>
      <c r="E6" s="66">
        <v>3467.4202540000001</v>
      </c>
      <c r="F6" s="66">
        <v>0.39160018699999999</v>
      </c>
      <c r="G6" s="66">
        <v>237.74773529999999</v>
      </c>
      <c r="H6" s="66">
        <v>26.27288588</v>
      </c>
      <c r="I6" s="66">
        <v>2484.3605389999998</v>
      </c>
      <c r="J6" s="66">
        <v>2.3591952190000001</v>
      </c>
      <c r="K6" s="66">
        <v>171.2918444</v>
      </c>
      <c r="L6" s="66">
        <v>1.3441725659999999</v>
      </c>
      <c r="M6" s="63"/>
      <c r="N6" s="66">
        <v>2411979</v>
      </c>
      <c r="O6" s="66">
        <v>210955</v>
      </c>
      <c r="P6" s="66">
        <v>188106</v>
      </c>
      <c r="Q6" s="66">
        <v>207776</v>
      </c>
      <c r="R6" s="66">
        <v>61</v>
      </c>
      <c r="S6" s="66">
        <v>88606</v>
      </c>
      <c r="T6" s="66">
        <v>4938</v>
      </c>
      <c r="U6" s="66">
        <v>112428</v>
      </c>
      <c r="V6" s="66">
        <v>208</v>
      </c>
      <c r="W6" s="66">
        <v>5513</v>
      </c>
      <c r="X6" s="66">
        <v>67</v>
      </c>
      <c r="Y6" s="42"/>
      <c r="Z6" s="63">
        <f t="shared" si="0"/>
        <v>30517.312340999997</v>
      </c>
      <c r="AA6" s="63">
        <f t="shared" si="1"/>
        <v>6547.5500320000001</v>
      </c>
      <c r="AB6" s="63">
        <f t="shared" si="2"/>
        <v>11737.044112404017</v>
      </c>
      <c r="AC6" s="63">
        <f t="shared" si="3"/>
        <v>15636.64985873986</v>
      </c>
      <c r="AE6" s="5"/>
      <c r="AF6" s="5"/>
    </row>
    <row r="7" spans="1:32">
      <c r="A7" s="66">
        <v>2005</v>
      </c>
      <c r="B7" s="66">
        <v>28517.667539999999</v>
      </c>
      <c r="C7" s="66">
        <v>3172.848054</v>
      </c>
      <c r="D7" s="66">
        <v>1988.9952969999999</v>
      </c>
      <c r="E7" s="66">
        <v>3667.3685679999999</v>
      </c>
      <c r="F7" s="66">
        <v>0.40357425600000002</v>
      </c>
      <c r="G7" s="66">
        <v>266.51670300000001</v>
      </c>
      <c r="H7" s="66">
        <v>23.296592029999999</v>
      </c>
      <c r="I7" s="66">
        <v>2556.7273260000002</v>
      </c>
      <c r="J7" s="66">
        <v>2.3642043109999999</v>
      </c>
      <c r="K7" s="66">
        <v>184.62475839999999</v>
      </c>
      <c r="L7" s="66">
        <v>1.302689811</v>
      </c>
      <c r="M7" s="63"/>
      <c r="N7" s="66">
        <v>2497513</v>
      </c>
      <c r="O7" s="66">
        <v>226885</v>
      </c>
      <c r="P7" s="66">
        <v>185211</v>
      </c>
      <c r="Q7" s="66">
        <v>225091</v>
      </c>
      <c r="R7" s="66">
        <v>62</v>
      </c>
      <c r="S7" s="66">
        <v>98465</v>
      </c>
      <c r="T7" s="66">
        <v>4761</v>
      </c>
      <c r="U7" s="66">
        <v>119331</v>
      </c>
      <c r="V7" s="66">
        <v>207</v>
      </c>
      <c r="W7" s="66">
        <v>5861</v>
      </c>
      <c r="X7" s="66">
        <v>69</v>
      </c>
      <c r="Y7" s="42"/>
      <c r="Z7" s="63">
        <f t="shared" si="0"/>
        <v>30506.662837</v>
      </c>
      <c r="AA7" s="63">
        <f t="shared" si="1"/>
        <v>6840.2166219999999</v>
      </c>
      <c r="AB7" s="63">
        <f t="shared" si="2"/>
        <v>11371.524926529901</v>
      </c>
      <c r="AC7" s="63">
        <f t="shared" si="3"/>
        <v>15134.026191656194</v>
      </c>
      <c r="AE7" s="5"/>
      <c r="AF7" s="5"/>
    </row>
    <row r="8" spans="1:32">
      <c r="A8" s="66">
        <v>2006</v>
      </c>
      <c r="B8" s="66">
        <v>28322.481400000001</v>
      </c>
      <c r="C8" s="66">
        <v>3173.5750119999998</v>
      </c>
      <c r="D8" s="66">
        <v>1888.110662</v>
      </c>
      <c r="E8" s="66">
        <v>3861.9357230000001</v>
      </c>
      <c r="F8" s="66">
        <v>0.45110502400000002</v>
      </c>
      <c r="G8" s="66">
        <v>302.78704279999999</v>
      </c>
      <c r="H8" s="66">
        <v>20.112032639999999</v>
      </c>
      <c r="I8" s="66">
        <v>2593.0656749999998</v>
      </c>
      <c r="J8" s="66">
        <v>2.3308001709999999</v>
      </c>
      <c r="K8" s="66">
        <v>192.7798774</v>
      </c>
      <c r="L8" s="66">
        <v>1.2603218300000001</v>
      </c>
      <c r="M8" s="63"/>
      <c r="N8" s="66">
        <v>2551901</v>
      </c>
      <c r="O8" s="66">
        <v>234373</v>
      </c>
      <c r="P8" s="66">
        <v>181128</v>
      </c>
      <c r="Q8" s="66">
        <v>240383</v>
      </c>
      <c r="R8" s="66">
        <v>64</v>
      </c>
      <c r="S8" s="66">
        <v>110380</v>
      </c>
      <c r="T8" s="66">
        <v>4488</v>
      </c>
      <c r="U8" s="66">
        <v>124707</v>
      </c>
      <c r="V8" s="66">
        <v>210</v>
      </c>
      <c r="W8" s="66">
        <v>6125</v>
      </c>
      <c r="X8" s="66">
        <v>69</v>
      </c>
      <c r="Y8" s="42"/>
      <c r="Z8" s="63">
        <f t="shared" si="0"/>
        <v>30210.592062</v>
      </c>
      <c r="AA8" s="63">
        <f t="shared" si="1"/>
        <v>7035.5107349999998</v>
      </c>
      <c r="AB8" s="63">
        <f t="shared" si="2"/>
        <v>11053.886388325918</v>
      </c>
      <c r="AC8" s="63">
        <f t="shared" si="3"/>
        <v>14819.213943583653</v>
      </c>
      <c r="AE8" s="5"/>
      <c r="AF8" s="5"/>
    </row>
    <row r="9" spans="1:32">
      <c r="A9" s="66">
        <v>2007</v>
      </c>
      <c r="B9" s="66">
        <v>28663.083589999998</v>
      </c>
      <c r="C9" s="66">
        <v>3189.8416969999998</v>
      </c>
      <c r="D9" s="66">
        <v>1819.3253259999999</v>
      </c>
      <c r="E9" s="66">
        <v>4107.7260729999998</v>
      </c>
      <c r="F9" s="66">
        <v>0.38697377599999999</v>
      </c>
      <c r="G9" s="66">
        <v>335.99182730000001</v>
      </c>
      <c r="H9" s="66">
        <v>19.162326060000002</v>
      </c>
      <c r="I9" s="66">
        <v>2665.6241340000001</v>
      </c>
      <c r="J9" s="66">
        <v>2.0775353010000002</v>
      </c>
      <c r="K9" s="66">
        <v>200.5581938</v>
      </c>
      <c r="L9" s="66">
        <v>1.145968549</v>
      </c>
      <c r="M9" s="63"/>
      <c r="N9" s="66">
        <v>2600154</v>
      </c>
      <c r="O9" s="66">
        <v>239387</v>
      </c>
      <c r="P9" s="66">
        <v>177193</v>
      </c>
      <c r="Q9" s="66">
        <v>256454</v>
      </c>
      <c r="R9" s="66">
        <v>65</v>
      </c>
      <c r="S9" s="66">
        <v>122849</v>
      </c>
      <c r="T9" s="66">
        <v>4267</v>
      </c>
      <c r="U9" s="66">
        <v>129834</v>
      </c>
      <c r="V9" s="66">
        <v>199</v>
      </c>
      <c r="W9" s="66">
        <v>6626</v>
      </c>
      <c r="X9" s="66">
        <v>70</v>
      </c>
      <c r="Y9" s="42"/>
      <c r="Z9" s="63">
        <f t="shared" si="0"/>
        <v>30482.408915999997</v>
      </c>
      <c r="AA9" s="63">
        <f t="shared" si="1"/>
        <v>7297.5677699999997</v>
      </c>
      <c r="AB9" s="63">
        <f t="shared" si="2"/>
        <v>10975.369270026395</v>
      </c>
      <c r="AC9" s="63">
        <f t="shared" si="3"/>
        <v>14717.556172240696</v>
      </c>
      <c r="AE9" s="5"/>
      <c r="AF9" s="5"/>
    </row>
    <row r="10" spans="1:32">
      <c r="A10" s="66">
        <v>2008</v>
      </c>
      <c r="B10" s="66">
        <v>28070.347150000001</v>
      </c>
      <c r="C10" s="66">
        <v>3087.6330250000001</v>
      </c>
      <c r="D10" s="66">
        <v>1735.395043</v>
      </c>
      <c r="E10" s="66">
        <v>4281.1603590000004</v>
      </c>
      <c r="F10" s="66">
        <v>0.32359085399999998</v>
      </c>
      <c r="G10" s="66">
        <v>375.30882170000001</v>
      </c>
      <c r="H10" s="66">
        <v>17.43892061</v>
      </c>
      <c r="I10" s="66">
        <v>2657.9183309999999</v>
      </c>
      <c r="J10" s="66">
        <v>1.9604877679999999</v>
      </c>
      <c r="K10" s="66">
        <v>206.6771756</v>
      </c>
      <c r="L10" s="66">
        <v>1.109491711</v>
      </c>
      <c r="M10" s="63"/>
      <c r="N10" s="66">
        <v>2615057</v>
      </c>
      <c r="O10" s="66">
        <v>240776</v>
      </c>
      <c r="P10" s="66">
        <v>173055</v>
      </c>
      <c r="Q10" s="66">
        <v>268746</v>
      </c>
      <c r="R10" s="66">
        <v>65</v>
      </c>
      <c r="S10" s="66">
        <v>137205</v>
      </c>
      <c r="T10" s="66">
        <v>4074</v>
      </c>
      <c r="U10" s="66">
        <v>133725</v>
      </c>
      <c r="V10" s="66">
        <v>196</v>
      </c>
      <c r="W10" s="66">
        <v>7184</v>
      </c>
      <c r="X10" s="66">
        <v>99</v>
      </c>
      <c r="Y10" s="42"/>
      <c r="Z10" s="63">
        <f t="shared" si="0"/>
        <v>29805.742193000002</v>
      </c>
      <c r="AA10" s="63">
        <f t="shared" si="1"/>
        <v>7368.7933840000005</v>
      </c>
      <c r="AB10" s="63">
        <f t="shared" si="2"/>
        <v>10690.295867956525</v>
      </c>
      <c r="AC10" s="63">
        <f t="shared" si="3"/>
        <v>14462.16921742339</v>
      </c>
      <c r="AE10" s="5"/>
      <c r="AF10" s="5"/>
    </row>
    <row r="11" spans="1:32">
      <c r="A11" s="66">
        <v>2009</v>
      </c>
      <c r="B11" s="66">
        <v>28175.753540000002</v>
      </c>
      <c r="C11" s="66">
        <v>3073.1436800000001</v>
      </c>
      <c r="D11" s="66">
        <v>1681.5186329999999</v>
      </c>
      <c r="E11" s="66">
        <v>4329.7124229999999</v>
      </c>
      <c r="F11" s="66">
        <v>0.31574607900000001</v>
      </c>
      <c r="G11" s="66">
        <v>390.15018830000002</v>
      </c>
      <c r="H11" s="66">
        <v>15.501431520000001</v>
      </c>
      <c r="I11" s="66">
        <v>2519.4486259999999</v>
      </c>
      <c r="J11" s="66">
        <v>1.804332984</v>
      </c>
      <c r="K11" s="66">
        <v>212.9953213</v>
      </c>
      <c r="L11" s="66">
        <v>1.4637602709999999</v>
      </c>
      <c r="M11" s="63"/>
      <c r="N11" s="66">
        <v>2591732</v>
      </c>
      <c r="O11" s="66">
        <v>238714</v>
      </c>
      <c r="P11" s="66">
        <v>166772</v>
      </c>
      <c r="Q11" s="66">
        <v>273318</v>
      </c>
      <c r="R11" s="66">
        <v>73</v>
      </c>
      <c r="S11" s="66">
        <v>143131</v>
      </c>
      <c r="T11" s="66">
        <v>3889</v>
      </c>
      <c r="U11" s="66">
        <v>133102</v>
      </c>
      <c r="V11" s="66">
        <v>188</v>
      </c>
      <c r="W11" s="66">
        <v>7534</v>
      </c>
      <c r="X11" s="66">
        <v>98</v>
      </c>
      <c r="Y11" s="42"/>
      <c r="Z11" s="63">
        <f t="shared" si="0"/>
        <v>29857.272173000001</v>
      </c>
      <c r="AA11" s="63">
        <f t="shared" si="1"/>
        <v>7402.8561030000001</v>
      </c>
      <c r="AB11" s="63">
        <f t="shared" si="2"/>
        <v>10823.719006026457</v>
      </c>
      <c r="AC11" s="63">
        <f t="shared" si="3"/>
        <v>14457.799713689768</v>
      </c>
      <c r="AE11" s="5"/>
      <c r="AF11" s="5"/>
    </row>
    <row r="12" spans="1:32">
      <c r="A12" s="66">
        <v>2010</v>
      </c>
      <c r="B12" s="66">
        <v>28131.495849999999</v>
      </c>
      <c r="C12" s="66">
        <v>3053.8207600000001</v>
      </c>
      <c r="D12" s="66">
        <v>1630.2490849999999</v>
      </c>
      <c r="E12" s="66">
        <v>4417.9744780000001</v>
      </c>
      <c r="F12" s="66">
        <v>0.30959834600000002</v>
      </c>
      <c r="G12" s="66">
        <v>385.22555940000001</v>
      </c>
      <c r="H12" s="66">
        <v>14.707378820000001</v>
      </c>
      <c r="I12" s="66">
        <v>2518.8443200000002</v>
      </c>
      <c r="J12" s="66">
        <v>1.6593622729999999</v>
      </c>
      <c r="K12" s="66">
        <v>220.42446960000001</v>
      </c>
      <c r="L12" s="66">
        <v>1.8322730220000001</v>
      </c>
      <c r="M12" s="63"/>
      <c r="N12" s="66">
        <v>2611973</v>
      </c>
      <c r="O12" s="66">
        <v>238443</v>
      </c>
      <c r="P12" s="66">
        <v>162712</v>
      </c>
      <c r="Q12" s="66">
        <v>280874</v>
      </c>
      <c r="R12" s="66">
        <v>81</v>
      </c>
      <c r="S12" s="66">
        <v>146033</v>
      </c>
      <c r="T12" s="66">
        <v>3716</v>
      </c>
      <c r="U12" s="66">
        <v>132302</v>
      </c>
      <c r="V12" s="66">
        <v>183</v>
      </c>
      <c r="W12" s="66">
        <v>7705</v>
      </c>
      <c r="X12" s="66">
        <v>77</v>
      </c>
      <c r="Y12" s="42"/>
      <c r="Z12" s="63">
        <f t="shared" si="0"/>
        <v>29761.744934999999</v>
      </c>
      <c r="AA12" s="63">
        <f t="shared" si="1"/>
        <v>7471.7952380000006</v>
      </c>
      <c r="AB12" s="63">
        <f t="shared" si="2"/>
        <v>10726.170695051871</v>
      </c>
      <c r="AC12" s="63">
        <f t="shared" si="3"/>
        <v>14387.734732350378</v>
      </c>
      <c r="AE12" s="5"/>
      <c r="AF12" s="5"/>
    </row>
    <row r="13" spans="1:32">
      <c r="A13" s="66">
        <v>2011</v>
      </c>
      <c r="B13" s="66">
        <v>27708.210210000001</v>
      </c>
      <c r="C13" s="66">
        <v>2998.3277990000001</v>
      </c>
      <c r="D13" s="66">
        <v>1564.8753879999999</v>
      </c>
      <c r="E13" s="66">
        <v>4508.2637279999999</v>
      </c>
      <c r="F13" s="66">
        <v>0.38218316699999999</v>
      </c>
      <c r="G13" s="66">
        <v>374.18346830000002</v>
      </c>
      <c r="H13" s="66">
        <v>13.292446910000001</v>
      </c>
      <c r="I13" s="66">
        <v>2526.132861</v>
      </c>
      <c r="J13" s="66">
        <v>1.1153161110000001</v>
      </c>
      <c r="K13" s="66">
        <v>217.8759531</v>
      </c>
      <c r="L13" s="66">
        <v>1.754609375</v>
      </c>
      <c r="M13" s="63"/>
      <c r="N13" s="66">
        <v>2628282</v>
      </c>
      <c r="O13" s="66">
        <v>239679</v>
      </c>
      <c r="P13" s="66">
        <v>159645</v>
      </c>
      <c r="Q13" s="66">
        <v>290013</v>
      </c>
      <c r="R13" s="66">
        <v>98</v>
      </c>
      <c r="S13" s="66">
        <v>148213</v>
      </c>
      <c r="T13" s="66">
        <v>3536</v>
      </c>
      <c r="U13" s="66">
        <v>131617</v>
      </c>
      <c r="V13" s="66">
        <v>173</v>
      </c>
      <c r="W13" s="66">
        <v>7908</v>
      </c>
      <c r="X13" s="66">
        <v>77</v>
      </c>
      <c r="Y13" s="42"/>
      <c r="Z13" s="63">
        <f t="shared" si="0"/>
        <v>29273.085598000001</v>
      </c>
      <c r="AA13" s="63">
        <f t="shared" si="1"/>
        <v>7506.5915270000005</v>
      </c>
      <c r="AB13" s="63">
        <f t="shared" si="2"/>
        <v>10499.946949113086</v>
      </c>
      <c r="AC13" s="63">
        <f t="shared" si="3"/>
        <v>14171.615820136987</v>
      </c>
      <c r="AE13" s="5"/>
      <c r="AF13" s="5"/>
    </row>
    <row r="14" spans="1:32">
      <c r="A14" s="66">
        <v>2012</v>
      </c>
      <c r="B14" s="66">
        <v>27633.56222</v>
      </c>
      <c r="C14" s="66">
        <v>3044.2673410000002</v>
      </c>
      <c r="D14" s="66">
        <v>1530.416796</v>
      </c>
      <c r="E14" s="66">
        <v>4647.9755740000001</v>
      </c>
      <c r="F14" s="66">
        <v>0.63371611400000005</v>
      </c>
      <c r="G14" s="66">
        <v>372.92392039999999</v>
      </c>
      <c r="H14" s="66">
        <v>11.54235686</v>
      </c>
      <c r="I14" s="66">
        <v>2515.0977809999999</v>
      </c>
      <c r="J14" s="66">
        <v>1.0476923199999999</v>
      </c>
      <c r="K14" s="66">
        <v>224.3889973</v>
      </c>
      <c r="L14" s="66">
        <v>1.4695069190000001</v>
      </c>
      <c r="M14" s="63"/>
      <c r="N14" s="66">
        <v>2632065</v>
      </c>
      <c r="O14" s="66">
        <v>242791</v>
      </c>
      <c r="P14" s="66">
        <v>155966</v>
      </c>
      <c r="Q14" s="66">
        <v>300823</v>
      </c>
      <c r="R14" s="66">
        <v>123</v>
      </c>
      <c r="S14" s="66">
        <v>148366</v>
      </c>
      <c r="T14" s="66">
        <v>3382</v>
      </c>
      <c r="U14" s="66">
        <v>130996</v>
      </c>
      <c r="V14" s="66">
        <v>163</v>
      </c>
      <c r="W14" s="66">
        <v>8063</v>
      </c>
      <c r="X14" s="66">
        <v>77</v>
      </c>
      <c r="Y14" s="42"/>
      <c r="Z14" s="63">
        <f t="shared" si="0"/>
        <v>29163.979016000001</v>
      </c>
      <c r="AA14" s="63">
        <f t="shared" si="1"/>
        <v>7692.2429150000007</v>
      </c>
      <c r="AB14" s="63">
        <f t="shared" si="2"/>
        <v>10460.421356864397</v>
      </c>
      <c r="AC14" s="63">
        <f t="shared" si="3"/>
        <v>14150.192811443414</v>
      </c>
      <c r="AE14" s="5"/>
      <c r="AF14" s="5"/>
    </row>
    <row r="15" spans="1:32">
      <c r="A15" s="66">
        <v>2013</v>
      </c>
      <c r="B15" s="66">
        <v>27808.058420000001</v>
      </c>
      <c r="C15" s="66">
        <v>3156.6334870000001</v>
      </c>
      <c r="D15" s="66">
        <v>1517.0861460000001</v>
      </c>
      <c r="E15" s="66">
        <v>4922.6989460000004</v>
      </c>
      <c r="F15" s="66">
        <v>0.75109331999999995</v>
      </c>
      <c r="G15" s="66">
        <v>380.9769202</v>
      </c>
      <c r="H15" s="66">
        <v>10.50584531</v>
      </c>
      <c r="I15" s="66">
        <v>2570.7673530000002</v>
      </c>
      <c r="J15" s="66">
        <v>0.96071579799999995</v>
      </c>
      <c r="K15" s="66">
        <v>231.3522949</v>
      </c>
      <c r="L15" s="66">
        <v>1.4321233529999999</v>
      </c>
      <c r="M15" s="63"/>
      <c r="N15" s="66">
        <v>2683273</v>
      </c>
      <c r="O15" s="66">
        <v>249852</v>
      </c>
      <c r="P15" s="66">
        <v>154940</v>
      </c>
      <c r="Q15" s="66">
        <v>319893</v>
      </c>
      <c r="R15" s="66">
        <v>152</v>
      </c>
      <c r="S15" s="66">
        <v>152673</v>
      </c>
      <c r="T15" s="66">
        <v>3241</v>
      </c>
      <c r="U15" s="66">
        <v>132323</v>
      </c>
      <c r="V15" s="66">
        <v>154</v>
      </c>
      <c r="W15" s="66">
        <v>8270</v>
      </c>
      <c r="X15" s="66">
        <v>74</v>
      </c>
      <c r="Y15" s="42"/>
      <c r="Z15" s="63">
        <f t="shared" si="0"/>
        <v>29325.144566000003</v>
      </c>
      <c r="AA15" s="63">
        <f t="shared" si="1"/>
        <v>8079.3324330000005</v>
      </c>
      <c r="AB15" s="63">
        <f t="shared" si="2"/>
        <v>10332.256446573954</v>
      </c>
      <c r="AC15" s="63">
        <f t="shared" si="3"/>
        <v>14180.611384040229</v>
      </c>
      <c r="AE15" s="5"/>
      <c r="AF15" s="5"/>
    </row>
    <row r="16" spans="1:32">
      <c r="A16" s="66">
        <v>2014</v>
      </c>
      <c r="B16" s="66">
        <v>28263.615419999998</v>
      </c>
      <c r="C16" s="66">
        <v>3258.01973</v>
      </c>
      <c r="D16" s="66">
        <v>1511.1837290000001</v>
      </c>
      <c r="E16" s="66">
        <v>5289.154055</v>
      </c>
      <c r="F16" s="66">
        <v>1.3085706619999999</v>
      </c>
      <c r="G16" s="66">
        <v>385.67267270000002</v>
      </c>
      <c r="H16" s="66">
        <v>9.7673221770000005</v>
      </c>
      <c r="I16" s="66">
        <v>2662.1745310000001</v>
      </c>
      <c r="J16" s="66">
        <v>0.89124204900000004</v>
      </c>
      <c r="K16" s="66">
        <v>240.848671</v>
      </c>
      <c r="L16" s="66">
        <v>1.5044281180000001</v>
      </c>
      <c r="M16" s="63"/>
      <c r="N16" s="66">
        <v>2769253</v>
      </c>
      <c r="O16" s="66">
        <v>256795</v>
      </c>
      <c r="P16" s="66">
        <v>155943</v>
      </c>
      <c r="Q16" s="66">
        <v>344494</v>
      </c>
      <c r="R16" s="66">
        <v>263</v>
      </c>
      <c r="S16" s="66">
        <v>157651</v>
      </c>
      <c r="T16" s="66">
        <v>3160</v>
      </c>
      <c r="U16" s="66">
        <v>135283</v>
      </c>
      <c r="V16" s="66">
        <v>150</v>
      </c>
      <c r="W16" s="66">
        <v>8445</v>
      </c>
      <c r="X16" s="66">
        <v>74</v>
      </c>
      <c r="Y16" s="42"/>
      <c r="Z16" s="63">
        <f t="shared" si="0"/>
        <v>29774.799148999999</v>
      </c>
      <c r="AA16" s="63">
        <f t="shared" si="1"/>
        <v>8547.173784999999</v>
      </c>
      <c r="AB16" s="63">
        <f t="shared" si="2"/>
        <v>10178.736450138726</v>
      </c>
      <c r="AC16" s="63">
        <f t="shared" si="3"/>
        <v>14214.751616942933</v>
      </c>
      <c r="AE16" s="5"/>
      <c r="AF16" s="5"/>
    </row>
    <row r="17" spans="1:32">
      <c r="A17" s="66">
        <v>2015</v>
      </c>
      <c r="B17" s="66">
        <v>29172.326590000001</v>
      </c>
      <c r="C17" s="66">
        <v>3354.9354790000002</v>
      </c>
      <c r="D17" s="66">
        <v>1514.1963499999999</v>
      </c>
      <c r="E17" s="66">
        <v>5721.2148539999998</v>
      </c>
      <c r="F17" s="66">
        <v>3.2427337039999999</v>
      </c>
      <c r="G17" s="66">
        <v>395.01989689999999</v>
      </c>
      <c r="H17" s="66">
        <v>8.9841755709999997</v>
      </c>
      <c r="I17" s="66">
        <v>2718.6496259999999</v>
      </c>
      <c r="J17" s="66">
        <v>0.88286134000000005</v>
      </c>
      <c r="K17" s="66">
        <v>248.14094320000001</v>
      </c>
      <c r="L17" s="66">
        <v>1.5000195409999999</v>
      </c>
      <c r="M17" s="63"/>
      <c r="N17" s="66">
        <v>2866559</v>
      </c>
      <c r="O17" s="66">
        <v>264441</v>
      </c>
      <c r="P17" s="66">
        <v>156894</v>
      </c>
      <c r="Q17" s="66">
        <v>372440</v>
      </c>
      <c r="R17" s="66">
        <v>526</v>
      </c>
      <c r="S17" s="66">
        <v>163946</v>
      </c>
      <c r="T17" s="66">
        <v>3100</v>
      </c>
      <c r="U17" s="66">
        <v>138927</v>
      </c>
      <c r="V17" s="66">
        <v>147</v>
      </c>
      <c r="W17" s="66">
        <v>8677</v>
      </c>
      <c r="X17" s="66">
        <v>74</v>
      </c>
      <c r="Y17" s="42"/>
      <c r="Z17" s="63">
        <f t="shared" si="0"/>
        <v>30686.522939999999</v>
      </c>
      <c r="AA17" s="63">
        <f t="shared" si="1"/>
        <v>9076.1503329999996</v>
      </c>
      <c r="AB17" s="63">
        <f t="shared" si="2"/>
        <v>10149.495606513479</v>
      </c>
      <c r="AC17" s="63">
        <f t="shared" si="3"/>
        <v>14250.935940937161</v>
      </c>
      <c r="AE17" s="5"/>
      <c r="AF17" s="5"/>
    </row>
    <row r="18" spans="1:32">
      <c r="A18" s="66">
        <v>2016</v>
      </c>
      <c r="B18" s="66">
        <v>30346.26843</v>
      </c>
      <c r="C18" s="66">
        <v>3498.0340120000001</v>
      </c>
      <c r="D18" s="66">
        <v>1537.1542219999999</v>
      </c>
      <c r="E18" s="66">
        <v>6265.2877669999998</v>
      </c>
      <c r="F18" s="66">
        <v>9.1675905209999993</v>
      </c>
      <c r="G18" s="66">
        <v>405.5699573</v>
      </c>
      <c r="H18" s="66">
        <v>9.0024100820000008</v>
      </c>
      <c r="I18" s="66">
        <v>2791.0327569999999</v>
      </c>
      <c r="J18" s="66">
        <v>0.74614232899999999</v>
      </c>
      <c r="K18" s="66">
        <v>260.65666490000001</v>
      </c>
      <c r="L18" s="66">
        <v>1.477679338</v>
      </c>
      <c r="M18" s="63"/>
      <c r="N18" s="66">
        <v>2963953</v>
      </c>
      <c r="O18" s="66">
        <v>275191</v>
      </c>
      <c r="P18" s="66">
        <v>159275</v>
      </c>
      <c r="Q18" s="66">
        <v>405182</v>
      </c>
      <c r="R18" s="66">
        <v>1602</v>
      </c>
      <c r="S18" s="66">
        <v>169162</v>
      </c>
      <c r="T18" s="66">
        <v>3031</v>
      </c>
      <c r="U18" s="66">
        <v>142133</v>
      </c>
      <c r="V18" s="66">
        <v>146</v>
      </c>
      <c r="W18" s="66">
        <v>9242</v>
      </c>
      <c r="X18" s="66">
        <v>72</v>
      </c>
      <c r="Y18" s="42"/>
      <c r="Z18" s="63">
        <f t="shared" si="0"/>
        <v>31883.422652000001</v>
      </c>
      <c r="AA18" s="63">
        <f t="shared" si="1"/>
        <v>9763.3217789999999</v>
      </c>
      <c r="AB18" s="63">
        <f t="shared" si="2"/>
        <v>10208.483867332132</v>
      </c>
      <c r="AC18" s="63">
        <f t="shared" si="3"/>
        <v>14349.954773337566</v>
      </c>
      <c r="AE18" s="5"/>
      <c r="AF18" s="5"/>
    </row>
    <row r="19" spans="1:32">
      <c r="A19" s="66">
        <v>2017</v>
      </c>
      <c r="B19" s="66">
        <v>31022.89962</v>
      </c>
      <c r="C19" s="66">
        <v>3616.0141610000001</v>
      </c>
      <c r="D19" s="66">
        <v>1544.167856</v>
      </c>
      <c r="E19" s="66">
        <v>6843.2215480000004</v>
      </c>
      <c r="F19" s="66">
        <v>30.547374720000001</v>
      </c>
      <c r="G19" s="66">
        <v>410.44143689999999</v>
      </c>
      <c r="H19" s="66">
        <v>8.8043078520000009</v>
      </c>
      <c r="I19" s="66">
        <v>2926.7798499999999</v>
      </c>
      <c r="J19" s="66">
        <v>0.68674162500000002</v>
      </c>
      <c r="K19" s="66">
        <v>278.9663539</v>
      </c>
      <c r="L19" s="66">
        <v>1.4856027190000001</v>
      </c>
      <c r="M19" s="63"/>
      <c r="N19" s="66">
        <v>3082402</v>
      </c>
      <c r="O19" s="66">
        <v>287681</v>
      </c>
      <c r="P19" s="66">
        <v>161959</v>
      </c>
      <c r="Q19" s="66">
        <v>445941</v>
      </c>
      <c r="R19" s="66">
        <v>4485</v>
      </c>
      <c r="S19" s="66">
        <v>174652</v>
      </c>
      <c r="T19" s="66">
        <v>2934</v>
      </c>
      <c r="U19" s="66">
        <v>146993</v>
      </c>
      <c r="V19" s="66">
        <v>143</v>
      </c>
      <c r="W19" s="66">
        <v>9791</v>
      </c>
      <c r="X19" s="66">
        <v>73</v>
      </c>
      <c r="Y19" s="42"/>
      <c r="Z19" s="63">
        <f t="shared" si="0"/>
        <v>32567.067476</v>
      </c>
      <c r="AA19" s="63">
        <f t="shared" si="1"/>
        <v>10459.235709</v>
      </c>
      <c r="AB19" s="63">
        <f t="shared" si="2"/>
        <v>10038.052940471176</v>
      </c>
      <c r="AC19" s="63">
        <f t="shared" si="3"/>
        <v>14256.982082053155</v>
      </c>
      <c r="AE19" s="5"/>
      <c r="AF19" s="5"/>
    </row>
    <row r="20" spans="1:32">
      <c r="A20" s="66">
        <v>2018</v>
      </c>
      <c r="B20" s="66">
        <v>31388.011399999999</v>
      </c>
      <c r="C20" s="66">
        <v>3702.7107030000002</v>
      </c>
      <c r="D20" s="66">
        <v>1513.8646189999999</v>
      </c>
      <c r="E20" s="66">
        <v>7436.5834210000003</v>
      </c>
      <c r="F20" s="66">
        <v>76.547105650000006</v>
      </c>
      <c r="G20" s="66">
        <v>423.41910539999998</v>
      </c>
      <c r="H20" s="66">
        <v>8.3562747959999992</v>
      </c>
      <c r="I20" s="66">
        <v>3013.5875040000001</v>
      </c>
      <c r="J20" s="66">
        <v>0.70171545499999999</v>
      </c>
      <c r="K20" s="66">
        <v>296.18457640000003</v>
      </c>
      <c r="L20" s="66">
        <v>1.59206107</v>
      </c>
      <c r="M20" s="63"/>
      <c r="N20" s="66">
        <v>3160192</v>
      </c>
      <c r="O20" s="66">
        <v>297448</v>
      </c>
      <c r="P20" s="66">
        <v>162570</v>
      </c>
      <c r="Q20" s="66">
        <v>487143</v>
      </c>
      <c r="R20" s="66">
        <v>8804</v>
      </c>
      <c r="S20" s="66">
        <v>180252</v>
      </c>
      <c r="T20" s="66">
        <v>2858</v>
      </c>
      <c r="U20" s="66">
        <v>151734</v>
      </c>
      <c r="V20" s="66">
        <v>140</v>
      </c>
      <c r="W20" s="66">
        <v>10547</v>
      </c>
      <c r="X20" s="66">
        <v>94</v>
      </c>
      <c r="Y20" s="42"/>
      <c r="Z20" s="63">
        <f t="shared" si="0"/>
        <v>32901.876019000003</v>
      </c>
      <c r="AA20" s="63">
        <f t="shared" si="1"/>
        <v>11139.294124</v>
      </c>
      <c r="AB20" s="63">
        <f t="shared" ref="AB20" si="4">Z20/(N20+P20)*1000000</f>
        <v>9901.9659003563902</v>
      </c>
      <c r="AC20" s="63">
        <f t="shared" ref="AC20" si="5">AA20/(O20+Q20)*1000000</f>
        <v>14197.58080834473</v>
      </c>
      <c r="AE20" s="5"/>
      <c r="AF20" s="5"/>
    </row>
    <row r="21" spans="1:32">
      <c r="A21" s="66">
        <v>2019</v>
      </c>
      <c r="B21" s="66">
        <v>30649.22581</v>
      </c>
      <c r="C21" s="66">
        <v>3657.5962359999999</v>
      </c>
      <c r="D21" s="66">
        <v>1440.171752</v>
      </c>
      <c r="E21" s="66">
        <v>7808.5635069999998</v>
      </c>
      <c r="F21" s="66">
        <v>131.98043240000001</v>
      </c>
      <c r="G21" s="66">
        <v>425.95260230000002</v>
      </c>
      <c r="H21" s="66">
        <v>7.7788902320000002</v>
      </c>
      <c r="I21" s="66">
        <v>3028.3385790000002</v>
      </c>
      <c r="J21" s="66">
        <v>0.69940131000000005</v>
      </c>
      <c r="K21" s="66">
        <v>304.10821670000001</v>
      </c>
      <c r="L21" s="66">
        <v>2.1406045480000002</v>
      </c>
      <c r="M21" s="63"/>
      <c r="N21" s="66">
        <v>3212125</v>
      </c>
      <c r="O21" s="66">
        <v>304705</v>
      </c>
      <c r="P21" s="66">
        <v>162672</v>
      </c>
      <c r="Q21" s="66">
        <v>523633</v>
      </c>
      <c r="R21" s="66">
        <v>14121</v>
      </c>
      <c r="S21" s="66">
        <v>184433</v>
      </c>
      <c r="T21" s="66">
        <v>2781</v>
      </c>
      <c r="U21" s="66">
        <v>156208</v>
      </c>
      <c r="V21" s="66">
        <v>134</v>
      </c>
      <c r="W21" s="66">
        <v>10828</v>
      </c>
      <c r="X21" s="66">
        <v>106</v>
      </c>
      <c r="Y21" s="42"/>
      <c r="Z21" s="63">
        <f t="shared" si="0"/>
        <v>32089.397561999998</v>
      </c>
      <c r="AA21" s="63">
        <f t="shared" si="1"/>
        <v>11466.159743</v>
      </c>
      <c r="AB21" s="63">
        <f t="shared" ref="AB21" si="6">Z21/(N21+P21)*1000000</f>
        <v>9508.541569166975</v>
      </c>
      <c r="AC21" s="63">
        <f t="shared" ref="AC21" si="7">AA21/(O21+Q21)*1000000</f>
        <v>13842.368384644915</v>
      </c>
      <c r="AE21" s="5"/>
      <c r="AF21" s="5"/>
    </row>
    <row r="22" spans="1:32">
      <c r="A22" s="66">
        <v>2020</v>
      </c>
      <c r="B22" s="66">
        <v>29018.576980000002</v>
      </c>
      <c r="C22" s="66">
        <v>3527.660613</v>
      </c>
      <c r="D22" s="66">
        <v>1334.5574690000001</v>
      </c>
      <c r="E22" s="66">
        <v>7945.0661</v>
      </c>
      <c r="F22" s="66">
        <v>175.52493029999999</v>
      </c>
      <c r="G22" s="66">
        <v>423.00247919999998</v>
      </c>
      <c r="H22" s="66">
        <v>7.4848039699999998</v>
      </c>
      <c r="I22" s="66">
        <v>2991.8530049999999</v>
      </c>
      <c r="J22" s="66">
        <v>0.54898472399999998</v>
      </c>
      <c r="K22" s="66">
        <v>256.82797859999999</v>
      </c>
      <c r="L22" s="66">
        <v>2.513646761</v>
      </c>
      <c r="M22" s="63"/>
      <c r="N22" s="66">
        <v>3215202</v>
      </c>
      <c r="O22" s="66">
        <v>306941</v>
      </c>
      <c r="P22" s="66">
        <v>161451</v>
      </c>
      <c r="Q22" s="66">
        <v>547935</v>
      </c>
      <c r="R22" s="66">
        <v>18055</v>
      </c>
      <c r="S22" s="66">
        <v>188999</v>
      </c>
      <c r="T22" s="66">
        <v>2709</v>
      </c>
      <c r="U22" s="66">
        <v>158834</v>
      </c>
      <c r="V22" s="66">
        <v>127</v>
      </c>
      <c r="W22" s="66">
        <v>10910</v>
      </c>
      <c r="X22" s="66">
        <v>123</v>
      </c>
      <c r="Y22" s="42"/>
      <c r="Z22" s="63">
        <f t="shared" ref="Z22" si="8">B22+D22</f>
        <v>30353.134449000001</v>
      </c>
      <c r="AA22" s="63">
        <f t="shared" ref="AA22" si="9">C22+E22</f>
        <v>11472.726713</v>
      </c>
      <c r="AB22" s="63">
        <f t="shared" ref="AB22" si="10">Z22/(N22+P22)*1000000</f>
        <v>8989.1186476667881</v>
      </c>
      <c r="AC22" s="63">
        <f t="shared" ref="AC22" si="11">AA22/(O22+Q22)*1000000</f>
        <v>13420.340158104802</v>
      </c>
      <c r="AE22" s="5"/>
      <c r="AF22" s="5"/>
    </row>
    <row r="23" spans="1:32" s="42" customFormat="1" ht="10">
      <c r="A23" s="66">
        <v>2021</v>
      </c>
      <c r="B23" s="66">
        <v>28994.134559999999</v>
      </c>
      <c r="C23" s="66">
        <v>3556.099397</v>
      </c>
      <c r="D23" s="66">
        <v>1283.9832650000001</v>
      </c>
      <c r="E23" s="66">
        <v>8328.0198789999995</v>
      </c>
      <c r="F23" s="66">
        <v>239.97257719999999</v>
      </c>
      <c r="G23" s="66">
        <v>424.79548940000001</v>
      </c>
      <c r="H23" s="66">
        <v>7.6078794480000003</v>
      </c>
      <c r="I23" s="66">
        <v>3131.847025</v>
      </c>
      <c r="J23" s="66">
        <v>0.52691050399999995</v>
      </c>
      <c r="K23" s="66">
        <v>245.1520601</v>
      </c>
      <c r="L23" s="66">
        <v>4.4085859669999996</v>
      </c>
      <c r="M23" s="140"/>
      <c r="N23" s="66">
        <v>3258203</v>
      </c>
      <c r="O23" s="66">
        <v>313366</v>
      </c>
      <c r="P23" s="66">
        <v>159725</v>
      </c>
      <c r="Q23" s="66">
        <v>583421</v>
      </c>
      <c r="R23" s="66">
        <v>27550</v>
      </c>
      <c r="S23" s="66">
        <v>194244</v>
      </c>
      <c r="T23" s="66">
        <v>2654</v>
      </c>
      <c r="U23" s="66">
        <v>163555</v>
      </c>
      <c r="V23" s="66">
        <v>124</v>
      </c>
      <c r="W23" s="66">
        <v>11054</v>
      </c>
      <c r="X23" s="66">
        <v>175</v>
      </c>
      <c r="Z23" s="63">
        <f t="shared" ref="Z23:Z24" si="12">B23+D23</f>
        <v>30278.117824999998</v>
      </c>
      <c r="AA23" s="63">
        <f t="shared" ref="AA23:AA24" si="13">C23+E23</f>
        <v>11884.119275999999</v>
      </c>
      <c r="AB23" s="63">
        <f t="shared" ref="AB23:AB24" si="14">Z23/(N23+P23)*1000000</f>
        <v>8858.6178014867473</v>
      </c>
      <c r="AC23" s="63">
        <f t="shared" ref="AC23:AC24" si="15">AA23/(O23+Q23)*1000000</f>
        <v>13251.886207092653</v>
      </c>
    </row>
    <row r="24" spans="1:32" s="42" customFormat="1" ht="10">
      <c r="A24" s="66">
        <v>2022</v>
      </c>
      <c r="B24" s="66">
        <v>29303.327300000001</v>
      </c>
      <c r="C24" s="66">
        <v>3546.3871909999998</v>
      </c>
      <c r="D24" s="66">
        <v>1272.713289</v>
      </c>
      <c r="E24" s="66">
        <v>8764.2375690000008</v>
      </c>
      <c r="F24" s="66">
        <v>438.81378969999997</v>
      </c>
      <c r="G24" s="66">
        <v>411.90822709999998</v>
      </c>
      <c r="H24" s="66">
        <v>7.301346229</v>
      </c>
      <c r="I24" s="66">
        <v>3187.913337</v>
      </c>
      <c r="J24" s="66">
        <v>0.55203427500000002</v>
      </c>
      <c r="K24" s="66">
        <v>248.71880770000001</v>
      </c>
      <c r="L24" s="66">
        <v>9.1937552979999992</v>
      </c>
      <c r="M24" s="140"/>
      <c r="N24" s="66">
        <v>3279429</v>
      </c>
      <c r="O24" s="66">
        <v>318412</v>
      </c>
      <c r="P24" s="66">
        <v>158766</v>
      </c>
      <c r="Q24" s="66">
        <v>612004</v>
      </c>
      <c r="R24" s="66">
        <v>47338</v>
      </c>
      <c r="S24" s="66">
        <v>197563</v>
      </c>
      <c r="T24" s="66">
        <v>2645</v>
      </c>
      <c r="U24" s="66">
        <v>168656</v>
      </c>
      <c r="V24" s="66">
        <v>124</v>
      </c>
      <c r="W24" s="66">
        <v>11199</v>
      </c>
      <c r="X24" s="66">
        <v>251</v>
      </c>
      <c r="Z24" s="63">
        <f t="shared" si="12"/>
        <v>30576.040589</v>
      </c>
      <c r="AA24" s="63">
        <f t="shared" si="13"/>
        <v>12310.624760000001</v>
      </c>
      <c r="AB24" s="63">
        <f t="shared" si="14"/>
        <v>8893.0501582952693</v>
      </c>
      <c r="AC24" s="63">
        <f t="shared" si="15"/>
        <v>13231.312402194289</v>
      </c>
    </row>
    <row r="25" spans="1:32" s="42" customFormat="1" ht="10">
      <c r="A25" s="66">
        <v>2023</v>
      </c>
      <c r="B25" s="66">
        <v>30599.712490000002</v>
      </c>
      <c r="C25" s="66">
        <v>3610.4050510000002</v>
      </c>
      <c r="D25" s="66">
        <v>1330.245997</v>
      </c>
      <c r="E25" s="66">
        <v>9150.0006099999991</v>
      </c>
      <c r="F25" s="66">
        <v>785.38550899999996</v>
      </c>
      <c r="G25" s="66">
        <v>399.52660850000001</v>
      </c>
      <c r="H25" s="66">
        <v>7.9142309290000004</v>
      </c>
      <c r="I25" s="66">
        <v>3226.319966</v>
      </c>
      <c r="J25" s="66">
        <v>0.64894760699999998</v>
      </c>
      <c r="K25" s="66">
        <v>276.7098024</v>
      </c>
      <c r="L25" s="66">
        <v>15.47088158</v>
      </c>
      <c r="N25" s="42">
        <v>3294878</v>
      </c>
      <c r="O25" s="42">
        <v>318492</v>
      </c>
      <c r="P25" s="42">
        <v>156859</v>
      </c>
      <c r="Q25" s="42">
        <v>628906</v>
      </c>
      <c r="R25" s="42">
        <v>73490</v>
      </c>
      <c r="S25" s="42">
        <v>197073</v>
      </c>
      <c r="T25" s="42">
        <v>2644</v>
      </c>
      <c r="U25" s="42">
        <v>173592</v>
      </c>
      <c r="V25" s="42">
        <v>128</v>
      </c>
      <c r="W25" s="42">
        <v>11193</v>
      </c>
      <c r="X25" s="42">
        <v>351</v>
      </c>
      <c r="Z25" s="63">
        <f t="shared" ref="Z25" si="16">B25+D25</f>
        <v>31929.958487000004</v>
      </c>
      <c r="AA25" s="63">
        <f t="shared" ref="AA25" si="17">C25+E25</f>
        <v>12760.405660999999</v>
      </c>
      <c r="AB25" s="63">
        <f t="shared" ref="AB25" si="18">Z25/(N25+P25)*1000000</f>
        <v>9250.4030541724369</v>
      </c>
      <c r="AC25" s="63">
        <f t="shared" ref="AC25" si="19">AA25/(O25+Q25)*1000000</f>
        <v>13468.896557729697</v>
      </c>
    </row>
    <row r="26" spans="1:32">
      <c r="N26" s="42"/>
    </row>
    <row r="28" spans="1:32">
      <c r="N28" s="42" t="s">
        <v>321</v>
      </c>
    </row>
    <row r="29" spans="1:32">
      <c r="N29" s="42" t="s">
        <v>580</v>
      </c>
    </row>
  </sheetData>
  <mergeCells count="1">
    <mergeCell ref="V1:W1"/>
  </mergeCells>
  <phoneticPr fontId="0" type="noConversion"/>
  <hyperlinks>
    <hyperlink ref="V1:W1" location="Contents!A1" display="Back to Contents" xr:uid="{00000000-0004-0000-1E00-000000000000}"/>
  </hyperlinks>
  <pageMargins left="0.75" right="0.75" top="1" bottom="1" header="0.5" footer="0.5"/>
  <pageSetup paperSize="9" orientation="landscape" horizontalDpi="4294967292" verticalDpi="4294967292"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39997558519241921"/>
  </sheetPr>
  <dimension ref="A1:R46"/>
  <sheetViews>
    <sheetView zoomScale="99" zoomScaleNormal="99" workbookViewId="0"/>
  </sheetViews>
  <sheetFormatPr defaultColWidth="8.81640625" defaultRowHeight="12.5"/>
  <cols>
    <col min="1" max="1" width="9" style="104" bestFit="1" customWidth="1"/>
    <col min="2" max="2" width="8.26953125" customWidth="1"/>
    <col min="3" max="3" width="9.7265625" bestFit="1" customWidth="1"/>
    <col min="4" max="4" width="9.26953125" bestFit="1" customWidth="1"/>
    <col min="5" max="5" width="9.7265625" bestFit="1" customWidth="1"/>
    <col min="6" max="8" width="9.26953125" bestFit="1" customWidth="1"/>
    <col min="9" max="11" width="12.1796875" customWidth="1"/>
    <col min="12" max="13" width="10.7265625" customWidth="1"/>
    <col min="14" max="16" width="9.26953125" bestFit="1" customWidth="1"/>
    <col min="17" max="17" width="10.7265625" bestFit="1" customWidth="1"/>
    <col min="18" max="18" width="14" customWidth="1"/>
  </cols>
  <sheetData>
    <row r="1" spans="1:18" ht="26.25" customHeight="1">
      <c r="B1" s="17" t="s">
        <v>581</v>
      </c>
      <c r="C1" s="13"/>
      <c r="D1" s="13"/>
      <c r="E1" s="13"/>
      <c r="F1" s="13"/>
      <c r="G1" s="13"/>
      <c r="H1" s="13"/>
      <c r="I1" s="13"/>
      <c r="J1" s="13"/>
      <c r="K1" s="13"/>
      <c r="L1" s="13"/>
      <c r="M1" s="13"/>
      <c r="N1" s="13"/>
      <c r="O1" s="162"/>
      <c r="P1" s="213" t="s">
        <v>79</v>
      </c>
      <c r="Q1" s="213"/>
      <c r="R1" s="213"/>
    </row>
    <row r="2" spans="1:18" ht="30.5">
      <c r="A2" s="77"/>
      <c r="B2" s="76" t="s">
        <v>458</v>
      </c>
      <c r="C2" s="76" t="s">
        <v>582</v>
      </c>
      <c r="D2" s="76" t="s">
        <v>583</v>
      </c>
      <c r="E2" s="76" t="s">
        <v>459</v>
      </c>
      <c r="F2" s="76" t="s">
        <v>584</v>
      </c>
      <c r="G2" s="76" t="s">
        <v>585</v>
      </c>
      <c r="H2" s="76" t="s">
        <v>586</v>
      </c>
      <c r="I2" s="76" t="s">
        <v>587</v>
      </c>
      <c r="J2" s="76" t="s">
        <v>588</v>
      </c>
      <c r="K2" s="76" t="s">
        <v>589</v>
      </c>
      <c r="L2" s="76" t="s">
        <v>590</v>
      </c>
      <c r="M2" s="76" t="s">
        <v>591</v>
      </c>
      <c r="N2" s="76" t="s">
        <v>592</v>
      </c>
      <c r="O2" s="76" t="s">
        <v>593</v>
      </c>
      <c r="P2" s="76" t="s">
        <v>156</v>
      </c>
      <c r="Q2" s="49" t="s">
        <v>87</v>
      </c>
      <c r="R2" s="143" t="s">
        <v>594</v>
      </c>
    </row>
    <row r="3" spans="1:18">
      <c r="A3" s="66">
        <v>2000</v>
      </c>
      <c r="B3" s="66">
        <v>2199812</v>
      </c>
      <c r="C3" s="66">
        <v>1</v>
      </c>
      <c r="D3" s="66">
        <v>0</v>
      </c>
      <c r="E3" s="66">
        <v>293427</v>
      </c>
      <c r="F3" s="66">
        <v>0</v>
      </c>
      <c r="G3" s="66">
        <v>0</v>
      </c>
      <c r="H3" s="66">
        <v>63</v>
      </c>
      <c r="I3" s="66">
        <v>0</v>
      </c>
      <c r="J3" s="66">
        <v>0</v>
      </c>
      <c r="K3" s="66">
        <v>0</v>
      </c>
      <c r="L3" s="66">
        <v>0</v>
      </c>
      <c r="M3" s="66">
        <v>0</v>
      </c>
      <c r="N3" s="66">
        <v>886</v>
      </c>
      <c r="O3" s="66">
        <v>258</v>
      </c>
      <c r="P3" s="66">
        <v>408</v>
      </c>
      <c r="Q3" s="66">
        <v>2494855</v>
      </c>
      <c r="R3" s="189">
        <f>H3+I3+J3+K3+L3+M3</f>
        <v>63</v>
      </c>
    </row>
    <row r="4" spans="1:18">
      <c r="A4" s="66">
        <v>2001</v>
      </c>
      <c r="B4" s="66">
        <v>2248550</v>
      </c>
      <c r="C4" s="66">
        <v>3</v>
      </c>
      <c r="D4" s="66">
        <v>0</v>
      </c>
      <c r="E4" s="66">
        <v>313516</v>
      </c>
      <c r="F4" s="66">
        <v>0</v>
      </c>
      <c r="G4" s="66">
        <v>0</v>
      </c>
      <c r="H4" s="66">
        <v>63</v>
      </c>
      <c r="I4" s="66">
        <v>0</v>
      </c>
      <c r="J4" s="66">
        <v>0</v>
      </c>
      <c r="K4" s="66">
        <v>0</v>
      </c>
      <c r="L4" s="66">
        <v>0</v>
      </c>
      <c r="M4" s="66">
        <v>0</v>
      </c>
      <c r="N4" s="66">
        <v>956</v>
      </c>
      <c r="O4" s="66">
        <v>209</v>
      </c>
      <c r="P4" s="66">
        <v>354</v>
      </c>
      <c r="Q4" s="66">
        <v>2563651</v>
      </c>
      <c r="R4" s="143">
        <f t="shared" ref="R4:R26" si="0">H4+I4+J4+L4+M4</f>
        <v>63</v>
      </c>
    </row>
    <row r="5" spans="1:18">
      <c r="A5" s="66">
        <v>2002</v>
      </c>
      <c r="B5" s="66">
        <v>2307741</v>
      </c>
      <c r="C5" s="66">
        <v>14</v>
      </c>
      <c r="D5" s="66">
        <v>0</v>
      </c>
      <c r="E5" s="66">
        <v>338692</v>
      </c>
      <c r="F5" s="66">
        <v>0</v>
      </c>
      <c r="G5" s="66">
        <v>0</v>
      </c>
      <c r="H5" s="66">
        <v>60</v>
      </c>
      <c r="I5" s="66">
        <v>0</v>
      </c>
      <c r="J5" s="66">
        <v>0</v>
      </c>
      <c r="K5" s="66">
        <v>0</v>
      </c>
      <c r="L5" s="66">
        <v>0</v>
      </c>
      <c r="M5" s="66">
        <v>0</v>
      </c>
      <c r="N5" s="66">
        <v>1019</v>
      </c>
      <c r="O5" s="66">
        <v>172</v>
      </c>
      <c r="P5" s="66">
        <v>314</v>
      </c>
      <c r="Q5" s="66">
        <v>2648012</v>
      </c>
      <c r="R5" s="143">
        <f>H5+I5+J5+L5+M5</f>
        <v>60</v>
      </c>
    </row>
    <row r="6" spans="1:18">
      <c r="A6" s="66">
        <v>2003</v>
      </c>
      <c r="B6" s="66">
        <v>2387004</v>
      </c>
      <c r="C6" s="66">
        <v>39</v>
      </c>
      <c r="D6" s="66">
        <v>0</v>
      </c>
      <c r="E6" s="66">
        <v>370864</v>
      </c>
      <c r="F6" s="66">
        <v>0</v>
      </c>
      <c r="G6" s="66">
        <v>0</v>
      </c>
      <c r="H6" s="66">
        <v>63</v>
      </c>
      <c r="I6" s="66">
        <v>0</v>
      </c>
      <c r="J6" s="66">
        <v>0</v>
      </c>
      <c r="K6" s="66">
        <v>0</v>
      </c>
      <c r="L6" s="66">
        <v>0</v>
      </c>
      <c r="M6" s="66">
        <v>0</v>
      </c>
      <c r="N6" s="66">
        <v>1094</v>
      </c>
      <c r="O6" s="66">
        <v>141</v>
      </c>
      <c r="P6" s="66">
        <v>275</v>
      </c>
      <c r="Q6" s="66">
        <v>2759480</v>
      </c>
      <c r="R6" s="143">
        <f t="shared" si="0"/>
        <v>63</v>
      </c>
    </row>
    <row r="7" spans="1:18">
      <c r="A7" s="66">
        <v>2004</v>
      </c>
      <c r="B7" s="66">
        <v>2463673</v>
      </c>
      <c r="C7" s="66">
        <v>274</v>
      </c>
      <c r="D7" s="66">
        <v>0</v>
      </c>
      <c r="E7" s="66">
        <v>401621</v>
      </c>
      <c r="F7" s="66">
        <v>0</v>
      </c>
      <c r="G7" s="66">
        <v>0</v>
      </c>
      <c r="H7" s="66">
        <v>64</v>
      </c>
      <c r="I7" s="66">
        <v>0</v>
      </c>
      <c r="J7" s="66">
        <v>0</v>
      </c>
      <c r="K7" s="66">
        <v>0</v>
      </c>
      <c r="L7" s="66">
        <v>0</v>
      </c>
      <c r="M7" s="66">
        <v>0</v>
      </c>
      <c r="N7" s="66">
        <v>1104</v>
      </c>
      <c r="O7" s="66">
        <v>108</v>
      </c>
      <c r="P7" s="66">
        <v>235</v>
      </c>
      <c r="Q7" s="66">
        <v>2867079</v>
      </c>
      <c r="R7" s="143">
        <f t="shared" si="0"/>
        <v>64</v>
      </c>
    </row>
    <row r="8" spans="1:18">
      <c r="A8" s="66">
        <v>2005</v>
      </c>
      <c r="B8" s="66">
        <v>2533356</v>
      </c>
      <c r="C8" s="66">
        <v>709</v>
      </c>
      <c r="D8" s="66">
        <v>0</v>
      </c>
      <c r="E8" s="66">
        <v>431603</v>
      </c>
      <c r="F8" s="66">
        <v>0</v>
      </c>
      <c r="G8" s="66">
        <v>0</v>
      </c>
      <c r="H8" s="66">
        <v>64</v>
      </c>
      <c r="I8" s="66">
        <v>0</v>
      </c>
      <c r="J8" s="66">
        <v>0</v>
      </c>
      <c r="K8" s="66">
        <v>0</v>
      </c>
      <c r="L8" s="66">
        <v>0</v>
      </c>
      <c r="M8" s="66">
        <v>0</v>
      </c>
      <c r="N8" s="66">
        <v>1172</v>
      </c>
      <c r="O8" s="66">
        <v>87</v>
      </c>
      <c r="P8" s="66">
        <v>211</v>
      </c>
      <c r="Q8" s="66">
        <v>2967202</v>
      </c>
      <c r="R8" s="143">
        <f t="shared" si="0"/>
        <v>64</v>
      </c>
    </row>
    <row r="9" spans="1:18">
      <c r="A9" s="66">
        <v>2006</v>
      </c>
      <c r="B9" s="66">
        <v>2575429</v>
      </c>
      <c r="C9" s="66">
        <v>1444</v>
      </c>
      <c r="D9" s="66">
        <v>0</v>
      </c>
      <c r="E9" s="66">
        <v>451354</v>
      </c>
      <c r="F9" s="66">
        <v>0</v>
      </c>
      <c r="G9" s="66">
        <v>0</v>
      </c>
      <c r="H9" s="66">
        <v>66</v>
      </c>
      <c r="I9" s="66">
        <v>0</v>
      </c>
      <c r="J9" s="66">
        <v>0</v>
      </c>
      <c r="K9" s="66">
        <v>0</v>
      </c>
      <c r="L9" s="66">
        <v>0</v>
      </c>
      <c r="M9" s="66">
        <v>0</v>
      </c>
      <c r="N9" s="66">
        <v>1313</v>
      </c>
      <c r="O9" s="66">
        <v>71</v>
      </c>
      <c r="P9" s="66">
        <v>190</v>
      </c>
      <c r="Q9" s="66">
        <v>3029867</v>
      </c>
      <c r="R9" s="143">
        <f t="shared" si="0"/>
        <v>66</v>
      </c>
    </row>
    <row r="10" spans="1:18">
      <c r="A10" s="66">
        <v>2007</v>
      </c>
      <c r="B10" s="66">
        <v>2614214</v>
      </c>
      <c r="C10" s="66">
        <v>2288</v>
      </c>
      <c r="D10" s="66">
        <v>2</v>
      </c>
      <c r="E10" s="66">
        <v>470674</v>
      </c>
      <c r="F10" s="66">
        <v>0</v>
      </c>
      <c r="G10" s="66">
        <v>0</v>
      </c>
      <c r="H10" s="66">
        <v>65</v>
      </c>
      <c r="I10" s="66">
        <v>0</v>
      </c>
      <c r="J10" s="66">
        <v>0</v>
      </c>
      <c r="K10" s="66">
        <v>0</v>
      </c>
      <c r="L10" s="66">
        <v>0</v>
      </c>
      <c r="M10" s="66">
        <v>0</v>
      </c>
      <c r="N10" s="66">
        <v>1413</v>
      </c>
      <c r="O10" s="66">
        <v>54</v>
      </c>
      <c r="P10" s="66">
        <v>176</v>
      </c>
      <c r="Q10" s="66">
        <v>3088886</v>
      </c>
      <c r="R10" s="143">
        <f t="shared" si="0"/>
        <v>65</v>
      </c>
    </row>
    <row r="11" spans="1:18">
      <c r="A11" s="66">
        <v>2008</v>
      </c>
      <c r="B11" s="66">
        <v>2622287</v>
      </c>
      <c r="C11" s="66">
        <v>3197</v>
      </c>
      <c r="D11" s="66">
        <v>2</v>
      </c>
      <c r="E11" s="66">
        <v>481742</v>
      </c>
      <c r="F11" s="66">
        <v>0</v>
      </c>
      <c r="G11" s="66">
        <v>0</v>
      </c>
      <c r="H11" s="66">
        <v>69</v>
      </c>
      <c r="I11" s="66">
        <v>0</v>
      </c>
      <c r="J11" s="66">
        <v>0</v>
      </c>
      <c r="K11" s="66">
        <v>0</v>
      </c>
      <c r="L11" s="66">
        <v>0</v>
      </c>
      <c r="M11" s="66">
        <v>0</v>
      </c>
      <c r="N11" s="66">
        <v>1441</v>
      </c>
      <c r="O11" s="66">
        <v>49</v>
      </c>
      <c r="P11" s="66">
        <v>165</v>
      </c>
      <c r="Q11" s="66">
        <v>3108952</v>
      </c>
      <c r="R11" s="143">
        <f t="shared" si="0"/>
        <v>69</v>
      </c>
    </row>
    <row r="12" spans="1:18">
      <c r="A12" s="66">
        <v>2009</v>
      </c>
      <c r="B12" s="66">
        <v>2609813</v>
      </c>
      <c r="C12" s="66">
        <v>3887</v>
      </c>
      <c r="D12" s="66">
        <v>2</v>
      </c>
      <c r="E12" s="66">
        <v>484861</v>
      </c>
      <c r="F12" s="66">
        <v>0</v>
      </c>
      <c r="G12" s="66">
        <v>0</v>
      </c>
      <c r="H12" s="66">
        <v>70</v>
      </c>
      <c r="I12" s="66">
        <v>0</v>
      </c>
      <c r="J12" s="66">
        <v>0</v>
      </c>
      <c r="K12" s="66">
        <v>0</v>
      </c>
      <c r="L12" s="66">
        <v>0</v>
      </c>
      <c r="M12" s="66">
        <v>0</v>
      </c>
      <c r="N12" s="66">
        <v>1431</v>
      </c>
      <c r="O12" s="66">
        <v>44</v>
      </c>
      <c r="P12" s="66">
        <v>153</v>
      </c>
      <c r="Q12" s="66">
        <v>3100261</v>
      </c>
      <c r="R12" s="143">
        <f t="shared" si="0"/>
        <v>70</v>
      </c>
    </row>
    <row r="13" spans="1:18">
      <c r="A13" s="66">
        <v>2010</v>
      </c>
      <c r="B13" s="66">
        <v>2626188</v>
      </c>
      <c r="C13" s="66">
        <v>4976</v>
      </c>
      <c r="D13" s="66">
        <v>2</v>
      </c>
      <c r="E13" s="66">
        <v>490094</v>
      </c>
      <c r="F13" s="66">
        <v>0</v>
      </c>
      <c r="G13" s="66">
        <v>0</v>
      </c>
      <c r="H13" s="66">
        <v>80</v>
      </c>
      <c r="I13" s="66">
        <v>0</v>
      </c>
      <c r="J13" s="66">
        <v>0</v>
      </c>
      <c r="K13" s="66">
        <v>0</v>
      </c>
      <c r="L13" s="66">
        <v>0</v>
      </c>
      <c r="M13" s="66">
        <v>0</v>
      </c>
      <c r="N13" s="66">
        <v>1392</v>
      </c>
      <c r="O13" s="66">
        <v>41</v>
      </c>
      <c r="P13" s="66">
        <v>146</v>
      </c>
      <c r="Q13" s="66">
        <v>3122919</v>
      </c>
      <c r="R13" s="143">
        <f t="shared" si="0"/>
        <v>80</v>
      </c>
    </row>
    <row r="14" spans="1:18">
      <c r="A14" s="66">
        <v>2011</v>
      </c>
      <c r="B14" s="66">
        <v>2615607</v>
      </c>
      <c r="C14" s="66">
        <v>6300</v>
      </c>
      <c r="D14" s="66">
        <v>1</v>
      </c>
      <c r="E14" s="66">
        <v>494657</v>
      </c>
      <c r="F14" s="66">
        <v>0</v>
      </c>
      <c r="G14" s="66">
        <v>0</v>
      </c>
      <c r="H14" s="66">
        <v>93</v>
      </c>
      <c r="I14" s="66">
        <v>0</v>
      </c>
      <c r="J14" s="66">
        <v>0</v>
      </c>
      <c r="K14" s="66">
        <v>0</v>
      </c>
      <c r="L14" s="66">
        <v>0</v>
      </c>
      <c r="M14" s="66">
        <v>0</v>
      </c>
      <c r="N14" s="66">
        <v>1322</v>
      </c>
      <c r="O14" s="66">
        <v>38</v>
      </c>
      <c r="P14" s="66">
        <v>145</v>
      </c>
      <c r="Q14" s="66">
        <v>3118163</v>
      </c>
      <c r="R14" s="143">
        <f t="shared" si="0"/>
        <v>93</v>
      </c>
    </row>
    <row r="15" spans="1:18">
      <c r="A15" s="66">
        <v>2012</v>
      </c>
      <c r="B15" s="66">
        <v>2645032</v>
      </c>
      <c r="C15" s="66">
        <v>7975</v>
      </c>
      <c r="D15" s="66">
        <v>1</v>
      </c>
      <c r="E15" s="66">
        <v>511729</v>
      </c>
      <c r="F15" s="66">
        <v>1</v>
      </c>
      <c r="G15" s="66">
        <v>0</v>
      </c>
      <c r="H15" s="66">
        <v>114</v>
      </c>
      <c r="I15" s="66">
        <v>0</v>
      </c>
      <c r="J15" s="66">
        <v>0</v>
      </c>
      <c r="K15" s="66">
        <v>0</v>
      </c>
      <c r="L15" s="66">
        <v>5</v>
      </c>
      <c r="M15" s="66">
        <v>0</v>
      </c>
      <c r="N15" s="66">
        <v>1313</v>
      </c>
      <c r="O15" s="66">
        <v>36</v>
      </c>
      <c r="P15" s="66">
        <v>140</v>
      </c>
      <c r="Q15" s="66">
        <v>3166346</v>
      </c>
      <c r="R15" s="143">
        <f t="shared" si="0"/>
        <v>119</v>
      </c>
    </row>
    <row r="16" spans="1:18">
      <c r="A16" s="66">
        <v>2013</v>
      </c>
      <c r="B16" s="66">
        <v>2693541</v>
      </c>
      <c r="C16" s="66">
        <v>9717</v>
      </c>
      <c r="D16" s="66">
        <v>1</v>
      </c>
      <c r="E16" s="66">
        <v>539147</v>
      </c>
      <c r="F16" s="66">
        <v>19</v>
      </c>
      <c r="G16" s="66">
        <v>0</v>
      </c>
      <c r="H16" s="66">
        <v>145</v>
      </c>
      <c r="I16" s="66">
        <v>0</v>
      </c>
      <c r="J16" s="66">
        <v>0</v>
      </c>
      <c r="K16" s="66">
        <v>0</v>
      </c>
      <c r="L16" s="66">
        <v>11</v>
      </c>
      <c r="M16" s="66">
        <v>0</v>
      </c>
      <c r="N16" s="66">
        <v>1311</v>
      </c>
      <c r="O16" s="66">
        <v>36</v>
      </c>
      <c r="P16" s="66">
        <v>140</v>
      </c>
      <c r="Q16" s="66">
        <v>3244068</v>
      </c>
      <c r="R16" s="143">
        <f t="shared" si="0"/>
        <v>156</v>
      </c>
    </row>
    <row r="17" spans="1:18">
      <c r="A17" s="66">
        <v>2014</v>
      </c>
      <c r="B17" s="66">
        <v>2774648</v>
      </c>
      <c r="C17" s="66">
        <v>11621</v>
      </c>
      <c r="D17" s="66">
        <v>1</v>
      </c>
      <c r="E17" s="66">
        <v>571472</v>
      </c>
      <c r="F17" s="66">
        <v>30</v>
      </c>
      <c r="G17" s="66">
        <v>0</v>
      </c>
      <c r="H17" s="66">
        <v>254</v>
      </c>
      <c r="I17" s="66">
        <v>7</v>
      </c>
      <c r="J17" s="66">
        <v>0</v>
      </c>
      <c r="K17" s="66">
        <v>0</v>
      </c>
      <c r="L17" s="66">
        <v>219</v>
      </c>
      <c r="M17" s="66">
        <v>0</v>
      </c>
      <c r="N17" s="66">
        <v>1346</v>
      </c>
      <c r="O17" s="66">
        <v>32</v>
      </c>
      <c r="P17" s="66">
        <v>137</v>
      </c>
      <c r="Q17" s="66">
        <v>3359767</v>
      </c>
      <c r="R17" s="143">
        <f t="shared" si="0"/>
        <v>480</v>
      </c>
    </row>
    <row r="18" spans="1:18">
      <c r="A18" s="66">
        <v>2015</v>
      </c>
      <c r="B18" s="66">
        <v>2859482</v>
      </c>
      <c r="C18" s="66">
        <v>14348</v>
      </c>
      <c r="D18" s="66">
        <v>1</v>
      </c>
      <c r="E18" s="66">
        <v>606878</v>
      </c>
      <c r="F18" s="66">
        <v>37</v>
      </c>
      <c r="G18" s="66">
        <v>0</v>
      </c>
      <c r="H18" s="66">
        <v>519</v>
      </c>
      <c r="I18" s="66">
        <v>47</v>
      </c>
      <c r="J18" s="66">
        <v>0</v>
      </c>
      <c r="K18" s="66">
        <v>0</v>
      </c>
      <c r="L18" s="66">
        <v>419</v>
      </c>
      <c r="M18" s="66">
        <v>0</v>
      </c>
      <c r="N18" s="66">
        <v>1365</v>
      </c>
      <c r="O18" s="66">
        <v>30</v>
      </c>
      <c r="P18" s="66">
        <v>134</v>
      </c>
      <c r="Q18" s="66">
        <v>3483260</v>
      </c>
      <c r="R18" s="143">
        <f t="shared" si="0"/>
        <v>985</v>
      </c>
    </row>
    <row r="19" spans="1:18">
      <c r="A19" s="66">
        <v>2016</v>
      </c>
      <c r="B19" s="66">
        <v>2957319</v>
      </c>
      <c r="C19" s="66">
        <v>18577</v>
      </c>
      <c r="D19" s="66">
        <v>1</v>
      </c>
      <c r="E19" s="66">
        <v>651653</v>
      </c>
      <c r="F19" s="66">
        <v>44</v>
      </c>
      <c r="G19" s="66">
        <v>0</v>
      </c>
      <c r="H19" s="66">
        <v>1586</v>
      </c>
      <c r="I19" s="66">
        <v>135</v>
      </c>
      <c r="J19" s="66">
        <v>0</v>
      </c>
      <c r="K19" s="66">
        <v>0</v>
      </c>
      <c r="L19" s="66">
        <v>760</v>
      </c>
      <c r="M19" s="66">
        <v>0</v>
      </c>
      <c r="N19" s="66">
        <v>1307</v>
      </c>
      <c r="O19" s="66">
        <v>28</v>
      </c>
      <c r="P19" s="66">
        <v>130</v>
      </c>
      <c r="Q19" s="66">
        <v>3631540</v>
      </c>
      <c r="R19" s="143">
        <f t="shared" si="0"/>
        <v>2481</v>
      </c>
    </row>
    <row r="20" spans="1:18">
      <c r="A20" s="66">
        <v>2017</v>
      </c>
      <c r="B20" s="66">
        <v>3048462</v>
      </c>
      <c r="C20" s="66">
        <v>24628</v>
      </c>
      <c r="D20" s="66">
        <v>33</v>
      </c>
      <c r="E20" s="66">
        <v>703034</v>
      </c>
      <c r="F20" s="66">
        <v>45</v>
      </c>
      <c r="G20" s="66">
        <v>0</v>
      </c>
      <c r="H20" s="66">
        <v>4480</v>
      </c>
      <c r="I20" s="66">
        <v>247</v>
      </c>
      <c r="J20" s="66">
        <v>0</v>
      </c>
      <c r="K20" s="66">
        <v>0</v>
      </c>
      <c r="L20" s="66">
        <v>1406</v>
      </c>
      <c r="M20" s="66">
        <v>8</v>
      </c>
      <c r="N20" s="66">
        <v>1232</v>
      </c>
      <c r="O20" s="66">
        <v>29</v>
      </c>
      <c r="P20" s="66">
        <v>129</v>
      </c>
      <c r="Q20" s="66">
        <v>3783733</v>
      </c>
      <c r="R20" s="143">
        <f t="shared" si="0"/>
        <v>6141</v>
      </c>
    </row>
    <row r="21" spans="1:18">
      <c r="A21" s="66">
        <v>2018</v>
      </c>
      <c r="B21" s="66">
        <v>3101255</v>
      </c>
      <c r="C21" s="66">
        <v>33645</v>
      </c>
      <c r="D21" s="66">
        <v>306</v>
      </c>
      <c r="E21" s="66">
        <v>751729</v>
      </c>
      <c r="F21" s="66">
        <v>46</v>
      </c>
      <c r="G21" s="66">
        <v>3</v>
      </c>
      <c r="H21" s="66">
        <v>8772</v>
      </c>
      <c r="I21" s="66">
        <v>341</v>
      </c>
      <c r="J21" s="66">
        <v>1</v>
      </c>
      <c r="K21" s="66">
        <v>0</v>
      </c>
      <c r="L21" s="66">
        <v>2579</v>
      </c>
      <c r="M21" s="66">
        <v>20</v>
      </c>
      <c r="N21" s="66">
        <v>1165</v>
      </c>
      <c r="O21" s="66">
        <v>29</v>
      </c>
      <c r="P21" s="66">
        <v>127</v>
      </c>
      <c r="Q21" s="66">
        <v>3900018</v>
      </c>
      <c r="R21" s="143">
        <f t="shared" si="0"/>
        <v>11713</v>
      </c>
    </row>
    <row r="22" spans="1:18">
      <c r="A22" s="66">
        <v>2019</v>
      </c>
      <c r="B22" s="66">
        <v>3130241</v>
      </c>
      <c r="C22" s="66">
        <v>51189</v>
      </c>
      <c r="D22" s="66">
        <v>728</v>
      </c>
      <c r="E22" s="66">
        <v>794425</v>
      </c>
      <c r="F22" s="66">
        <v>47</v>
      </c>
      <c r="G22" s="66">
        <v>5</v>
      </c>
      <c r="H22" s="66">
        <v>14054</v>
      </c>
      <c r="I22" s="66">
        <v>425</v>
      </c>
      <c r="J22" s="66">
        <v>1</v>
      </c>
      <c r="K22" s="66">
        <v>2</v>
      </c>
      <c r="L22" s="66">
        <v>4205</v>
      </c>
      <c r="M22" s="66">
        <v>20</v>
      </c>
      <c r="N22" s="66">
        <v>1106</v>
      </c>
      <c r="O22" s="66">
        <v>26</v>
      </c>
      <c r="P22" s="66">
        <v>121</v>
      </c>
      <c r="Q22" s="66">
        <v>3996595</v>
      </c>
      <c r="R22" s="143">
        <f t="shared" si="0"/>
        <v>18705</v>
      </c>
    </row>
    <row r="23" spans="1:18">
      <c r="A23" s="66">
        <v>2020</v>
      </c>
      <c r="B23" s="66">
        <v>3114580</v>
      </c>
      <c r="C23" s="66">
        <v>74709</v>
      </c>
      <c r="D23" s="66">
        <v>1028</v>
      </c>
      <c r="E23" s="66">
        <v>822115</v>
      </c>
      <c r="F23" s="66">
        <v>53</v>
      </c>
      <c r="G23" s="66">
        <v>5</v>
      </c>
      <c r="H23" s="66">
        <v>17951</v>
      </c>
      <c r="I23" s="66">
        <v>469</v>
      </c>
      <c r="J23" s="66">
        <v>1</v>
      </c>
      <c r="K23" s="66">
        <v>5</v>
      </c>
      <c r="L23" s="66">
        <v>5674</v>
      </c>
      <c r="M23" s="66">
        <v>19</v>
      </c>
      <c r="N23" s="66">
        <v>1038</v>
      </c>
      <c r="O23" s="66">
        <v>25</v>
      </c>
      <c r="P23" s="66">
        <v>120</v>
      </c>
      <c r="Q23" s="66">
        <v>4037792</v>
      </c>
      <c r="R23" s="143">
        <f t="shared" si="0"/>
        <v>24114</v>
      </c>
    </row>
    <row r="24" spans="1:18">
      <c r="A24" s="66">
        <v>2021</v>
      </c>
      <c r="B24" s="66">
        <v>3110995</v>
      </c>
      <c r="C24" s="66">
        <v>111258</v>
      </c>
      <c r="D24" s="66">
        <v>1360</v>
      </c>
      <c r="E24" s="66">
        <v>863872</v>
      </c>
      <c r="F24" s="66">
        <v>62</v>
      </c>
      <c r="G24" s="66">
        <v>6</v>
      </c>
      <c r="H24" s="66">
        <v>27388</v>
      </c>
      <c r="I24" s="66">
        <v>510</v>
      </c>
      <c r="J24" s="66">
        <v>1</v>
      </c>
      <c r="K24" s="66">
        <v>6</v>
      </c>
      <c r="L24" s="66">
        <v>9229</v>
      </c>
      <c r="M24" s="66">
        <v>19</v>
      </c>
      <c r="N24" s="66">
        <v>954</v>
      </c>
      <c r="O24" s="66">
        <v>24</v>
      </c>
      <c r="P24" s="66">
        <v>117</v>
      </c>
      <c r="Q24" s="66">
        <v>4125801</v>
      </c>
      <c r="R24" s="143">
        <f t="shared" si="0"/>
        <v>37147</v>
      </c>
    </row>
    <row r="25" spans="1:18">
      <c r="A25" s="66">
        <v>2022</v>
      </c>
      <c r="B25" s="66">
        <v>3079920</v>
      </c>
      <c r="C25" s="66">
        <v>160409</v>
      </c>
      <c r="D25" s="66">
        <v>1921</v>
      </c>
      <c r="E25" s="66">
        <v>898205</v>
      </c>
      <c r="F25" s="66">
        <v>75</v>
      </c>
      <c r="G25" s="66">
        <v>6</v>
      </c>
      <c r="H25" s="66">
        <v>47058</v>
      </c>
      <c r="I25" s="66">
        <v>540</v>
      </c>
      <c r="J25" s="66">
        <v>1</v>
      </c>
      <c r="K25" s="66">
        <v>17</v>
      </c>
      <c r="L25" s="66">
        <v>18439</v>
      </c>
      <c r="M25" s="66">
        <v>21</v>
      </c>
      <c r="N25" s="66">
        <v>879</v>
      </c>
      <c r="O25" s="66">
        <v>23</v>
      </c>
      <c r="P25" s="66">
        <v>115</v>
      </c>
      <c r="Q25" s="66">
        <v>4207629</v>
      </c>
      <c r="R25" s="143">
        <f t="shared" si="0"/>
        <v>66059</v>
      </c>
    </row>
    <row r="26" spans="1:18">
      <c r="A26" s="66">
        <v>2023</v>
      </c>
      <c r="B26" s="66">
        <v>3009068</v>
      </c>
      <c r="C26" s="66">
        <v>241678</v>
      </c>
      <c r="D26" s="66">
        <v>3587</v>
      </c>
      <c r="E26" s="66">
        <v>906513</v>
      </c>
      <c r="F26" s="66">
        <v>213</v>
      </c>
      <c r="G26" s="66">
        <v>5</v>
      </c>
      <c r="H26" s="66">
        <v>72318</v>
      </c>
      <c r="I26" s="66">
        <v>542</v>
      </c>
      <c r="J26" s="66">
        <v>1</v>
      </c>
      <c r="K26" s="66">
        <v>16</v>
      </c>
      <c r="L26" s="66">
        <v>30066</v>
      </c>
      <c r="M26" s="66">
        <v>22</v>
      </c>
      <c r="N26" s="66">
        <v>812</v>
      </c>
      <c r="O26" s="66">
        <v>23</v>
      </c>
      <c r="P26" s="66">
        <v>116</v>
      </c>
      <c r="Q26" s="66">
        <v>4264980</v>
      </c>
      <c r="R26" s="143">
        <f t="shared" si="0"/>
        <v>102949</v>
      </c>
    </row>
    <row r="27" spans="1:18">
      <c r="A27" s="77"/>
      <c r="B27" s="42"/>
      <c r="C27" s="42"/>
      <c r="D27" s="42"/>
      <c r="E27" s="42"/>
      <c r="F27" s="42"/>
      <c r="G27" s="42"/>
      <c r="H27" s="42"/>
      <c r="I27" s="42"/>
      <c r="J27" s="42"/>
      <c r="K27" s="42"/>
      <c r="L27" s="42"/>
      <c r="M27" s="42"/>
      <c r="N27" s="42"/>
    </row>
    <row r="28" spans="1:18">
      <c r="A28" s="77"/>
      <c r="B28" s="42"/>
      <c r="C28" s="42"/>
      <c r="D28" s="42"/>
      <c r="E28" s="42"/>
      <c r="F28" s="42"/>
      <c r="G28" s="42"/>
      <c r="H28" s="42"/>
      <c r="I28" s="42"/>
      <c r="J28" s="42"/>
      <c r="K28" s="42"/>
      <c r="L28" s="42"/>
      <c r="M28" s="42"/>
      <c r="N28" s="42"/>
    </row>
    <row r="29" spans="1:18">
      <c r="A29" s="77"/>
      <c r="B29" s="42"/>
      <c r="C29" s="42"/>
      <c r="D29" s="42"/>
      <c r="E29" s="42"/>
      <c r="F29" s="42"/>
      <c r="G29" s="42"/>
      <c r="H29" s="42"/>
      <c r="I29" s="42"/>
      <c r="J29" s="42"/>
      <c r="K29" s="42"/>
      <c r="L29" s="42"/>
      <c r="M29" s="42"/>
      <c r="N29" s="42"/>
    </row>
    <row r="30" spans="1:18">
      <c r="A30" s="77"/>
      <c r="B30" s="42"/>
      <c r="C30" s="42"/>
      <c r="D30" s="42"/>
      <c r="E30" s="42"/>
      <c r="F30" s="42"/>
      <c r="G30" s="42"/>
      <c r="H30" s="42"/>
      <c r="I30" s="42"/>
      <c r="J30" s="42"/>
      <c r="K30" s="42"/>
      <c r="L30" s="42"/>
      <c r="M30" s="42"/>
      <c r="N30" s="42"/>
    </row>
    <row r="31" spans="1:18">
      <c r="A31" s="77"/>
      <c r="B31" s="42"/>
      <c r="C31" s="42"/>
      <c r="D31" s="42"/>
      <c r="E31" s="42"/>
      <c r="F31" s="42"/>
      <c r="G31" s="42"/>
      <c r="H31" s="42"/>
      <c r="I31" s="42"/>
      <c r="J31" s="42"/>
      <c r="K31" s="42"/>
      <c r="L31" s="42"/>
      <c r="M31" s="42"/>
      <c r="N31" s="42"/>
    </row>
    <row r="32" spans="1:18">
      <c r="A32" s="77"/>
      <c r="B32" s="42"/>
      <c r="C32" s="42"/>
      <c r="D32" s="42"/>
      <c r="E32" s="42"/>
      <c r="F32" s="42"/>
      <c r="G32" s="42"/>
      <c r="H32" s="42"/>
      <c r="I32" s="42"/>
      <c r="J32" s="42"/>
      <c r="K32" s="42"/>
      <c r="L32" s="42"/>
      <c r="M32" s="42"/>
      <c r="N32" s="42"/>
    </row>
    <row r="33" spans="1:14">
      <c r="A33" s="77"/>
      <c r="B33" s="42"/>
      <c r="C33" s="42"/>
      <c r="D33" s="42"/>
      <c r="E33" s="42"/>
      <c r="F33" s="42"/>
      <c r="G33" s="42"/>
      <c r="H33" s="42"/>
      <c r="I33" s="42"/>
      <c r="J33" s="42"/>
      <c r="K33" s="42"/>
      <c r="L33" s="42"/>
      <c r="M33" s="42"/>
      <c r="N33" s="42"/>
    </row>
    <row r="34" spans="1:14">
      <c r="A34" s="77"/>
      <c r="B34" s="42"/>
      <c r="C34" s="42"/>
      <c r="D34" s="42"/>
      <c r="E34" s="42"/>
      <c r="F34" s="42"/>
      <c r="G34" s="42"/>
      <c r="H34" s="42"/>
      <c r="I34" s="42"/>
      <c r="J34" s="42"/>
      <c r="K34" s="42"/>
      <c r="L34" s="42"/>
      <c r="M34" s="42"/>
      <c r="N34" s="42"/>
    </row>
    <row r="35" spans="1:14">
      <c r="A35" s="77"/>
      <c r="B35" s="42"/>
      <c r="C35" s="42"/>
      <c r="D35" s="42"/>
      <c r="E35" s="42"/>
      <c r="F35" s="42"/>
      <c r="G35" s="42"/>
      <c r="H35" s="42"/>
      <c r="I35" s="42"/>
      <c r="J35" s="42"/>
      <c r="K35" s="42"/>
      <c r="L35" s="42"/>
      <c r="M35" s="42"/>
      <c r="N35" s="42"/>
    </row>
    <row r="36" spans="1:14">
      <c r="A36" s="77"/>
      <c r="B36" s="42"/>
      <c r="C36" s="42"/>
      <c r="D36" s="42"/>
      <c r="E36" s="42"/>
      <c r="F36" s="42"/>
      <c r="G36" s="42"/>
      <c r="H36" s="42"/>
      <c r="I36" s="42"/>
      <c r="J36" s="42"/>
      <c r="K36" s="42"/>
      <c r="L36" s="42"/>
      <c r="M36" s="42"/>
      <c r="N36" s="42"/>
    </row>
    <row r="37" spans="1:14">
      <c r="A37" s="77"/>
      <c r="B37" s="42"/>
      <c r="C37" s="42"/>
      <c r="D37" s="42"/>
      <c r="E37" s="42"/>
      <c r="F37" s="42"/>
      <c r="G37" s="42"/>
      <c r="H37" s="42"/>
      <c r="I37" s="42"/>
      <c r="J37" s="42"/>
      <c r="K37" s="42"/>
      <c r="L37" s="42"/>
      <c r="M37" s="42"/>
      <c r="N37" s="42"/>
    </row>
    <row r="38" spans="1:14">
      <c r="A38" s="77"/>
      <c r="B38" s="42"/>
      <c r="C38" s="42"/>
      <c r="D38" s="42"/>
      <c r="E38" s="42"/>
      <c r="F38" s="42"/>
      <c r="G38" s="42"/>
      <c r="H38" s="42"/>
      <c r="I38" s="42"/>
      <c r="J38" s="42"/>
      <c r="K38" s="42"/>
      <c r="L38" s="42"/>
      <c r="M38" s="42"/>
      <c r="N38" s="42"/>
    </row>
    <row r="39" spans="1:14">
      <c r="A39" s="77"/>
      <c r="B39" s="42"/>
      <c r="C39" s="42"/>
      <c r="D39" s="42"/>
      <c r="E39" s="42"/>
      <c r="F39" s="42"/>
      <c r="G39" s="42"/>
      <c r="H39" s="42"/>
      <c r="I39" s="42"/>
      <c r="J39" s="42"/>
      <c r="K39" s="42"/>
      <c r="L39" s="42"/>
      <c r="M39" s="42"/>
      <c r="N39" s="42"/>
    </row>
    <row r="40" spans="1:14">
      <c r="A40" s="77"/>
      <c r="B40" s="42"/>
      <c r="C40" s="42"/>
      <c r="D40" s="42"/>
      <c r="E40" s="42"/>
      <c r="F40" s="42"/>
      <c r="G40" s="42"/>
      <c r="H40" s="42"/>
      <c r="I40" s="42"/>
      <c r="J40" s="42"/>
      <c r="K40" s="42"/>
      <c r="L40" s="42"/>
      <c r="M40" s="42"/>
      <c r="N40" s="42"/>
    </row>
    <row r="41" spans="1:14">
      <c r="A41" s="77"/>
      <c r="B41" s="42"/>
      <c r="C41" s="42"/>
      <c r="D41" s="42"/>
      <c r="E41" s="42"/>
      <c r="F41" s="42"/>
      <c r="G41" s="42"/>
      <c r="H41" s="42"/>
      <c r="I41" s="42"/>
      <c r="J41" s="42"/>
      <c r="K41" s="42"/>
      <c r="L41" s="42"/>
      <c r="M41" s="42"/>
      <c r="N41" s="42"/>
    </row>
    <row r="42" spans="1:14">
      <c r="A42" s="77"/>
      <c r="B42" s="42"/>
      <c r="C42" s="42"/>
      <c r="D42" s="42"/>
      <c r="E42" s="42"/>
      <c r="F42" s="42"/>
      <c r="G42" s="42"/>
      <c r="H42" s="42"/>
      <c r="I42" s="42"/>
      <c r="J42" s="42"/>
      <c r="K42" s="42"/>
      <c r="L42" s="42"/>
      <c r="M42" s="42"/>
      <c r="N42" s="42"/>
    </row>
    <row r="43" spans="1:14">
      <c r="A43" s="77"/>
      <c r="B43" s="42"/>
      <c r="C43" s="42"/>
      <c r="D43" s="42"/>
      <c r="E43" s="42"/>
      <c r="F43" s="42"/>
      <c r="G43" s="42"/>
      <c r="H43" s="42"/>
      <c r="I43" s="42"/>
      <c r="J43" s="42"/>
      <c r="K43" s="42"/>
      <c r="L43" s="42"/>
      <c r="M43" s="42"/>
      <c r="N43" s="42"/>
    </row>
    <row r="44" spans="1:14">
      <c r="A44" s="77"/>
      <c r="B44" s="42"/>
      <c r="C44" s="42"/>
      <c r="D44" s="42"/>
      <c r="E44" s="42"/>
      <c r="F44" s="42"/>
      <c r="G44" s="42"/>
      <c r="H44" s="42"/>
      <c r="I44" s="42"/>
      <c r="J44" s="42"/>
      <c r="K44" s="42"/>
      <c r="L44" s="42"/>
      <c r="M44" s="42"/>
      <c r="N44" s="42"/>
    </row>
    <row r="45" spans="1:14">
      <c r="A45" s="77"/>
      <c r="B45" s="42"/>
      <c r="C45" s="42"/>
      <c r="D45" s="42"/>
      <c r="E45" s="42"/>
      <c r="F45" s="42"/>
      <c r="G45" s="42"/>
      <c r="H45" s="42"/>
      <c r="I45" s="42"/>
      <c r="J45" s="42"/>
      <c r="K45" s="42"/>
      <c r="L45" s="42"/>
      <c r="M45" s="42"/>
      <c r="N45" s="42"/>
    </row>
    <row r="46" spans="1:14">
      <c r="A46" s="41"/>
    </row>
  </sheetData>
  <mergeCells count="1">
    <mergeCell ref="P1:R1"/>
  </mergeCells>
  <hyperlinks>
    <hyperlink ref="P1:R1" location="Contents!A1" display="Back to Contents" xr:uid="{00000000-0004-0000-1F00-000000000000}"/>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39997558519241921"/>
  </sheetPr>
  <dimension ref="A1:R40"/>
  <sheetViews>
    <sheetView workbookViewId="0"/>
  </sheetViews>
  <sheetFormatPr defaultColWidth="8.81640625" defaultRowHeight="12.5"/>
  <cols>
    <col min="1" max="1" width="26.26953125" customWidth="1"/>
    <col min="2" max="2" width="13.453125" customWidth="1"/>
    <col min="3" max="3" width="17.26953125" bestFit="1" customWidth="1"/>
    <col min="4" max="7" width="13.453125" customWidth="1"/>
    <col min="9" max="9" width="8.81640625" customWidth="1"/>
  </cols>
  <sheetData>
    <row r="1" spans="1:18" ht="14">
      <c r="A1" s="17" t="s">
        <v>595</v>
      </c>
      <c r="B1" s="162"/>
      <c r="C1" s="162"/>
      <c r="D1" s="162"/>
      <c r="E1" s="213" t="s">
        <v>79</v>
      </c>
      <c r="F1" s="213"/>
      <c r="G1" s="213"/>
    </row>
    <row r="2" spans="1:18">
      <c r="A2" s="42"/>
      <c r="B2" s="49" t="s">
        <v>155</v>
      </c>
      <c r="C2" s="49" t="s">
        <v>596</v>
      </c>
      <c r="D2" s="49" t="s">
        <v>84</v>
      </c>
      <c r="E2" s="49" t="s">
        <v>277</v>
      </c>
      <c r="F2" s="49" t="s">
        <v>597</v>
      </c>
      <c r="G2" s="49" t="s">
        <v>87</v>
      </c>
    </row>
    <row r="3" spans="1:18">
      <c r="A3" s="42" t="s">
        <v>458</v>
      </c>
      <c r="B3" s="42">
        <v>3009068</v>
      </c>
      <c r="C3" s="42">
        <v>200578</v>
      </c>
      <c r="D3" s="42">
        <v>2656</v>
      </c>
      <c r="E3" s="42">
        <v>133</v>
      </c>
      <c r="F3" s="42">
        <v>1551</v>
      </c>
      <c r="G3" s="42">
        <v>3213986</v>
      </c>
      <c r="I3" s="163"/>
    </row>
    <row r="4" spans="1:18">
      <c r="A4" s="42" t="s">
        <v>582</v>
      </c>
      <c r="B4" s="42">
        <v>241678</v>
      </c>
      <c r="C4" s="42">
        <v>2</v>
      </c>
      <c r="D4" s="42">
        <v>3</v>
      </c>
      <c r="E4" s="42">
        <v>1</v>
      </c>
      <c r="F4" s="42">
        <v>4</v>
      </c>
      <c r="G4" s="42">
        <v>241688</v>
      </c>
      <c r="I4" s="163"/>
      <c r="R4" s="78"/>
    </row>
    <row r="5" spans="1:18">
      <c r="A5" s="42" t="s">
        <v>583</v>
      </c>
      <c r="B5" s="42">
        <v>3587</v>
      </c>
      <c r="C5" s="42">
        <v>1</v>
      </c>
      <c r="D5" s="42">
        <v>0</v>
      </c>
      <c r="E5" s="42">
        <v>0</v>
      </c>
      <c r="F5" s="42">
        <v>0</v>
      </c>
      <c r="G5" s="42">
        <v>3588</v>
      </c>
      <c r="I5" s="163"/>
      <c r="R5" s="78"/>
    </row>
    <row r="6" spans="1:18">
      <c r="A6" s="42" t="s">
        <v>459</v>
      </c>
      <c r="B6" s="42">
        <v>906513</v>
      </c>
      <c r="C6" s="42">
        <v>2</v>
      </c>
      <c r="D6" s="42">
        <v>167699</v>
      </c>
      <c r="E6" s="42">
        <v>11005</v>
      </c>
      <c r="F6" s="42">
        <v>37289</v>
      </c>
      <c r="G6" s="42">
        <v>1122508</v>
      </c>
      <c r="I6" s="163"/>
    </row>
    <row r="7" spans="1:18">
      <c r="A7" s="42" t="s">
        <v>584</v>
      </c>
      <c r="B7" s="42">
        <v>213</v>
      </c>
      <c r="C7" s="42">
        <v>0</v>
      </c>
      <c r="D7" s="42">
        <v>119</v>
      </c>
      <c r="E7" s="42">
        <v>0</v>
      </c>
      <c r="F7" s="42">
        <v>12</v>
      </c>
      <c r="G7" s="42">
        <v>344</v>
      </c>
      <c r="I7" s="163"/>
    </row>
    <row r="8" spans="1:18">
      <c r="A8" s="42" t="s">
        <v>585</v>
      </c>
      <c r="B8" s="42">
        <v>5</v>
      </c>
      <c r="C8" s="42">
        <v>5</v>
      </c>
      <c r="D8" s="42">
        <v>31</v>
      </c>
      <c r="E8" s="42">
        <v>0</v>
      </c>
      <c r="F8" s="42">
        <v>7</v>
      </c>
      <c r="G8" s="42">
        <v>48</v>
      </c>
      <c r="I8" s="163"/>
    </row>
    <row r="9" spans="1:18">
      <c r="A9" s="42" t="s">
        <v>586</v>
      </c>
      <c r="B9" s="42">
        <v>72318</v>
      </c>
      <c r="C9" s="42">
        <v>2554</v>
      </c>
      <c r="D9" s="42">
        <v>203</v>
      </c>
      <c r="E9" s="42">
        <v>350</v>
      </c>
      <c r="F9" s="42">
        <v>82</v>
      </c>
      <c r="G9" s="42">
        <v>75507</v>
      </c>
      <c r="I9" s="163"/>
      <c r="K9" s="164"/>
    </row>
    <row r="10" spans="1:18">
      <c r="A10" s="42" t="s">
        <v>587</v>
      </c>
      <c r="B10" s="42">
        <v>542</v>
      </c>
      <c r="C10" s="42">
        <v>0</v>
      </c>
      <c r="D10" s="42">
        <v>0</v>
      </c>
      <c r="E10" s="42">
        <v>0</v>
      </c>
      <c r="F10" s="42">
        <v>0</v>
      </c>
      <c r="G10" s="42">
        <v>542</v>
      </c>
      <c r="I10" s="163"/>
    </row>
    <row r="11" spans="1:18">
      <c r="A11" s="42" t="s">
        <v>588</v>
      </c>
      <c r="B11" s="42">
        <v>1</v>
      </c>
      <c r="C11" s="42">
        <v>0</v>
      </c>
      <c r="D11" s="42">
        <v>0</v>
      </c>
      <c r="E11" s="42">
        <v>0</v>
      </c>
      <c r="F11" s="42">
        <v>2</v>
      </c>
      <c r="G11" s="42">
        <v>3</v>
      </c>
      <c r="I11" s="163"/>
    </row>
    <row r="12" spans="1:18">
      <c r="A12" s="42" t="s">
        <v>589</v>
      </c>
      <c r="B12" s="42">
        <v>16</v>
      </c>
      <c r="C12" s="42">
        <v>0</v>
      </c>
      <c r="D12" s="42">
        <v>1</v>
      </c>
      <c r="E12" s="42">
        <v>0</v>
      </c>
      <c r="F12" s="42">
        <v>2</v>
      </c>
      <c r="G12" s="42">
        <v>19</v>
      </c>
      <c r="I12" s="163"/>
    </row>
    <row r="13" spans="1:18">
      <c r="A13" s="42" t="s">
        <v>590</v>
      </c>
      <c r="B13" s="42">
        <v>30066</v>
      </c>
      <c r="C13" s="42">
        <v>0</v>
      </c>
      <c r="D13" s="42">
        <v>0</v>
      </c>
      <c r="E13" s="42">
        <v>0</v>
      </c>
      <c r="F13" s="42">
        <v>0</v>
      </c>
      <c r="G13" s="42">
        <v>30066</v>
      </c>
      <c r="I13" s="163"/>
    </row>
    <row r="14" spans="1:18">
      <c r="A14" s="42" t="s">
        <v>591</v>
      </c>
      <c r="B14" s="42">
        <v>22</v>
      </c>
      <c r="C14" s="42">
        <v>0</v>
      </c>
      <c r="D14" s="42">
        <v>1</v>
      </c>
      <c r="E14" s="42">
        <v>1</v>
      </c>
      <c r="F14" s="42">
        <v>1</v>
      </c>
      <c r="G14" s="42">
        <v>25</v>
      </c>
      <c r="I14" s="163"/>
    </row>
    <row r="15" spans="1:18">
      <c r="A15" s="42" t="s">
        <v>592</v>
      </c>
      <c r="B15" s="42">
        <v>812</v>
      </c>
      <c r="C15" s="42">
        <v>2</v>
      </c>
      <c r="D15" s="42">
        <v>120</v>
      </c>
      <c r="E15" s="42">
        <v>18</v>
      </c>
      <c r="F15" s="42">
        <v>74</v>
      </c>
      <c r="G15" s="42">
        <v>1026</v>
      </c>
      <c r="I15" s="163"/>
    </row>
    <row r="16" spans="1:18">
      <c r="A16" s="42" t="s">
        <v>593</v>
      </c>
      <c r="B16" s="42">
        <v>23</v>
      </c>
      <c r="C16" s="42">
        <v>1</v>
      </c>
      <c r="D16" s="42">
        <v>30</v>
      </c>
      <c r="E16" s="42">
        <v>11</v>
      </c>
      <c r="F16" s="42">
        <v>31</v>
      </c>
      <c r="G16" s="42">
        <v>96</v>
      </c>
      <c r="I16" s="163"/>
    </row>
    <row r="17" spans="1:9">
      <c r="A17" s="42" t="s">
        <v>156</v>
      </c>
      <c r="B17" s="42">
        <v>116</v>
      </c>
      <c r="C17" s="42">
        <v>38</v>
      </c>
      <c r="D17" s="42">
        <v>5</v>
      </c>
      <c r="E17" s="42">
        <v>0</v>
      </c>
      <c r="F17" s="42">
        <v>67</v>
      </c>
      <c r="G17" s="42">
        <v>226</v>
      </c>
      <c r="I17" s="163"/>
    </row>
    <row r="18" spans="1:9">
      <c r="A18" s="42" t="s">
        <v>87</v>
      </c>
      <c r="B18" s="42">
        <v>4264980</v>
      </c>
      <c r="C18" s="42">
        <v>203183</v>
      </c>
      <c r="D18" s="42">
        <v>170868</v>
      </c>
      <c r="E18" s="42">
        <v>11519</v>
      </c>
      <c r="F18" s="42">
        <v>39122</v>
      </c>
      <c r="G18" s="42">
        <v>4689672</v>
      </c>
    </row>
    <row r="19" spans="1:9" ht="14.25" customHeight="1">
      <c r="B19" s="165"/>
      <c r="C19" s="165"/>
      <c r="D19" s="165"/>
      <c r="E19" s="165"/>
      <c r="F19" s="165"/>
      <c r="G19" s="165"/>
    </row>
    <row r="20" spans="1:9">
      <c r="A20" s="37" t="s">
        <v>598</v>
      </c>
      <c r="B20" s="165"/>
      <c r="C20" s="165"/>
      <c r="D20" s="165"/>
      <c r="E20" s="165"/>
      <c r="F20" s="165"/>
      <c r="G20" s="165"/>
    </row>
    <row r="21" spans="1:9">
      <c r="A21" s="37" t="s">
        <v>599</v>
      </c>
      <c r="B21" s="165"/>
      <c r="C21" s="165"/>
      <c r="D21" s="165"/>
      <c r="E21" s="165"/>
      <c r="F21" s="165"/>
      <c r="G21" s="165"/>
    </row>
    <row r="22" spans="1:9">
      <c r="A22" s="37" t="s">
        <v>600</v>
      </c>
      <c r="B22" s="165"/>
      <c r="C22" s="165"/>
      <c r="D22" s="165"/>
      <c r="E22" s="165"/>
      <c r="F22" s="165"/>
      <c r="G22" s="165"/>
    </row>
    <row r="23" spans="1:9">
      <c r="B23" s="165"/>
      <c r="C23" s="165"/>
      <c r="D23" s="165"/>
      <c r="E23" s="165"/>
      <c r="F23" s="165"/>
      <c r="G23" s="165"/>
    </row>
    <row r="24" spans="1:9">
      <c r="B24" s="165"/>
      <c r="C24" s="165"/>
      <c r="D24" s="165"/>
      <c r="E24" s="165"/>
      <c r="F24" s="165"/>
      <c r="G24" s="165"/>
    </row>
    <row r="25" spans="1:9">
      <c r="B25" s="165"/>
      <c r="C25" s="165"/>
      <c r="D25" s="165"/>
      <c r="E25" s="165"/>
      <c r="F25" s="165"/>
      <c r="G25" s="165"/>
    </row>
    <row r="26" spans="1:9">
      <c r="A26" s="87"/>
      <c r="B26" s="165"/>
      <c r="C26" s="165"/>
      <c r="D26" s="165"/>
      <c r="E26" s="165"/>
      <c r="F26" s="165"/>
      <c r="G26" s="165"/>
    </row>
    <row r="27" spans="1:9">
      <c r="B27" s="165"/>
      <c r="C27" s="165"/>
      <c r="D27" s="165"/>
      <c r="E27" s="165"/>
      <c r="F27" s="165"/>
      <c r="G27" s="165"/>
    </row>
    <row r="28" spans="1:9">
      <c r="B28" s="165"/>
      <c r="C28" s="165"/>
      <c r="D28" s="165"/>
      <c r="E28" s="165"/>
      <c r="F28" s="165"/>
      <c r="G28" s="165"/>
    </row>
    <row r="29" spans="1:9">
      <c r="B29" s="165"/>
      <c r="C29" s="165"/>
      <c r="D29" s="165"/>
      <c r="E29" s="165"/>
      <c r="F29" s="165"/>
      <c r="G29" s="165"/>
    </row>
    <row r="30" spans="1:9">
      <c r="B30" s="165"/>
      <c r="C30" s="165"/>
      <c r="D30" s="165"/>
      <c r="E30" s="165"/>
      <c r="F30" s="165"/>
      <c r="G30" s="165"/>
    </row>
    <row r="31" spans="1:9" ht="13">
      <c r="A31" s="166"/>
      <c r="B31" s="165"/>
      <c r="C31" s="165"/>
      <c r="D31" s="165"/>
      <c r="E31" s="165"/>
      <c r="F31" s="165"/>
      <c r="G31" s="165"/>
    </row>
    <row r="32" spans="1:9">
      <c r="C32" s="167"/>
      <c r="D32" s="167"/>
      <c r="E32" s="167"/>
      <c r="F32" s="167"/>
      <c r="G32" s="167"/>
    </row>
    <row r="33" spans="2:7">
      <c r="B33" s="168"/>
      <c r="C33" s="168"/>
      <c r="D33" s="168"/>
      <c r="E33" s="168"/>
      <c r="F33" s="168"/>
      <c r="G33" s="168"/>
    </row>
    <row r="34" spans="2:7">
      <c r="B34" s="165"/>
      <c r="C34" s="165"/>
      <c r="D34" s="165"/>
      <c r="E34" s="165"/>
      <c r="F34" s="165"/>
      <c r="G34" s="165"/>
    </row>
    <row r="35" spans="2:7">
      <c r="B35" s="165"/>
      <c r="C35" s="165"/>
      <c r="D35" s="165"/>
      <c r="E35" s="165"/>
      <c r="F35" s="165"/>
      <c r="G35" s="165"/>
    </row>
    <row r="36" spans="2:7">
      <c r="B36" s="165"/>
      <c r="C36" s="165"/>
      <c r="D36" s="165"/>
      <c r="E36" s="165"/>
      <c r="F36" s="165"/>
      <c r="G36" s="165"/>
    </row>
    <row r="37" spans="2:7">
      <c r="B37" s="165"/>
      <c r="C37" s="165"/>
      <c r="D37" s="165"/>
      <c r="E37" s="165"/>
      <c r="F37" s="165"/>
      <c r="G37" s="165"/>
    </row>
    <row r="38" spans="2:7">
      <c r="B38" s="165"/>
      <c r="C38" s="165"/>
      <c r="D38" s="165"/>
      <c r="E38" s="165"/>
      <c r="F38" s="165"/>
      <c r="G38" s="165"/>
    </row>
    <row r="39" spans="2:7">
      <c r="B39" s="165"/>
      <c r="C39" s="165"/>
      <c r="D39" s="165"/>
      <c r="E39" s="165"/>
      <c r="F39" s="165"/>
      <c r="G39" s="165"/>
    </row>
    <row r="40" spans="2:7">
      <c r="B40" s="165"/>
      <c r="C40" s="165"/>
      <c r="D40" s="165"/>
      <c r="E40" s="165"/>
      <c r="F40" s="165"/>
      <c r="G40" s="165"/>
    </row>
  </sheetData>
  <mergeCells count="1">
    <mergeCell ref="E1:G1"/>
  </mergeCells>
  <hyperlinks>
    <hyperlink ref="E1:G1" location="Contents!A1" display="Back to Contents" xr:uid="{00000000-0004-0000-20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39997558519241921"/>
  </sheetPr>
  <dimension ref="A1:Z89"/>
  <sheetViews>
    <sheetView zoomScale="110" zoomScaleNormal="110" workbookViewId="0"/>
  </sheetViews>
  <sheetFormatPr defaultColWidth="9.1796875" defaultRowHeight="12.5"/>
  <cols>
    <col min="1" max="2" width="9.1796875" style="81"/>
    <col min="3" max="6" width="9.453125" style="81" bestFit="1" customWidth="1"/>
    <col min="7" max="7" width="11.453125" style="81" bestFit="1" customWidth="1"/>
    <col min="8" max="8" width="10.453125" style="81" bestFit="1" customWidth="1"/>
    <col min="9" max="10" width="11.453125" style="81" bestFit="1" customWidth="1"/>
    <col min="11" max="16384" width="9.1796875" style="81"/>
  </cols>
  <sheetData>
    <row r="1" spans="1:26" ht="23.25" customHeight="1">
      <c r="A1" s="86"/>
      <c r="B1" s="86"/>
      <c r="C1" s="80" t="s">
        <v>601</v>
      </c>
      <c r="D1" s="84"/>
      <c r="E1" s="84"/>
      <c r="F1" s="84"/>
      <c r="G1" s="84"/>
      <c r="H1" s="84"/>
      <c r="I1" s="53"/>
      <c r="J1" s="84"/>
      <c r="K1"/>
      <c r="L1"/>
      <c r="M1"/>
      <c r="N1" s="53" t="s">
        <v>79</v>
      </c>
      <c r="O1" s="84"/>
      <c r="P1"/>
      <c r="Q1"/>
      <c r="R1"/>
      <c r="S1"/>
      <c r="T1"/>
      <c r="U1"/>
      <c r="V1"/>
      <c r="W1"/>
      <c r="X1"/>
      <c r="Y1"/>
    </row>
    <row r="2" spans="1:26" ht="20">
      <c r="A2" s="83" t="s">
        <v>602</v>
      </c>
      <c r="B2" s="83"/>
      <c r="C2" s="141" t="s">
        <v>603</v>
      </c>
      <c r="D2" s="141" t="s">
        <v>604</v>
      </c>
      <c r="E2" s="141" t="s">
        <v>605</v>
      </c>
      <c r="F2" s="142" t="s">
        <v>606</v>
      </c>
      <c r="G2" s="141" t="s">
        <v>607</v>
      </c>
      <c r="H2" s="141" t="s">
        <v>608</v>
      </c>
      <c r="I2" s="141" t="s">
        <v>609</v>
      </c>
      <c r="J2" s="141" t="s">
        <v>610</v>
      </c>
      <c r="K2"/>
      <c r="L2"/>
      <c r="M2"/>
      <c r="N2"/>
      <c r="O2"/>
      <c r="P2"/>
      <c r="Q2"/>
      <c r="R2"/>
      <c r="S2"/>
      <c r="T2"/>
      <c r="U2"/>
      <c r="V2"/>
      <c r="W2"/>
      <c r="X2"/>
      <c r="Y2"/>
      <c r="Z2"/>
    </row>
    <row r="3" spans="1:26">
      <c r="A3" s="82">
        <v>2005</v>
      </c>
      <c r="B3" s="82" t="s">
        <v>611</v>
      </c>
      <c r="C3" s="177">
        <v>261.5903318</v>
      </c>
      <c r="D3" s="177">
        <v>283.26725219999997</v>
      </c>
      <c r="E3" s="177">
        <v>223.54064869999999</v>
      </c>
      <c r="F3" s="177">
        <v>241.05042499999999</v>
      </c>
      <c r="G3" s="66">
        <v>19528</v>
      </c>
      <c r="H3" s="66">
        <v>4782</v>
      </c>
      <c r="I3" s="66">
        <v>34437</v>
      </c>
      <c r="J3" s="66">
        <v>58747</v>
      </c>
      <c r="K3"/>
      <c r="L3"/>
      <c r="M3"/>
      <c r="N3"/>
      <c r="O3"/>
      <c r="P3"/>
      <c r="Q3"/>
      <c r="R3"/>
      <c r="S3"/>
      <c r="T3"/>
      <c r="U3"/>
      <c r="V3"/>
      <c r="W3"/>
      <c r="X3"/>
      <c r="Y3"/>
      <c r="Z3"/>
    </row>
    <row r="4" spans="1:26">
      <c r="A4" s="82">
        <v>2005</v>
      </c>
      <c r="B4" s="82" t="s">
        <v>612</v>
      </c>
      <c r="C4" s="177">
        <v>250.99449920000001</v>
      </c>
      <c r="D4" s="177">
        <v>278.85236450000002</v>
      </c>
      <c r="E4" s="177">
        <v>220.6835131</v>
      </c>
      <c r="F4" s="177">
        <v>236.12501169999999</v>
      </c>
      <c r="G4" s="66">
        <v>21088</v>
      </c>
      <c r="H4" s="66">
        <v>5202</v>
      </c>
      <c r="I4" s="66">
        <v>34701</v>
      </c>
      <c r="J4" s="66">
        <v>60991</v>
      </c>
      <c r="K4"/>
      <c r="L4"/>
      <c r="M4"/>
      <c r="N4"/>
      <c r="O4"/>
      <c r="P4"/>
      <c r="Q4"/>
      <c r="R4"/>
      <c r="S4"/>
      <c r="T4"/>
      <c r="U4"/>
      <c r="V4"/>
      <c r="W4"/>
      <c r="X4"/>
      <c r="Y4"/>
      <c r="Z4"/>
    </row>
    <row r="5" spans="1:26">
      <c r="A5" s="82">
        <v>2005</v>
      </c>
      <c r="B5" s="82" t="s">
        <v>613</v>
      </c>
      <c r="C5" s="177">
        <v>248.7452543</v>
      </c>
      <c r="D5" s="177">
        <v>275.40885689999999</v>
      </c>
      <c r="E5" s="177">
        <v>221.18916150000001</v>
      </c>
      <c r="F5" s="177">
        <v>234.53133840000001</v>
      </c>
      <c r="G5" s="66">
        <v>19702</v>
      </c>
      <c r="H5" s="66">
        <v>3884</v>
      </c>
      <c r="I5" s="66">
        <v>32889</v>
      </c>
      <c r="J5" s="66">
        <v>56475</v>
      </c>
      <c r="K5"/>
      <c r="L5"/>
      <c r="M5"/>
      <c r="N5"/>
      <c r="O5"/>
      <c r="P5"/>
      <c r="Q5"/>
      <c r="R5"/>
      <c r="S5"/>
      <c r="T5"/>
      <c r="U5"/>
      <c r="V5"/>
      <c r="W5"/>
      <c r="X5"/>
      <c r="Y5"/>
      <c r="Z5"/>
    </row>
    <row r="6" spans="1:26">
      <c r="A6" s="82">
        <v>2006</v>
      </c>
      <c r="B6" s="82" t="s">
        <v>614</v>
      </c>
      <c r="C6" s="177">
        <v>251.9506461</v>
      </c>
      <c r="D6" s="177">
        <v>274.2567267</v>
      </c>
      <c r="E6" s="177">
        <v>221.5007128</v>
      </c>
      <c r="F6" s="177">
        <v>236.67959239999999</v>
      </c>
      <c r="G6" s="66">
        <v>19269</v>
      </c>
      <c r="H6" s="66">
        <v>4943</v>
      </c>
      <c r="I6" s="66">
        <v>31623</v>
      </c>
      <c r="J6" s="66">
        <v>55835</v>
      </c>
      <c r="K6"/>
      <c r="L6"/>
      <c r="M6"/>
      <c r="N6"/>
      <c r="O6"/>
      <c r="P6"/>
      <c r="Q6"/>
      <c r="R6"/>
      <c r="S6"/>
      <c r="T6"/>
      <c r="U6"/>
      <c r="V6"/>
      <c r="W6"/>
      <c r="X6"/>
      <c r="Y6"/>
      <c r="Z6"/>
    </row>
    <row r="7" spans="1:26">
      <c r="A7" s="82">
        <v>2006</v>
      </c>
      <c r="B7" s="82" t="s">
        <v>611</v>
      </c>
      <c r="C7" s="177">
        <v>246.03231020000001</v>
      </c>
      <c r="D7" s="177">
        <v>276.1943076</v>
      </c>
      <c r="E7" s="177">
        <v>218.1408007</v>
      </c>
      <c r="F7" s="177">
        <v>233.73568460000001</v>
      </c>
      <c r="G7" s="66">
        <v>17951</v>
      </c>
      <c r="H7" s="66">
        <v>5481</v>
      </c>
      <c r="I7" s="66">
        <v>29077</v>
      </c>
      <c r="J7" s="66">
        <v>52509</v>
      </c>
      <c r="K7"/>
      <c r="L7"/>
      <c r="M7"/>
      <c r="N7"/>
      <c r="O7"/>
      <c r="P7"/>
      <c r="Q7"/>
      <c r="R7"/>
      <c r="S7"/>
      <c r="T7"/>
      <c r="U7"/>
      <c r="V7"/>
      <c r="W7"/>
      <c r="X7"/>
      <c r="Y7"/>
      <c r="Z7"/>
    </row>
    <row r="8" spans="1:26">
      <c r="A8" s="82">
        <v>2006</v>
      </c>
      <c r="B8" s="82" t="s">
        <v>612</v>
      </c>
      <c r="C8" s="177">
        <v>245.17722130000001</v>
      </c>
      <c r="D8" s="177">
        <v>270.8495077</v>
      </c>
      <c r="E8" s="177">
        <v>218.87872730000001</v>
      </c>
      <c r="F8" s="177">
        <v>234.15777689999999</v>
      </c>
      <c r="G8" s="66">
        <v>20607</v>
      </c>
      <c r="H8" s="66">
        <v>4977</v>
      </c>
      <c r="I8" s="66">
        <v>26814</v>
      </c>
      <c r="J8" s="66">
        <v>52398</v>
      </c>
      <c r="K8"/>
      <c r="L8"/>
      <c r="M8"/>
      <c r="N8"/>
      <c r="O8"/>
      <c r="P8"/>
      <c r="Q8"/>
      <c r="R8"/>
      <c r="S8"/>
      <c r="T8"/>
      <c r="U8"/>
      <c r="V8"/>
      <c r="W8"/>
      <c r="X8"/>
      <c r="Y8"/>
      <c r="Z8"/>
    </row>
    <row r="9" spans="1:26">
      <c r="A9" s="82">
        <v>2006</v>
      </c>
      <c r="B9" s="82" t="s">
        <v>613</v>
      </c>
      <c r="C9" s="177">
        <v>245.87578329999999</v>
      </c>
      <c r="D9" s="177">
        <v>270.93921230000001</v>
      </c>
      <c r="E9" s="177">
        <v>221.24360010000001</v>
      </c>
      <c r="F9" s="177">
        <v>235.35035239999999</v>
      </c>
      <c r="G9" s="66">
        <v>19788</v>
      </c>
      <c r="H9" s="66">
        <v>4672</v>
      </c>
      <c r="I9" s="66">
        <v>26551</v>
      </c>
      <c r="J9" s="66">
        <v>51011</v>
      </c>
      <c r="K9"/>
      <c r="L9"/>
      <c r="M9"/>
      <c r="N9"/>
      <c r="O9"/>
      <c r="P9"/>
      <c r="Q9"/>
      <c r="R9"/>
      <c r="S9"/>
      <c r="T9"/>
      <c r="U9"/>
      <c r="V9"/>
      <c r="W9"/>
      <c r="X9"/>
      <c r="Y9"/>
      <c r="Z9"/>
    </row>
    <row r="10" spans="1:26">
      <c r="A10" s="82">
        <v>2007</v>
      </c>
      <c r="B10" s="82" t="s">
        <v>614</v>
      </c>
      <c r="C10" s="177">
        <v>246.6809571</v>
      </c>
      <c r="D10" s="177">
        <v>264.6227495</v>
      </c>
      <c r="E10" s="177">
        <v>220.39444420000001</v>
      </c>
      <c r="F10" s="177">
        <v>234.8587129</v>
      </c>
      <c r="G10" s="66">
        <v>19267</v>
      </c>
      <c r="H10" s="66">
        <v>5943</v>
      </c>
      <c r="I10" s="66">
        <v>27977</v>
      </c>
      <c r="J10" s="66">
        <v>53187</v>
      </c>
      <c r="K10"/>
      <c r="L10"/>
      <c r="M10"/>
      <c r="N10"/>
      <c r="O10"/>
      <c r="P10"/>
      <c r="Q10"/>
      <c r="R10"/>
      <c r="S10"/>
      <c r="T10"/>
      <c r="U10"/>
      <c r="V10"/>
      <c r="W10"/>
      <c r="X10"/>
      <c r="Y10"/>
      <c r="Z10"/>
    </row>
    <row r="11" spans="1:26">
      <c r="A11" s="82">
        <v>2007</v>
      </c>
      <c r="B11" s="82" t="s">
        <v>611</v>
      </c>
      <c r="C11" s="177">
        <v>248.40919629999999</v>
      </c>
      <c r="D11" s="177">
        <v>264.41490649999997</v>
      </c>
      <c r="E11" s="177">
        <v>223.11504669999999</v>
      </c>
      <c r="F11" s="177">
        <v>236.5729527</v>
      </c>
      <c r="G11" s="66">
        <v>17246</v>
      </c>
      <c r="H11" s="66">
        <v>6628</v>
      </c>
      <c r="I11" s="66">
        <v>28880</v>
      </c>
      <c r="J11" s="66">
        <v>52754</v>
      </c>
      <c r="K11"/>
      <c r="L11"/>
      <c r="M11"/>
      <c r="N11"/>
      <c r="O11"/>
      <c r="P11"/>
      <c r="Q11"/>
      <c r="R11"/>
      <c r="S11"/>
      <c r="T11"/>
      <c r="U11"/>
      <c r="V11"/>
      <c r="W11"/>
      <c r="X11"/>
      <c r="Y11"/>
      <c r="Z11"/>
    </row>
    <row r="12" spans="1:26">
      <c r="A12" s="82">
        <v>2007</v>
      </c>
      <c r="B12" s="82" t="s">
        <v>612</v>
      </c>
      <c r="C12" s="177">
        <v>242.9869046</v>
      </c>
      <c r="D12" s="177">
        <v>262.68371610000003</v>
      </c>
      <c r="E12" s="177">
        <v>225.25383590000001</v>
      </c>
      <c r="F12" s="177">
        <v>235.8811546</v>
      </c>
      <c r="G12" s="66">
        <v>19778</v>
      </c>
      <c r="H12" s="66">
        <v>6706</v>
      </c>
      <c r="I12" s="66">
        <v>30137</v>
      </c>
      <c r="J12" s="66">
        <v>56621</v>
      </c>
      <c r="K12"/>
      <c r="L12"/>
      <c r="M12"/>
      <c r="N12"/>
      <c r="O12"/>
      <c r="P12"/>
      <c r="Q12"/>
      <c r="R12"/>
      <c r="S12"/>
      <c r="T12"/>
      <c r="U12"/>
      <c r="V12"/>
      <c r="W12"/>
      <c r="X12"/>
      <c r="Y12"/>
      <c r="Z12"/>
    </row>
    <row r="13" spans="1:26">
      <c r="A13" s="82">
        <v>2007</v>
      </c>
      <c r="B13" s="82" t="s">
        <v>613</v>
      </c>
      <c r="C13" s="177">
        <v>239.7362665</v>
      </c>
      <c r="D13" s="177">
        <v>263.42920199999998</v>
      </c>
      <c r="E13" s="177">
        <v>226.26460449999999</v>
      </c>
      <c r="F13" s="177">
        <v>235.34422069999999</v>
      </c>
      <c r="G13" s="66">
        <v>19933</v>
      </c>
      <c r="H13" s="66">
        <v>5890</v>
      </c>
      <c r="I13" s="66">
        <v>27861</v>
      </c>
      <c r="J13" s="66">
        <v>53684</v>
      </c>
      <c r="K13"/>
      <c r="L13"/>
      <c r="M13"/>
      <c r="N13"/>
      <c r="O13"/>
      <c r="P13"/>
      <c r="Q13"/>
      <c r="R13"/>
      <c r="S13"/>
      <c r="T13"/>
      <c r="U13"/>
      <c r="V13"/>
      <c r="W13"/>
      <c r="X13"/>
      <c r="Y13"/>
      <c r="Z13"/>
    </row>
    <row r="14" spans="1:26">
      <c r="A14" s="82">
        <v>2008</v>
      </c>
      <c r="B14" s="82" t="s">
        <v>614</v>
      </c>
      <c r="C14" s="177">
        <v>236.6572438</v>
      </c>
      <c r="D14" s="177">
        <v>263.07001300000002</v>
      </c>
      <c r="E14" s="177">
        <v>225.56063639999999</v>
      </c>
      <c r="F14" s="177">
        <v>234.57305270000001</v>
      </c>
      <c r="G14" s="66">
        <v>19244</v>
      </c>
      <c r="H14" s="66">
        <v>6913</v>
      </c>
      <c r="I14" s="66">
        <v>26309</v>
      </c>
      <c r="J14" s="66">
        <v>52466</v>
      </c>
      <c r="K14"/>
      <c r="L14"/>
      <c r="M14"/>
      <c r="N14"/>
      <c r="O14"/>
      <c r="P14"/>
      <c r="Q14"/>
      <c r="R14"/>
      <c r="S14"/>
      <c r="T14"/>
      <c r="U14"/>
      <c r="V14"/>
      <c r="W14"/>
      <c r="X14"/>
      <c r="Y14"/>
      <c r="Z14"/>
    </row>
    <row r="15" spans="1:26">
      <c r="A15" s="82">
        <v>2008</v>
      </c>
      <c r="B15" s="82" t="s">
        <v>611</v>
      </c>
      <c r="C15" s="177">
        <v>232.7158416</v>
      </c>
      <c r="D15" s="177">
        <v>256.6669205</v>
      </c>
      <c r="E15" s="177">
        <v>222.90110079999999</v>
      </c>
      <c r="F15" s="177">
        <v>231.8171371</v>
      </c>
      <c r="G15" s="66">
        <v>16343</v>
      </c>
      <c r="H15" s="66">
        <v>7878</v>
      </c>
      <c r="I15" s="66">
        <v>23604</v>
      </c>
      <c r="J15" s="66">
        <v>47825</v>
      </c>
      <c r="K15"/>
      <c r="L15"/>
      <c r="M15"/>
      <c r="N15"/>
      <c r="O15"/>
      <c r="P15"/>
      <c r="Q15"/>
      <c r="R15"/>
      <c r="S15"/>
      <c r="T15"/>
      <c r="U15"/>
      <c r="V15"/>
      <c r="W15"/>
      <c r="X15"/>
      <c r="Y15"/>
      <c r="Z15"/>
    </row>
    <row r="16" spans="1:26">
      <c r="A16" s="82">
        <v>2008</v>
      </c>
      <c r="B16" s="82" t="s">
        <v>612</v>
      </c>
      <c r="C16" s="177">
        <v>233.4897665</v>
      </c>
      <c r="D16" s="177">
        <v>255.93175360000001</v>
      </c>
      <c r="E16" s="177">
        <v>221.8775316</v>
      </c>
      <c r="F16" s="177">
        <v>231.07469560000001</v>
      </c>
      <c r="G16" s="66">
        <v>16661</v>
      </c>
      <c r="H16" s="66">
        <v>6330</v>
      </c>
      <c r="I16" s="66">
        <v>21483</v>
      </c>
      <c r="J16" s="66">
        <v>44474</v>
      </c>
      <c r="K16"/>
      <c r="L16"/>
      <c r="M16"/>
      <c r="N16"/>
      <c r="O16"/>
      <c r="P16"/>
      <c r="Q16"/>
      <c r="R16"/>
      <c r="S16"/>
      <c r="T16"/>
      <c r="U16"/>
      <c r="V16"/>
      <c r="W16"/>
      <c r="X16"/>
      <c r="Y16"/>
      <c r="Z16"/>
    </row>
    <row r="17" spans="1:26">
      <c r="A17" s="82">
        <v>2008</v>
      </c>
      <c r="B17" s="82" t="s">
        <v>613</v>
      </c>
      <c r="C17" s="177">
        <v>229.98555400000001</v>
      </c>
      <c r="D17" s="177">
        <v>255.37081509999999</v>
      </c>
      <c r="E17" s="177">
        <v>226.37911489999999</v>
      </c>
      <c r="F17" s="177">
        <v>231.70221280000001</v>
      </c>
      <c r="G17" s="66">
        <v>16752</v>
      </c>
      <c r="H17" s="66">
        <v>5496</v>
      </c>
      <c r="I17" s="66">
        <v>19035</v>
      </c>
      <c r="J17" s="66">
        <v>41283</v>
      </c>
      <c r="K17"/>
      <c r="L17"/>
      <c r="M17"/>
      <c r="N17"/>
      <c r="O17"/>
      <c r="P17"/>
      <c r="Q17"/>
      <c r="R17"/>
      <c r="S17"/>
      <c r="T17"/>
      <c r="U17"/>
      <c r="V17"/>
      <c r="W17"/>
      <c r="X17"/>
      <c r="Y17"/>
      <c r="Z17"/>
    </row>
    <row r="18" spans="1:26">
      <c r="A18" s="82">
        <v>2009</v>
      </c>
      <c r="B18" s="82" t="s">
        <v>614</v>
      </c>
      <c r="C18" s="177">
        <v>230.4652663</v>
      </c>
      <c r="D18" s="177">
        <v>249.27891980000001</v>
      </c>
      <c r="E18" s="177">
        <v>223.0487717</v>
      </c>
      <c r="F18" s="177">
        <v>229.87850570000001</v>
      </c>
      <c r="G18" s="66">
        <v>12711</v>
      </c>
      <c r="H18" s="66">
        <v>4962</v>
      </c>
      <c r="I18" s="66">
        <v>15187</v>
      </c>
      <c r="J18" s="66">
        <v>32860</v>
      </c>
      <c r="K18"/>
      <c r="L18"/>
      <c r="M18"/>
      <c r="N18"/>
      <c r="O18"/>
      <c r="P18"/>
      <c r="Q18"/>
      <c r="R18"/>
      <c r="S18"/>
      <c r="T18"/>
      <c r="U18"/>
      <c r="V18"/>
      <c r="W18"/>
      <c r="X18"/>
      <c r="Y18"/>
      <c r="Z18"/>
    </row>
    <row r="19" spans="1:26">
      <c r="A19" s="82">
        <v>2009</v>
      </c>
      <c r="B19" s="82" t="s">
        <v>611</v>
      </c>
      <c r="C19" s="177">
        <v>227.8838575</v>
      </c>
      <c r="D19" s="177">
        <v>255.4146786</v>
      </c>
      <c r="E19" s="177">
        <v>213.56944039999999</v>
      </c>
      <c r="F19" s="177">
        <v>225.64844550000001</v>
      </c>
      <c r="G19" s="66">
        <v>10556</v>
      </c>
      <c r="H19" s="66">
        <v>5491</v>
      </c>
      <c r="I19" s="66">
        <v>15485</v>
      </c>
      <c r="J19" s="66">
        <v>31532</v>
      </c>
      <c r="K19"/>
      <c r="L19"/>
      <c r="M19"/>
      <c r="N19"/>
      <c r="O19"/>
      <c r="P19"/>
      <c r="Q19"/>
      <c r="R19"/>
      <c r="S19"/>
      <c r="T19"/>
      <c r="U19"/>
      <c r="V19"/>
      <c r="W19"/>
      <c r="X19"/>
      <c r="Y19"/>
      <c r="Z19"/>
    </row>
    <row r="20" spans="1:26">
      <c r="A20" s="82">
        <v>2009</v>
      </c>
      <c r="B20" s="82" t="s">
        <v>612</v>
      </c>
      <c r="C20" s="177">
        <v>228.0530115</v>
      </c>
      <c r="D20" s="177">
        <v>246.80877860000001</v>
      </c>
      <c r="E20" s="177">
        <v>210.7528997</v>
      </c>
      <c r="F20" s="177">
        <v>222.10551430000001</v>
      </c>
      <c r="G20" s="66">
        <v>12884</v>
      </c>
      <c r="H20" s="66">
        <v>5240</v>
      </c>
      <c r="I20" s="66">
        <v>18152</v>
      </c>
      <c r="J20" s="66">
        <v>36276</v>
      </c>
      <c r="K20"/>
      <c r="L20"/>
      <c r="M20"/>
      <c r="N20"/>
      <c r="O20"/>
      <c r="P20"/>
      <c r="Q20"/>
      <c r="R20"/>
      <c r="S20"/>
      <c r="T20"/>
      <c r="U20"/>
      <c r="V20"/>
      <c r="W20"/>
      <c r="X20"/>
      <c r="Y20"/>
      <c r="Z20"/>
    </row>
    <row r="21" spans="1:26">
      <c r="A21" s="82">
        <v>2009</v>
      </c>
      <c r="B21" s="82" t="s">
        <v>613</v>
      </c>
      <c r="C21" s="177">
        <v>226.7185801</v>
      </c>
      <c r="D21" s="177">
        <v>252.89385970000001</v>
      </c>
      <c r="E21" s="177">
        <v>209.78916860000001</v>
      </c>
      <c r="F21" s="177">
        <v>220.70873219999999</v>
      </c>
      <c r="G21" s="66">
        <v>12874</v>
      </c>
      <c r="H21" s="66">
        <v>4560</v>
      </c>
      <c r="I21" s="66">
        <v>20526</v>
      </c>
      <c r="J21" s="66">
        <v>37960</v>
      </c>
      <c r="K21"/>
      <c r="L21"/>
      <c r="M21"/>
      <c r="N21"/>
      <c r="O21"/>
      <c r="P21"/>
      <c r="Q21"/>
      <c r="R21"/>
      <c r="S21"/>
      <c r="T21"/>
      <c r="U21"/>
      <c r="V21"/>
      <c r="W21"/>
      <c r="X21"/>
      <c r="Y21"/>
      <c r="Z21"/>
    </row>
    <row r="22" spans="1:26">
      <c r="A22" s="82">
        <v>2010</v>
      </c>
      <c r="B22" s="82" t="s">
        <v>614</v>
      </c>
      <c r="C22" s="177">
        <v>225.52693690000001</v>
      </c>
      <c r="D22" s="177">
        <v>253.0128411</v>
      </c>
      <c r="E22" s="177">
        <v>210.7098771</v>
      </c>
      <c r="F22" s="177">
        <v>221.4538335</v>
      </c>
      <c r="G22" s="66">
        <v>13643</v>
      </c>
      <c r="H22" s="66">
        <v>5607</v>
      </c>
      <c r="I22" s="66">
        <v>21642</v>
      </c>
      <c r="J22" s="66">
        <v>40892</v>
      </c>
      <c r="S22"/>
      <c r="T22"/>
      <c r="U22"/>
      <c r="V22"/>
      <c r="W22"/>
      <c r="X22"/>
      <c r="Y22"/>
      <c r="Z22"/>
    </row>
    <row r="23" spans="1:26">
      <c r="A23" s="82">
        <v>2010</v>
      </c>
      <c r="B23" s="82" t="s">
        <v>611</v>
      </c>
      <c r="C23" s="177">
        <v>228.3365163</v>
      </c>
      <c r="D23" s="177">
        <v>254.1613965</v>
      </c>
      <c r="E23" s="177">
        <v>213.59565979999999</v>
      </c>
      <c r="F23" s="177">
        <v>224.87793590000001</v>
      </c>
      <c r="G23" s="66">
        <v>12986</v>
      </c>
      <c r="H23" s="66">
        <v>6989</v>
      </c>
      <c r="I23" s="66">
        <v>22121</v>
      </c>
      <c r="J23" s="66">
        <v>42096</v>
      </c>
      <c r="S23"/>
      <c r="T23"/>
      <c r="U23"/>
      <c r="V23"/>
      <c r="W23"/>
      <c r="X23"/>
      <c r="Y23"/>
      <c r="Z23"/>
    </row>
    <row r="24" spans="1:26">
      <c r="A24" s="82">
        <v>2010</v>
      </c>
      <c r="B24" s="82" t="s">
        <v>612</v>
      </c>
      <c r="C24" s="177">
        <v>222.22306929999999</v>
      </c>
      <c r="D24" s="177">
        <v>254.55863189999999</v>
      </c>
      <c r="E24" s="177">
        <v>214.6704881</v>
      </c>
      <c r="F24" s="177">
        <v>222.77041500000001</v>
      </c>
      <c r="G24" s="66">
        <v>14036</v>
      </c>
      <c r="H24" s="66">
        <v>6140</v>
      </c>
      <c r="I24" s="66">
        <v>23148</v>
      </c>
      <c r="J24" s="66">
        <v>43324</v>
      </c>
      <c r="S24"/>
      <c r="T24"/>
      <c r="U24"/>
      <c r="V24"/>
      <c r="W24"/>
      <c r="X24"/>
      <c r="Y24"/>
      <c r="Z24"/>
    </row>
    <row r="25" spans="1:26">
      <c r="A25" s="82">
        <v>2010</v>
      </c>
      <c r="B25" s="82" t="s">
        <v>613</v>
      </c>
      <c r="C25" s="177">
        <v>221.33807229999999</v>
      </c>
      <c r="D25" s="177">
        <v>255.05356090000001</v>
      </c>
      <c r="E25" s="177">
        <v>215.59355590000001</v>
      </c>
      <c r="F25" s="177">
        <v>222.25839569999999</v>
      </c>
      <c r="G25" s="66">
        <v>15334</v>
      </c>
      <c r="H25" s="66">
        <v>5097</v>
      </c>
      <c r="I25" s="66">
        <v>22963</v>
      </c>
      <c r="J25" s="66">
        <v>43394</v>
      </c>
      <c r="S25"/>
      <c r="T25"/>
      <c r="U25"/>
      <c r="V25"/>
      <c r="W25"/>
      <c r="X25"/>
      <c r="Y25"/>
      <c r="Z25"/>
    </row>
    <row r="26" spans="1:26">
      <c r="A26" s="82">
        <v>2011</v>
      </c>
      <c r="B26" s="82" t="s">
        <v>614</v>
      </c>
      <c r="C26" s="177">
        <v>218.09983159999999</v>
      </c>
      <c r="D26" s="177">
        <v>251.44580339999999</v>
      </c>
      <c r="E26" s="177">
        <v>213.68906670000001</v>
      </c>
      <c r="F26" s="177">
        <v>221.03035489999999</v>
      </c>
      <c r="G26" s="66">
        <v>15436</v>
      </c>
      <c r="H26" s="66">
        <v>6541</v>
      </c>
      <c r="I26" s="66">
        <v>20938</v>
      </c>
      <c r="J26" s="66">
        <v>42915</v>
      </c>
      <c r="S26"/>
      <c r="T26"/>
      <c r="U26"/>
      <c r="V26"/>
      <c r="W26"/>
      <c r="X26"/>
      <c r="Y26"/>
      <c r="Z26"/>
    </row>
    <row r="27" spans="1:26">
      <c r="A27" s="82">
        <v>2011</v>
      </c>
      <c r="B27" s="82" t="s">
        <v>611</v>
      </c>
      <c r="C27" s="177">
        <v>217.51247069999999</v>
      </c>
      <c r="D27" s="177">
        <v>251.72695419999999</v>
      </c>
      <c r="E27" s="177">
        <v>214.8662204</v>
      </c>
      <c r="F27" s="177">
        <v>222.59440140000001</v>
      </c>
      <c r="G27" s="66">
        <v>11948</v>
      </c>
      <c r="H27" s="66">
        <v>7420</v>
      </c>
      <c r="I27" s="66">
        <v>20114</v>
      </c>
      <c r="J27" s="66">
        <v>39482</v>
      </c>
      <c r="S27"/>
      <c r="T27"/>
      <c r="U27"/>
      <c r="V27"/>
      <c r="W27"/>
      <c r="X27"/>
      <c r="Y27"/>
      <c r="Z27"/>
    </row>
    <row r="28" spans="1:26">
      <c r="A28" s="82">
        <v>2011</v>
      </c>
      <c r="B28" s="82" t="s">
        <v>612</v>
      </c>
      <c r="C28" s="177">
        <v>215.97413789999999</v>
      </c>
      <c r="D28" s="177">
        <v>250.79634580000001</v>
      </c>
      <c r="E28" s="177">
        <v>217.79415940000001</v>
      </c>
      <c r="F28" s="177">
        <v>222.84447159999999</v>
      </c>
      <c r="G28" s="66">
        <v>14036</v>
      </c>
      <c r="H28" s="66">
        <v>7115</v>
      </c>
      <c r="I28" s="66">
        <v>20285</v>
      </c>
      <c r="J28" s="66">
        <v>41436</v>
      </c>
      <c r="S28"/>
      <c r="T28"/>
      <c r="U28"/>
      <c r="V28"/>
      <c r="W28"/>
      <c r="X28"/>
      <c r="Y28"/>
      <c r="Z28"/>
    </row>
    <row r="29" spans="1:26">
      <c r="A29" s="82">
        <v>2011</v>
      </c>
      <c r="B29" s="82" t="s">
        <v>613</v>
      </c>
      <c r="C29" s="177">
        <v>215.40550060000001</v>
      </c>
      <c r="D29" s="177">
        <v>250.8755237</v>
      </c>
      <c r="E29" s="177">
        <v>215.82413070000001</v>
      </c>
      <c r="F29" s="177">
        <v>220.5101076</v>
      </c>
      <c r="G29" s="66">
        <v>14762</v>
      </c>
      <c r="H29" s="66">
        <v>5728</v>
      </c>
      <c r="I29" s="66">
        <v>21037</v>
      </c>
      <c r="J29" s="66">
        <v>41527</v>
      </c>
      <c r="S29"/>
      <c r="T29"/>
      <c r="U29"/>
      <c r="V29"/>
      <c r="W29"/>
      <c r="X29"/>
      <c r="Y29"/>
      <c r="Z29"/>
    </row>
    <row r="30" spans="1:26">
      <c r="A30" s="82">
        <v>2012</v>
      </c>
      <c r="B30" s="82" t="s">
        <v>614</v>
      </c>
      <c r="C30" s="177">
        <v>209.44890749999999</v>
      </c>
      <c r="D30" s="177">
        <v>242.51271790000001</v>
      </c>
      <c r="E30" s="177">
        <v>210.6456603</v>
      </c>
      <c r="F30" s="177">
        <v>215.355017</v>
      </c>
      <c r="G30" s="66">
        <v>16979</v>
      </c>
      <c r="H30" s="66">
        <v>6998</v>
      </c>
      <c r="I30" s="66">
        <v>19062</v>
      </c>
      <c r="J30" s="66">
        <v>43039</v>
      </c>
      <c r="S30"/>
      <c r="T30"/>
      <c r="U30"/>
      <c r="V30"/>
      <c r="W30"/>
      <c r="X30"/>
      <c r="Y30"/>
      <c r="Z30"/>
    </row>
    <row r="31" spans="1:26">
      <c r="A31" s="82">
        <v>2012</v>
      </c>
      <c r="B31" s="82" t="s">
        <v>611</v>
      </c>
      <c r="C31" s="177">
        <v>209.19319709999999</v>
      </c>
      <c r="D31" s="177">
        <v>245.20675729999999</v>
      </c>
      <c r="E31" s="177">
        <v>204.8317022</v>
      </c>
      <c r="F31" s="177">
        <v>215.00140210000001</v>
      </c>
      <c r="G31" s="66">
        <v>15611</v>
      </c>
      <c r="H31" s="66">
        <v>9412</v>
      </c>
      <c r="I31" s="66">
        <v>19039</v>
      </c>
      <c r="J31" s="66">
        <v>44062</v>
      </c>
      <c r="S31"/>
      <c r="T31"/>
      <c r="U31"/>
      <c r="V31"/>
      <c r="W31"/>
      <c r="X31"/>
      <c r="Y31"/>
      <c r="Z31"/>
    </row>
    <row r="32" spans="1:26">
      <c r="A32" s="82">
        <v>2012</v>
      </c>
      <c r="B32" s="82" t="s">
        <v>612</v>
      </c>
      <c r="C32" s="177">
        <v>208.13530639999999</v>
      </c>
      <c r="D32" s="177">
        <v>245.43477250000001</v>
      </c>
      <c r="E32" s="177">
        <v>202.5818993</v>
      </c>
      <c r="F32" s="177">
        <v>212.87605350000001</v>
      </c>
      <c r="G32" s="66">
        <v>16252</v>
      </c>
      <c r="H32" s="66">
        <v>8570</v>
      </c>
      <c r="I32" s="66">
        <v>19621</v>
      </c>
      <c r="J32" s="66">
        <v>44443</v>
      </c>
      <c r="S32"/>
      <c r="T32"/>
      <c r="U32"/>
      <c r="V32"/>
      <c r="W32"/>
      <c r="X32"/>
      <c r="Y32"/>
      <c r="Z32"/>
    </row>
    <row r="33" spans="1:26">
      <c r="A33" s="82">
        <v>2012</v>
      </c>
      <c r="B33" s="82" t="s">
        <v>613</v>
      </c>
      <c r="C33" s="177">
        <v>204.3656019</v>
      </c>
      <c r="D33" s="177">
        <v>243.0975578</v>
      </c>
      <c r="E33" s="177">
        <v>202.14980439999999</v>
      </c>
      <c r="F33" s="177">
        <v>209.8301921</v>
      </c>
      <c r="G33" s="66">
        <v>17344</v>
      </c>
      <c r="H33" s="66">
        <v>7739</v>
      </c>
      <c r="I33" s="66">
        <v>21181</v>
      </c>
      <c r="J33" s="66">
        <v>46264</v>
      </c>
      <c r="S33"/>
      <c r="T33"/>
      <c r="U33"/>
      <c r="V33"/>
      <c r="W33"/>
      <c r="X33"/>
      <c r="Y33"/>
      <c r="Z33"/>
    </row>
    <row r="34" spans="1:26">
      <c r="A34" s="82">
        <v>2013</v>
      </c>
      <c r="B34" s="82" t="s">
        <v>614</v>
      </c>
      <c r="C34" s="177">
        <v>201.30791819999999</v>
      </c>
      <c r="D34" s="177">
        <v>241.25217850000001</v>
      </c>
      <c r="E34" s="177">
        <v>201.6189957</v>
      </c>
      <c r="F34" s="177">
        <v>209.25819190000001</v>
      </c>
      <c r="G34" s="66">
        <v>16683</v>
      </c>
      <c r="H34" s="66">
        <v>9410</v>
      </c>
      <c r="I34" s="66">
        <v>22048</v>
      </c>
      <c r="J34" s="66">
        <v>48141</v>
      </c>
      <c r="S34"/>
      <c r="T34"/>
      <c r="U34"/>
      <c r="V34"/>
      <c r="W34"/>
      <c r="X34"/>
      <c r="Y34"/>
      <c r="Z34"/>
    </row>
    <row r="35" spans="1:26">
      <c r="A35" s="82">
        <v>2013</v>
      </c>
      <c r="B35" s="82" t="s">
        <v>611</v>
      </c>
      <c r="C35" s="177">
        <v>200.1080757</v>
      </c>
      <c r="D35" s="177">
        <v>242.55222800000001</v>
      </c>
      <c r="E35" s="177">
        <v>203.40145509999999</v>
      </c>
      <c r="F35" s="177">
        <v>210.9038209</v>
      </c>
      <c r="G35" s="66">
        <v>15850</v>
      </c>
      <c r="H35" s="66">
        <v>11086</v>
      </c>
      <c r="I35" s="66">
        <v>23958</v>
      </c>
      <c r="J35" s="66">
        <v>50894</v>
      </c>
      <c r="S35"/>
      <c r="T35"/>
      <c r="U35"/>
      <c r="V35"/>
      <c r="W35"/>
      <c r="X35"/>
      <c r="Y35"/>
      <c r="Z35"/>
    </row>
    <row r="36" spans="1:26">
      <c r="A36" s="82">
        <v>2013</v>
      </c>
      <c r="B36" s="82" t="s">
        <v>612</v>
      </c>
      <c r="C36" s="177">
        <v>197.7012091</v>
      </c>
      <c r="D36" s="177">
        <v>243.7022924</v>
      </c>
      <c r="E36" s="177">
        <v>203.33782170000001</v>
      </c>
      <c r="F36" s="177">
        <v>208.79043630000001</v>
      </c>
      <c r="G36" s="66">
        <v>18113</v>
      </c>
      <c r="H36" s="66">
        <v>9815</v>
      </c>
      <c r="I36" s="66">
        <v>26006</v>
      </c>
      <c r="J36" s="66">
        <v>53934</v>
      </c>
      <c r="S36"/>
      <c r="T36"/>
      <c r="U36"/>
      <c r="V36"/>
      <c r="W36"/>
      <c r="X36"/>
      <c r="Y36"/>
      <c r="Z36"/>
    </row>
    <row r="37" spans="1:26">
      <c r="A37" s="82">
        <v>2013</v>
      </c>
      <c r="B37" s="82" t="s">
        <v>613</v>
      </c>
      <c r="C37" s="177">
        <v>201.93005210000001</v>
      </c>
      <c r="D37" s="177">
        <v>246.74339939999999</v>
      </c>
      <c r="E37" s="177">
        <v>203.4296966</v>
      </c>
      <c r="F37" s="177">
        <v>210.17126039999999</v>
      </c>
      <c r="G37" s="66">
        <v>19200</v>
      </c>
      <c r="H37" s="66">
        <v>9431</v>
      </c>
      <c r="I37" s="66">
        <v>27691</v>
      </c>
      <c r="J37" s="66">
        <v>56322</v>
      </c>
      <c r="S37"/>
      <c r="T37"/>
      <c r="U37"/>
      <c r="V37"/>
      <c r="W37"/>
      <c r="X37"/>
      <c r="Y37"/>
      <c r="Z37"/>
    </row>
    <row r="38" spans="1:26">
      <c r="A38" s="82">
        <v>2014</v>
      </c>
      <c r="B38" s="82" t="s">
        <v>614</v>
      </c>
      <c r="C38" s="177">
        <v>197.44785619999999</v>
      </c>
      <c r="D38" s="177">
        <v>242.2620972</v>
      </c>
      <c r="E38" s="177">
        <v>203.45597000000001</v>
      </c>
      <c r="F38" s="177">
        <v>208.2024074</v>
      </c>
      <c r="G38" s="66">
        <v>19638</v>
      </c>
      <c r="H38" s="66">
        <v>10271</v>
      </c>
      <c r="I38" s="66">
        <v>29207</v>
      </c>
      <c r="J38" s="66">
        <v>59116</v>
      </c>
      <c r="S38"/>
      <c r="T38"/>
      <c r="U38"/>
      <c r="V38"/>
      <c r="W38"/>
      <c r="X38"/>
      <c r="Y38"/>
      <c r="Z38"/>
    </row>
    <row r="39" spans="1:26">
      <c r="A39" s="82">
        <v>2014</v>
      </c>
      <c r="B39" s="82" t="s">
        <v>611</v>
      </c>
      <c r="C39" s="177">
        <v>198.6577107</v>
      </c>
      <c r="D39" s="177">
        <v>246.60367819999999</v>
      </c>
      <c r="E39" s="177">
        <v>205.12366919999999</v>
      </c>
      <c r="F39" s="177">
        <v>211.29459700000001</v>
      </c>
      <c r="G39" s="66">
        <v>18163</v>
      </c>
      <c r="H39" s="66">
        <v>12071</v>
      </c>
      <c r="I39" s="66">
        <v>31874</v>
      </c>
      <c r="J39" s="66">
        <v>62108</v>
      </c>
      <c r="S39"/>
      <c r="T39"/>
      <c r="U39"/>
      <c r="V39"/>
      <c r="W39"/>
      <c r="X39"/>
      <c r="Y39"/>
      <c r="Z39"/>
    </row>
    <row r="40" spans="1:26">
      <c r="A40" s="82">
        <v>2014</v>
      </c>
      <c r="B40" s="82" t="s">
        <v>612</v>
      </c>
      <c r="C40" s="177">
        <v>193.14578259999999</v>
      </c>
      <c r="D40" s="177">
        <v>246.6355758</v>
      </c>
      <c r="E40" s="177">
        <v>206.46995949999999</v>
      </c>
      <c r="F40" s="177">
        <v>209.1095785</v>
      </c>
      <c r="G40" s="66">
        <v>20510</v>
      </c>
      <c r="H40" s="66">
        <v>11193</v>
      </c>
      <c r="I40" s="66">
        <v>35085</v>
      </c>
      <c r="J40" s="66">
        <v>66788</v>
      </c>
      <c r="S40"/>
      <c r="T40"/>
      <c r="U40"/>
      <c r="V40"/>
      <c r="W40"/>
      <c r="X40"/>
      <c r="Y40"/>
      <c r="Z40"/>
    </row>
    <row r="41" spans="1:26">
      <c r="A41" s="82">
        <v>2014</v>
      </c>
      <c r="B41" s="82" t="s">
        <v>613</v>
      </c>
      <c r="C41" s="177">
        <v>190.20745930000001</v>
      </c>
      <c r="D41" s="177">
        <v>248.342805</v>
      </c>
      <c r="E41" s="177">
        <v>206.44589790000001</v>
      </c>
      <c r="F41" s="177">
        <v>207.6898726</v>
      </c>
      <c r="G41" s="66">
        <v>21691</v>
      </c>
      <c r="H41" s="66">
        <v>10417</v>
      </c>
      <c r="I41" s="66">
        <v>35588</v>
      </c>
      <c r="J41" s="66">
        <v>67696</v>
      </c>
      <c r="S41"/>
      <c r="T41"/>
      <c r="U41"/>
      <c r="V41"/>
      <c r="W41"/>
      <c r="X41"/>
      <c r="Y41"/>
      <c r="Z41"/>
    </row>
    <row r="42" spans="1:26">
      <c r="A42" s="82">
        <v>2015</v>
      </c>
      <c r="B42" s="82" t="s">
        <v>614</v>
      </c>
      <c r="C42" s="177">
        <v>189.67346090000001</v>
      </c>
      <c r="D42" s="177">
        <v>244.9230632</v>
      </c>
      <c r="E42" s="177">
        <v>207.11513619999999</v>
      </c>
      <c r="F42" s="177">
        <v>207.81313130000001</v>
      </c>
      <c r="G42" s="66">
        <v>21538</v>
      </c>
      <c r="H42" s="66">
        <v>11191</v>
      </c>
      <c r="I42" s="66">
        <v>35251</v>
      </c>
      <c r="J42" s="66">
        <v>67980</v>
      </c>
      <c r="S42"/>
      <c r="T42"/>
      <c r="U42"/>
      <c r="V42"/>
      <c r="W42"/>
      <c r="X42"/>
      <c r="Y42"/>
      <c r="Z42"/>
    </row>
    <row r="43" spans="1:26">
      <c r="A43" s="82">
        <v>2015</v>
      </c>
      <c r="B43" s="82" t="s">
        <v>611</v>
      </c>
      <c r="C43" s="177">
        <v>192.77450210000001</v>
      </c>
      <c r="D43" s="177">
        <v>244.98674969999999</v>
      </c>
      <c r="E43" s="177">
        <v>206.29162170000001</v>
      </c>
      <c r="F43" s="177">
        <v>209.6103291</v>
      </c>
      <c r="G43" s="66">
        <v>19131</v>
      </c>
      <c r="H43" s="66">
        <v>12528</v>
      </c>
      <c r="I43" s="66">
        <v>36493</v>
      </c>
      <c r="J43" s="66">
        <v>68152</v>
      </c>
      <c r="S43"/>
      <c r="T43"/>
      <c r="U43"/>
      <c r="V43"/>
      <c r="W43"/>
      <c r="X43"/>
      <c r="Y43"/>
      <c r="Z43"/>
    </row>
    <row r="44" spans="1:26">
      <c r="A44" s="82">
        <v>2015</v>
      </c>
      <c r="B44" s="82" t="s">
        <v>612</v>
      </c>
      <c r="C44" s="177">
        <v>190.40836089999999</v>
      </c>
      <c r="D44" s="177">
        <v>240.09233789999999</v>
      </c>
      <c r="E44" s="177">
        <v>205.57731939999999</v>
      </c>
      <c r="F44" s="177">
        <v>207.05194259999999</v>
      </c>
      <c r="G44" s="66">
        <v>20859</v>
      </c>
      <c r="H44" s="66">
        <v>12216</v>
      </c>
      <c r="I44" s="66">
        <v>38283</v>
      </c>
      <c r="J44" s="66">
        <v>71358</v>
      </c>
      <c r="S44"/>
      <c r="T44"/>
      <c r="U44"/>
      <c r="V44"/>
      <c r="W44"/>
      <c r="X44"/>
      <c r="Y44"/>
      <c r="Z44"/>
    </row>
    <row r="45" spans="1:26">
      <c r="A45" s="82">
        <v>2015</v>
      </c>
      <c r="B45" s="82" t="s">
        <v>613</v>
      </c>
      <c r="C45" s="177">
        <v>190.7081531</v>
      </c>
      <c r="D45" s="177">
        <v>238.46772110000001</v>
      </c>
      <c r="E45" s="177">
        <v>204.88397689999999</v>
      </c>
      <c r="F45" s="177">
        <v>206.02188760000001</v>
      </c>
      <c r="G45" s="66">
        <v>21967</v>
      </c>
      <c r="H45" s="66">
        <v>11633</v>
      </c>
      <c r="I45" s="66">
        <v>36071</v>
      </c>
      <c r="J45" s="66">
        <v>69671</v>
      </c>
      <c r="S45"/>
      <c r="T45"/>
      <c r="U45"/>
      <c r="V45"/>
      <c r="W45"/>
      <c r="X45"/>
      <c r="Y45"/>
      <c r="Z45"/>
    </row>
    <row r="46" spans="1:26">
      <c r="A46" s="82">
        <v>2016</v>
      </c>
      <c r="B46" s="82" t="s">
        <v>614</v>
      </c>
      <c r="C46" s="177">
        <v>189.0943939</v>
      </c>
      <c r="D46" s="177">
        <v>235.7219987</v>
      </c>
      <c r="E46" s="177">
        <v>205.4697492</v>
      </c>
      <c r="F46" s="177">
        <v>205.8803772</v>
      </c>
      <c r="G46" s="66">
        <v>21209</v>
      </c>
      <c r="H46" s="66">
        <v>12428</v>
      </c>
      <c r="I46" s="66">
        <v>36183</v>
      </c>
      <c r="J46" s="66">
        <v>69820</v>
      </c>
      <c r="S46"/>
      <c r="T46"/>
      <c r="U46"/>
      <c r="V46"/>
      <c r="W46"/>
      <c r="X46"/>
      <c r="Y46"/>
      <c r="Z46"/>
    </row>
    <row r="47" spans="1:26">
      <c r="A47" s="82">
        <v>2016</v>
      </c>
      <c r="B47" s="82" t="s">
        <v>611</v>
      </c>
      <c r="C47" s="177">
        <v>191.72978520000001</v>
      </c>
      <c r="D47" s="177">
        <v>237.195404</v>
      </c>
      <c r="E47" s="177">
        <v>205.4360121</v>
      </c>
      <c r="F47" s="177">
        <v>207.76662189999999</v>
      </c>
      <c r="G47" s="66">
        <v>19973</v>
      </c>
      <c r="H47" s="66">
        <v>13838</v>
      </c>
      <c r="I47" s="66">
        <v>37300</v>
      </c>
      <c r="J47" s="66">
        <v>71111</v>
      </c>
      <c r="S47"/>
      <c r="T47"/>
      <c r="U47"/>
      <c r="V47"/>
      <c r="W47"/>
      <c r="X47"/>
      <c r="Y47"/>
      <c r="Z47"/>
    </row>
    <row r="48" spans="1:26">
      <c r="A48" s="82">
        <v>2016</v>
      </c>
      <c r="B48" s="82" t="s">
        <v>612</v>
      </c>
      <c r="C48" s="177">
        <v>189.55976899999999</v>
      </c>
      <c r="D48" s="177">
        <v>237.86278659999999</v>
      </c>
      <c r="E48" s="177">
        <v>204.94034429999999</v>
      </c>
      <c r="F48" s="177">
        <v>206.564325</v>
      </c>
      <c r="G48" s="66">
        <v>22336</v>
      </c>
      <c r="H48" s="66">
        <v>14175</v>
      </c>
      <c r="I48" s="66">
        <v>39312</v>
      </c>
      <c r="J48" s="66">
        <v>75823</v>
      </c>
      <c r="S48"/>
      <c r="T48"/>
      <c r="U48"/>
      <c r="V48"/>
      <c r="W48"/>
      <c r="X48"/>
      <c r="Y48"/>
      <c r="Z48"/>
    </row>
    <row r="49" spans="1:26">
      <c r="A49" s="82">
        <v>2016</v>
      </c>
      <c r="B49" s="82" t="s">
        <v>613</v>
      </c>
      <c r="C49" s="177">
        <v>189.19874129999999</v>
      </c>
      <c r="D49" s="177">
        <v>238.3053007</v>
      </c>
      <c r="E49" s="177">
        <v>203.81890150000001</v>
      </c>
      <c r="F49" s="177">
        <v>205.31722740000001</v>
      </c>
      <c r="G49" s="66">
        <v>24469</v>
      </c>
      <c r="H49" s="66">
        <v>13734</v>
      </c>
      <c r="I49" s="66">
        <v>39147</v>
      </c>
      <c r="J49" s="66">
        <v>77350</v>
      </c>
      <c r="S49"/>
      <c r="T49"/>
      <c r="U49"/>
      <c r="V49"/>
      <c r="W49"/>
      <c r="X49"/>
      <c r="Y49"/>
      <c r="Z49"/>
    </row>
    <row r="50" spans="1:26">
      <c r="A50" s="82">
        <v>2017</v>
      </c>
      <c r="B50" s="82" t="s">
        <v>614</v>
      </c>
      <c r="C50" s="177">
        <v>187.68888319999999</v>
      </c>
      <c r="D50" s="177">
        <v>237.821279</v>
      </c>
      <c r="E50" s="177">
        <v>203.6564095</v>
      </c>
      <c r="F50" s="177">
        <v>205.12544890000001</v>
      </c>
      <c r="G50" s="66">
        <v>23496</v>
      </c>
      <c r="H50" s="66">
        <v>14324</v>
      </c>
      <c r="I50" s="66">
        <v>39921</v>
      </c>
      <c r="J50" s="66">
        <v>77741</v>
      </c>
      <c r="S50"/>
      <c r="T50"/>
      <c r="U50"/>
      <c r="V50"/>
      <c r="W50"/>
      <c r="X50"/>
      <c r="Y50"/>
      <c r="Z50"/>
    </row>
    <row r="51" spans="1:26">
      <c r="A51" s="82">
        <v>2017</v>
      </c>
      <c r="B51" s="82" t="s">
        <v>611</v>
      </c>
      <c r="C51" s="177">
        <v>187.27632259999999</v>
      </c>
      <c r="D51" s="177">
        <v>239.4425827</v>
      </c>
      <c r="E51" s="177">
        <v>204.30072999999999</v>
      </c>
      <c r="F51" s="177">
        <v>207.1785726</v>
      </c>
      <c r="G51" s="66">
        <v>21265</v>
      </c>
      <c r="H51" s="66">
        <v>16711</v>
      </c>
      <c r="I51" s="66">
        <v>40288</v>
      </c>
      <c r="J51" s="66">
        <v>78264</v>
      </c>
      <c r="S51"/>
      <c r="T51"/>
      <c r="U51"/>
      <c r="V51"/>
      <c r="W51"/>
      <c r="X51"/>
      <c r="Y51"/>
      <c r="Z51"/>
    </row>
    <row r="52" spans="1:26">
      <c r="A52" s="82">
        <v>2017</v>
      </c>
      <c r="B52" s="82" t="s">
        <v>612</v>
      </c>
      <c r="C52" s="177">
        <v>183.6430297</v>
      </c>
      <c r="D52" s="177">
        <v>238.703878</v>
      </c>
      <c r="E52" s="177">
        <v>204.30410119999999</v>
      </c>
      <c r="F52" s="177">
        <v>204.93222349999999</v>
      </c>
      <c r="G52" s="66">
        <v>22352</v>
      </c>
      <c r="H52" s="66">
        <v>14879</v>
      </c>
      <c r="I52" s="66">
        <v>42400</v>
      </c>
      <c r="J52" s="66">
        <v>79631</v>
      </c>
      <c r="S52"/>
      <c r="T52"/>
      <c r="U52"/>
      <c r="V52"/>
      <c r="W52"/>
      <c r="X52"/>
      <c r="Y52"/>
      <c r="Z52"/>
    </row>
    <row r="53" spans="1:26">
      <c r="A53" s="82">
        <v>2017</v>
      </c>
      <c r="B53" s="82" t="s">
        <v>613</v>
      </c>
      <c r="C53" s="177">
        <v>184.18605199999999</v>
      </c>
      <c r="D53" s="177">
        <v>240.55580610000001</v>
      </c>
      <c r="E53" s="177">
        <v>201.4385412</v>
      </c>
      <c r="F53" s="177">
        <v>202.82250289999999</v>
      </c>
      <c r="G53" s="66">
        <v>25552</v>
      </c>
      <c r="H53" s="66">
        <v>14192</v>
      </c>
      <c r="I53" s="66">
        <v>42857</v>
      </c>
      <c r="J53" s="66">
        <v>82601</v>
      </c>
      <c r="S53"/>
      <c r="T53"/>
      <c r="U53"/>
      <c r="V53"/>
      <c r="W53"/>
      <c r="X53"/>
      <c r="Y53"/>
      <c r="Z53"/>
    </row>
    <row r="54" spans="1:26">
      <c r="A54" s="82">
        <v>2018</v>
      </c>
      <c r="B54" s="82" t="s">
        <v>614</v>
      </c>
      <c r="C54" s="177">
        <v>183.33310539999999</v>
      </c>
      <c r="D54" s="177">
        <v>238.48416499999999</v>
      </c>
      <c r="E54" s="177">
        <v>200.89833970000001</v>
      </c>
      <c r="F54" s="177">
        <v>203.0287486</v>
      </c>
      <c r="G54" s="66">
        <v>23401</v>
      </c>
      <c r="H54" s="66">
        <v>15251</v>
      </c>
      <c r="I54" s="66">
        <v>37473</v>
      </c>
      <c r="J54" s="66">
        <v>76125</v>
      </c>
      <c r="S54"/>
      <c r="T54"/>
      <c r="U54"/>
      <c r="V54"/>
      <c r="W54"/>
      <c r="X54"/>
      <c r="Y54"/>
      <c r="Z54"/>
    </row>
    <row r="55" spans="1:26">
      <c r="A55" s="82">
        <v>2018</v>
      </c>
      <c r="B55" s="82" t="s">
        <v>611</v>
      </c>
      <c r="C55" s="177">
        <v>185.12043679999999</v>
      </c>
      <c r="D55" s="177">
        <v>238.17865359999999</v>
      </c>
      <c r="E55" s="177">
        <v>198.61728220000001</v>
      </c>
      <c r="F55" s="177">
        <v>203.26299399999999</v>
      </c>
      <c r="G55" s="66">
        <v>21613</v>
      </c>
      <c r="H55" s="66">
        <v>16087</v>
      </c>
      <c r="I55" s="66">
        <v>36501</v>
      </c>
      <c r="J55" s="66">
        <v>74201</v>
      </c>
      <c r="S55"/>
      <c r="T55"/>
      <c r="U55"/>
      <c r="V55"/>
      <c r="W55"/>
      <c r="X55"/>
      <c r="Y55"/>
      <c r="Z55"/>
    </row>
    <row r="56" spans="1:26">
      <c r="A56" s="82">
        <v>2018</v>
      </c>
      <c r="B56" s="82" t="s">
        <v>612</v>
      </c>
      <c r="C56" s="177">
        <v>179.6372313</v>
      </c>
      <c r="D56" s="177">
        <v>238.7463205</v>
      </c>
      <c r="E56" s="177">
        <v>195.78010829999999</v>
      </c>
      <c r="F56" s="177">
        <v>199.33657729999999</v>
      </c>
      <c r="G56" s="66">
        <v>22422</v>
      </c>
      <c r="H56" s="66">
        <v>14676</v>
      </c>
      <c r="I56" s="66">
        <v>38431</v>
      </c>
      <c r="J56" s="66">
        <v>75529</v>
      </c>
      <c r="S56"/>
      <c r="T56"/>
      <c r="U56"/>
      <c r="V56"/>
      <c r="W56"/>
      <c r="X56"/>
      <c r="Y56"/>
      <c r="Z56"/>
    </row>
    <row r="57" spans="1:26">
      <c r="A57" s="82">
        <v>2018</v>
      </c>
      <c r="B57" s="82" t="s">
        <v>613</v>
      </c>
      <c r="C57" s="177">
        <v>180.53444300000001</v>
      </c>
      <c r="D57" s="177">
        <v>239.36369070000001</v>
      </c>
      <c r="E57" s="177">
        <v>192.30609849999999</v>
      </c>
      <c r="F57" s="177">
        <v>197.87674329999999</v>
      </c>
      <c r="G57" s="66">
        <v>25172</v>
      </c>
      <c r="H57" s="66">
        <v>15065</v>
      </c>
      <c r="I57" s="66">
        <v>33831</v>
      </c>
      <c r="J57" s="66">
        <v>74068</v>
      </c>
      <c r="S57"/>
      <c r="T57"/>
      <c r="U57"/>
      <c r="V57"/>
      <c r="W57"/>
      <c r="X57"/>
      <c r="Y57"/>
      <c r="Z57"/>
    </row>
    <row r="58" spans="1:26">
      <c r="A58" s="82">
        <v>2019</v>
      </c>
      <c r="B58" s="82" t="s">
        <v>614</v>
      </c>
      <c r="C58" s="177">
        <v>179.171875</v>
      </c>
      <c r="D58" s="177">
        <v>237.91295589999999</v>
      </c>
      <c r="E58" s="177">
        <v>191.16516859999999</v>
      </c>
      <c r="F58" s="177">
        <v>197.2217416</v>
      </c>
      <c r="G58" s="66">
        <v>22080</v>
      </c>
      <c r="H58" s="66">
        <v>14889</v>
      </c>
      <c r="I58" s="66">
        <v>34229</v>
      </c>
      <c r="J58" s="66">
        <v>71198</v>
      </c>
      <c r="S58"/>
      <c r="T58"/>
      <c r="U58"/>
      <c r="V58"/>
      <c r="W58"/>
      <c r="X58"/>
      <c r="Y58"/>
      <c r="Z58"/>
    </row>
    <row r="59" spans="1:26">
      <c r="A59" s="82">
        <v>2019</v>
      </c>
      <c r="B59" s="82" t="s">
        <v>611</v>
      </c>
      <c r="C59" s="177">
        <v>176.6010368</v>
      </c>
      <c r="D59" s="177">
        <v>239.9524773</v>
      </c>
      <c r="E59" s="177">
        <v>188.55012239999999</v>
      </c>
      <c r="F59" s="177">
        <v>196.63226040000001</v>
      </c>
      <c r="G59" s="66">
        <v>19483</v>
      </c>
      <c r="H59" s="66">
        <v>15319</v>
      </c>
      <c r="I59" s="66">
        <v>33822</v>
      </c>
      <c r="J59" s="66">
        <v>68624</v>
      </c>
      <c r="S59"/>
      <c r="T59"/>
      <c r="U59"/>
      <c r="V59"/>
      <c r="W59"/>
      <c r="X59"/>
      <c r="Y59"/>
      <c r="Z59"/>
    </row>
    <row r="60" spans="1:26">
      <c r="A60" s="82">
        <v>2019</v>
      </c>
      <c r="B60" s="82" t="s">
        <v>612</v>
      </c>
      <c r="C60" s="177">
        <v>175.80495339999999</v>
      </c>
      <c r="D60" s="177">
        <v>240.1733581</v>
      </c>
      <c r="E60" s="177">
        <v>187.32577929999999</v>
      </c>
      <c r="F60" s="177">
        <v>193.47271599999999</v>
      </c>
      <c r="G60" s="66">
        <v>22974</v>
      </c>
      <c r="H60" s="66">
        <v>13475</v>
      </c>
      <c r="I60" s="66">
        <v>36342</v>
      </c>
      <c r="J60" s="66">
        <v>72791</v>
      </c>
      <c r="S60"/>
      <c r="T60"/>
      <c r="U60"/>
      <c r="V60"/>
      <c r="W60"/>
      <c r="X60"/>
      <c r="Y60"/>
      <c r="Z60"/>
    </row>
    <row r="61" spans="1:26">
      <c r="A61" s="82">
        <v>2019</v>
      </c>
      <c r="B61" s="82" t="s">
        <v>613</v>
      </c>
      <c r="C61" s="177">
        <v>172.73658829999999</v>
      </c>
      <c r="D61" s="177">
        <v>242.1675631</v>
      </c>
      <c r="E61" s="177">
        <v>185.60080289999999</v>
      </c>
      <c r="F61" s="177">
        <v>191.52466519999999</v>
      </c>
      <c r="G61" s="66">
        <v>24680</v>
      </c>
      <c r="H61" s="66">
        <v>13201</v>
      </c>
      <c r="I61" s="66">
        <v>34580</v>
      </c>
      <c r="J61" s="66">
        <v>72461</v>
      </c>
      <c r="S61"/>
      <c r="T61"/>
      <c r="U61"/>
      <c r="V61"/>
      <c r="W61"/>
      <c r="X61"/>
      <c r="Y61"/>
      <c r="Z61"/>
    </row>
    <row r="62" spans="1:26">
      <c r="A62" s="82">
        <v>2020</v>
      </c>
      <c r="B62" s="82" t="s">
        <v>614</v>
      </c>
      <c r="C62" s="177">
        <v>176.09821109999999</v>
      </c>
      <c r="D62" s="177">
        <v>240.27333849999999</v>
      </c>
      <c r="E62" s="177">
        <v>182.58870519999999</v>
      </c>
      <c r="F62" s="177">
        <v>191.37380229999999</v>
      </c>
      <c r="G62" s="66">
        <v>19509</v>
      </c>
      <c r="H62" s="66">
        <v>11601</v>
      </c>
      <c r="I62" s="66">
        <v>30651</v>
      </c>
      <c r="J62" s="66">
        <v>61761</v>
      </c>
      <c r="S62"/>
      <c r="T62"/>
      <c r="U62"/>
      <c r="V62"/>
      <c r="W62"/>
      <c r="X62"/>
      <c r="Y62"/>
      <c r="Z62"/>
    </row>
    <row r="63" spans="1:26">
      <c r="A63" s="82">
        <v>2020</v>
      </c>
      <c r="B63" s="82" t="s">
        <v>611</v>
      </c>
      <c r="C63" s="177">
        <v>176.30436940000001</v>
      </c>
      <c r="D63" s="177">
        <v>243.08530619999999</v>
      </c>
      <c r="E63" s="177">
        <v>187.8961941</v>
      </c>
      <c r="F63" s="177">
        <v>194.5635647</v>
      </c>
      <c r="G63" s="66">
        <v>12084</v>
      </c>
      <c r="H63" s="66">
        <v>7561</v>
      </c>
      <c r="I63" s="66">
        <v>21932</v>
      </c>
      <c r="J63" s="66">
        <v>41577</v>
      </c>
    </row>
    <row r="64" spans="1:26">
      <c r="A64" s="82">
        <v>2020</v>
      </c>
      <c r="B64" s="82" t="s">
        <v>612</v>
      </c>
      <c r="C64" s="177">
        <v>173.97693939999999</v>
      </c>
      <c r="D64" s="177">
        <v>241.23399119999999</v>
      </c>
      <c r="E64" s="177">
        <v>186.23988879999999</v>
      </c>
      <c r="F64" s="177">
        <v>192.45030610000001</v>
      </c>
      <c r="G64" s="66">
        <v>20251</v>
      </c>
      <c r="H64" s="66">
        <v>11603</v>
      </c>
      <c r="I64" s="66">
        <v>30905</v>
      </c>
      <c r="J64" s="66">
        <v>62759</v>
      </c>
    </row>
    <row r="65" spans="1:17">
      <c r="A65" s="82">
        <v>2020</v>
      </c>
      <c r="B65" s="82" t="s">
        <v>613</v>
      </c>
      <c r="C65" s="177">
        <v>174.94420869999999</v>
      </c>
      <c r="D65" s="177">
        <v>236.07542710000001</v>
      </c>
      <c r="E65" s="177">
        <v>184.4446729</v>
      </c>
      <c r="F65" s="177">
        <v>191.05991069999999</v>
      </c>
      <c r="G65" s="66">
        <v>19322</v>
      </c>
      <c r="H65" s="66">
        <v>11004</v>
      </c>
      <c r="I65" s="66">
        <v>27809</v>
      </c>
      <c r="J65" s="66">
        <v>58135</v>
      </c>
    </row>
    <row r="66" spans="1:17">
      <c r="A66" s="82">
        <v>2021</v>
      </c>
      <c r="B66" s="82" t="s">
        <v>614</v>
      </c>
      <c r="C66" s="177">
        <v>176.6683549</v>
      </c>
      <c r="D66" s="177">
        <v>237.78677479999999</v>
      </c>
      <c r="E66" s="177">
        <v>180.742062</v>
      </c>
      <c r="F66" s="177">
        <v>191.4363893</v>
      </c>
      <c r="G66" s="66">
        <v>25075</v>
      </c>
      <c r="H66" s="66">
        <v>14548</v>
      </c>
      <c r="I66" s="66">
        <v>28426</v>
      </c>
      <c r="J66" s="66">
        <v>68049</v>
      </c>
    </row>
    <row r="67" spans="1:17">
      <c r="A67" s="82">
        <v>2021</v>
      </c>
      <c r="B67" s="82" t="s">
        <v>611</v>
      </c>
      <c r="C67" s="177">
        <v>172.17224859999999</v>
      </c>
      <c r="D67" s="177">
        <v>239.5328911</v>
      </c>
      <c r="E67" s="177">
        <v>182.69621770000001</v>
      </c>
      <c r="F67" s="177">
        <v>190.4037572</v>
      </c>
      <c r="G67" s="66">
        <v>26096</v>
      </c>
      <c r="H67" s="66">
        <v>14624</v>
      </c>
      <c r="I67" s="66">
        <v>31488</v>
      </c>
      <c r="J67" s="66">
        <v>72208</v>
      </c>
    </row>
    <row r="68" spans="1:17">
      <c r="A68" s="82">
        <v>2021</v>
      </c>
      <c r="B68" s="82" t="s">
        <v>612</v>
      </c>
      <c r="C68" s="177">
        <v>166.86320140000001</v>
      </c>
      <c r="D68" s="177">
        <v>237.9109819</v>
      </c>
      <c r="E68" s="177">
        <v>181.63834249999999</v>
      </c>
      <c r="F68" s="177">
        <v>187.55734419999999</v>
      </c>
      <c r="G68" s="66">
        <v>22259</v>
      </c>
      <c r="H68" s="66">
        <v>12211</v>
      </c>
      <c r="I68" s="66">
        <v>26058</v>
      </c>
      <c r="J68" s="66">
        <v>60528</v>
      </c>
    </row>
    <row r="69" spans="1:17">
      <c r="A69" s="82">
        <v>2021</v>
      </c>
      <c r="B69" s="82" t="s">
        <v>613</v>
      </c>
      <c r="C69" s="177">
        <v>166.8002443</v>
      </c>
      <c r="D69" s="177">
        <v>236.7853107</v>
      </c>
      <c r="E69" s="177">
        <v>182.04985049999999</v>
      </c>
      <c r="F69" s="177">
        <v>188.20243669999999</v>
      </c>
      <c r="G69" s="66">
        <v>23739</v>
      </c>
      <c r="H69" s="66">
        <v>14337</v>
      </c>
      <c r="I69" s="66">
        <v>30632</v>
      </c>
      <c r="J69" s="66">
        <v>68708</v>
      </c>
    </row>
    <row r="70" spans="1:17">
      <c r="A70" s="82">
        <v>2022</v>
      </c>
      <c r="B70" s="82" t="s">
        <v>614</v>
      </c>
      <c r="C70" s="177">
        <v>175.57909860000001</v>
      </c>
      <c r="D70" s="177">
        <v>239.9954113</v>
      </c>
      <c r="E70" s="177">
        <v>198.75816750000001</v>
      </c>
      <c r="F70" s="177">
        <v>202.5437196</v>
      </c>
      <c r="G70" s="66">
        <v>22276</v>
      </c>
      <c r="H70" s="66">
        <v>20485</v>
      </c>
      <c r="I70" s="66">
        <v>43992</v>
      </c>
      <c r="J70" s="66">
        <v>86753</v>
      </c>
    </row>
    <row r="71" spans="1:17">
      <c r="A71" s="82">
        <v>2022</v>
      </c>
      <c r="B71" s="82" t="s">
        <v>611</v>
      </c>
      <c r="C71" s="177">
        <v>149.28434139999999</v>
      </c>
      <c r="D71" s="177">
        <v>228.96418259999999</v>
      </c>
      <c r="E71" s="177">
        <v>135.7661276</v>
      </c>
      <c r="F71" s="177">
        <v>154.90865529999999</v>
      </c>
      <c r="G71" s="66">
        <v>25494</v>
      </c>
      <c r="H71" s="66">
        <v>6924</v>
      </c>
      <c r="I71" s="66">
        <v>19296</v>
      </c>
      <c r="J71" s="66">
        <v>51714</v>
      </c>
    </row>
    <row r="72" spans="1:17">
      <c r="A72" s="82">
        <v>2022</v>
      </c>
      <c r="B72" s="82" t="s">
        <v>612</v>
      </c>
      <c r="C72" s="177">
        <v>155.84474270000001</v>
      </c>
      <c r="D72" s="177">
        <v>233.42030650000001</v>
      </c>
      <c r="E72" s="177">
        <v>140.17854790000001</v>
      </c>
      <c r="F72" s="177">
        <v>164.05059679999999</v>
      </c>
      <c r="G72" s="66">
        <v>22949</v>
      </c>
      <c r="H72" s="66">
        <v>10440</v>
      </c>
      <c r="I72" s="66">
        <v>22449</v>
      </c>
      <c r="J72" s="66">
        <v>55838</v>
      </c>
    </row>
    <row r="73" spans="1:17">
      <c r="A73" s="82">
        <v>2022</v>
      </c>
      <c r="B73" s="82" t="s">
        <v>613</v>
      </c>
      <c r="C73" s="177">
        <v>153.70435689999999</v>
      </c>
      <c r="D73" s="177">
        <v>233.5161703</v>
      </c>
      <c r="E73" s="177">
        <v>143.70278819999999</v>
      </c>
      <c r="F73" s="177">
        <v>166.7817149</v>
      </c>
      <c r="G73" s="66">
        <v>22906</v>
      </c>
      <c r="H73" s="66">
        <v>11719</v>
      </c>
      <c r="I73" s="66">
        <v>20907</v>
      </c>
      <c r="J73" s="66">
        <v>55532</v>
      </c>
    </row>
    <row r="74" spans="1:17">
      <c r="A74" s="82">
        <v>2023</v>
      </c>
      <c r="B74" s="82" t="s">
        <v>614</v>
      </c>
      <c r="C74" s="177">
        <v>150.66325570000001</v>
      </c>
      <c r="D74" s="177">
        <v>234.436497</v>
      </c>
      <c r="E74" s="177">
        <v>137.5635451</v>
      </c>
      <c r="F74" s="177">
        <v>161.40585830000001</v>
      </c>
      <c r="G74" s="66">
        <v>21206</v>
      </c>
      <c r="H74" s="66">
        <v>10905</v>
      </c>
      <c r="I74" s="66">
        <v>23848</v>
      </c>
      <c r="J74" s="66">
        <v>55959</v>
      </c>
    </row>
    <row r="75" spans="1:17">
      <c r="A75" s="82">
        <v>2023</v>
      </c>
      <c r="B75" s="82" t="s">
        <v>611</v>
      </c>
      <c r="C75" s="177">
        <v>144.9340186</v>
      </c>
      <c r="D75" s="177">
        <v>237.83823530000001</v>
      </c>
      <c r="E75" s="177">
        <v>140.52714069999999</v>
      </c>
      <c r="F75" s="177">
        <v>159.9868209</v>
      </c>
      <c r="G75" s="66">
        <v>27144</v>
      </c>
      <c r="H75" s="66">
        <v>13668</v>
      </c>
      <c r="I75" s="66">
        <v>33684</v>
      </c>
      <c r="J75" s="66">
        <v>74496</v>
      </c>
    </row>
    <row r="76" spans="1:17">
      <c r="A76" s="82">
        <v>2023</v>
      </c>
      <c r="B76" s="82" t="s">
        <v>612</v>
      </c>
      <c r="C76" s="177">
        <v>139.8477211</v>
      </c>
      <c r="D76" s="177">
        <v>238.0138685</v>
      </c>
      <c r="E76" s="177">
        <v>124.6271686</v>
      </c>
      <c r="F76" s="177">
        <v>145.4495924</v>
      </c>
      <c r="G76" s="66">
        <v>15117</v>
      </c>
      <c r="H76" s="66">
        <v>6129</v>
      </c>
      <c r="I76" s="66">
        <v>23179</v>
      </c>
      <c r="J76" s="66">
        <v>44425</v>
      </c>
    </row>
    <row r="77" spans="1:17">
      <c r="A77" s="82">
        <v>2023</v>
      </c>
      <c r="B77" s="82" t="s">
        <v>613</v>
      </c>
      <c r="C77" s="177">
        <v>125.7030848</v>
      </c>
      <c r="D77" s="177">
        <v>231.40430699999999</v>
      </c>
      <c r="E77" s="177">
        <v>118.76025370000001</v>
      </c>
      <c r="F77" s="177">
        <v>133.33651699999999</v>
      </c>
      <c r="G77" s="66">
        <v>21363</v>
      </c>
      <c r="H77" s="66">
        <v>6176</v>
      </c>
      <c r="I77" s="66">
        <v>30364</v>
      </c>
      <c r="J77" s="66">
        <v>57903</v>
      </c>
    </row>
    <row r="78" spans="1:17">
      <c r="A78" s="82"/>
      <c r="B78" s="82"/>
      <c r="C78" s="177"/>
      <c r="D78" s="177"/>
      <c r="E78" s="177"/>
      <c r="F78" s="177"/>
      <c r="G78" s="66"/>
      <c r="H78" s="66"/>
      <c r="I78" s="66"/>
      <c r="J78" s="66"/>
    </row>
    <row r="79" spans="1:17">
      <c r="A79" s="82"/>
      <c r="B79" s="82"/>
      <c r="C79" s="177"/>
      <c r="D79" s="177"/>
      <c r="E79" s="177"/>
      <c r="F79" s="177"/>
      <c r="G79" s="66"/>
      <c r="H79" s="66"/>
      <c r="I79" s="66"/>
      <c r="J79" s="66"/>
    </row>
    <row r="80" spans="1:17" ht="13">
      <c r="A80" s="190" t="s">
        <v>615</v>
      </c>
      <c r="B80" s="82"/>
      <c r="C80" s="85"/>
      <c r="D80" s="85"/>
      <c r="E80" s="85"/>
      <c r="F80"/>
      <c r="G80"/>
      <c r="H80"/>
      <c r="I80"/>
      <c r="J80"/>
      <c r="K80"/>
      <c r="L80"/>
      <c r="M80"/>
      <c r="N80"/>
      <c r="O80"/>
      <c r="P80"/>
      <c r="Q80"/>
    </row>
    <row r="81" spans="1:17">
      <c r="A81" s="82"/>
      <c r="B81" s="82"/>
      <c r="C81" s="85"/>
      <c r="D81" s="85"/>
      <c r="E81" s="85"/>
      <c r="F81"/>
      <c r="G81"/>
      <c r="H81"/>
      <c r="I81"/>
      <c r="J81"/>
      <c r="K81"/>
      <c r="L81"/>
      <c r="M81"/>
      <c r="N81"/>
      <c r="O81"/>
      <c r="P81"/>
      <c r="Q81"/>
    </row>
    <row r="82" spans="1:17">
      <c r="A82" s="82"/>
      <c r="B82" s="82"/>
      <c r="C82" s="85"/>
      <c r="D82" s="85"/>
      <c r="E82" s="85"/>
      <c r="F82"/>
      <c r="G82"/>
      <c r="H82"/>
      <c r="I82"/>
      <c r="J82"/>
      <c r="K82"/>
      <c r="L82"/>
      <c r="M82"/>
      <c r="N82"/>
      <c r="O82"/>
      <c r="P82"/>
      <c r="Q82"/>
    </row>
    <row r="83" spans="1:17">
      <c r="A83" s="82"/>
      <c r="B83" s="82"/>
      <c r="C83" s="85"/>
      <c r="D83" s="85"/>
      <c r="E83" s="85"/>
      <c r="F83"/>
      <c r="G83"/>
      <c r="H83"/>
      <c r="I83"/>
      <c r="J83"/>
      <c r="K83"/>
      <c r="L83"/>
      <c r="M83"/>
      <c r="N83"/>
      <c r="O83"/>
      <c r="P83"/>
      <c r="Q83"/>
    </row>
    <row r="84" spans="1:17">
      <c r="A84" s="82"/>
      <c r="B84" s="82"/>
      <c r="C84" s="85"/>
      <c r="D84" s="85"/>
      <c r="E84" s="85"/>
      <c r="F84"/>
      <c r="G84"/>
      <c r="H84"/>
      <c r="I84"/>
      <c r="J84"/>
      <c r="K84"/>
      <c r="L84"/>
      <c r="M84"/>
      <c r="N84"/>
      <c r="O84"/>
      <c r="P84"/>
      <c r="Q84"/>
    </row>
    <row r="85" spans="1:17">
      <c r="A85" s="82"/>
      <c r="B85" s="82"/>
      <c r="C85" s="85"/>
      <c r="D85" s="85"/>
      <c r="E85" s="85"/>
      <c r="F85"/>
      <c r="G85"/>
      <c r="H85"/>
      <c r="I85"/>
      <c r="J85"/>
      <c r="K85"/>
      <c r="L85"/>
      <c r="M85"/>
      <c r="N85"/>
      <c r="O85"/>
      <c r="P85"/>
      <c r="Q85"/>
    </row>
    <row r="86" spans="1:17">
      <c r="F86"/>
      <c r="G86"/>
      <c r="H86"/>
      <c r="I86"/>
      <c r="J86"/>
      <c r="K86"/>
      <c r="L86"/>
      <c r="M86"/>
      <c r="N86"/>
      <c r="O86"/>
      <c r="P86"/>
      <c r="Q86"/>
    </row>
    <row r="87" spans="1:17">
      <c r="F87"/>
      <c r="G87"/>
      <c r="H87"/>
      <c r="I87"/>
      <c r="J87"/>
      <c r="K87"/>
      <c r="L87"/>
      <c r="M87"/>
      <c r="N87"/>
      <c r="O87"/>
      <c r="P87"/>
      <c r="Q87"/>
    </row>
    <row r="88" spans="1:17">
      <c r="F88"/>
      <c r="G88"/>
      <c r="H88"/>
      <c r="I88"/>
      <c r="J88"/>
      <c r="K88"/>
      <c r="L88"/>
      <c r="M88"/>
      <c r="N88"/>
      <c r="O88"/>
      <c r="P88"/>
      <c r="Q88"/>
    </row>
    <row r="89" spans="1:17">
      <c r="F89"/>
      <c r="G89"/>
      <c r="H89"/>
      <c r="I89"/>
      <c r="J89"/>
      <c r="K89"/>
      <c r="L89"/>
      <c r="M89"/>
      <c r="N89"/>
      <c r="O89"/>
      <c r="P89"/>
      <c r="Q89"/>
    </row>
  </sheetData>
  <autoFilter ref="A2:J65" xr:uid="{00000000-0009-0000-0000-000023000000}"/>
  <hyperlinks>
    <hyperlink ref="N1:O1" location="Contents!A1" display="Back to Contents" xr:uid="{00000000-0004-0000-2300-000000000000}"/>
  </hyperlinks>
  <pageMargins left="0.75" right="0.75" top="1" bottom="1" header="0.5" footer="0.5"/>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39997558519241921"/>
  </sheetPr>
  <dimension ref="A1:BG70"/>
  <sheetViews>
    <sheetView workbookViewId="0"/>
  </sheetViews>
  <sheetFormatPr defaultColWidth="8.81640625" defaultRowHeight="12.5"/>
  <cols>
    <col min="1" max="1" width="34.453125" customWidth="1"/>
    <col min="2" max="2" width="18.453125" customWidth="1"/>
    <col min="4" max="4" width="36.7265625" customWidth="1"/>
    <col min="5" max="5" width="14.453125" customWidth="1"/>
    <col min="7" max="7" width="15.26953125" style="104" customWidth="1"/>
    <col min="8" max="11" width="7.81640625" customWidth="1"/>
    <col min="12" max="12" width="4.453125" bestFit="1" customWidth="1"/>
    <col min="13" max="14" width="10.81640625" customWidth="1"/>
    <col min="15" max="17" width="5.26953125" customWidth="1"/>
    <col min="18" max="18" width="5.26953125" bestFit="1" customWidth="1"/>
    <col min="19" max="19" width="5.26953125" customWidth="1"/>
    <col min="20" max="24" width="5.26953125" bestFit="1" customWidth="1"/>
    <col min="25" max="26" width="6.1796875" bestFit="1" customWidth="1"/>
    <col min="27" max="29" width="5.26953125" bestFit="1" customWidth="1"/>
    <col min="30" max="38" width="6.1796875" bestFit="1" customWidth="1"/>
    <col min="39" max="41" width="5.26953125" bestFit="1" customWidth="1"/>
    <col min="42" max="43" width="5.453125" customWidth="1"/>
    <col min="44" max="44" width="5.81640625" customWidth="1"/>
    <col min="45" max="45" width="6.453125" customWidth="1"/>
    <col min="46" max="46" width="7.1796875" customWidth="1"/>
    <col min="47" max="47" width="7" customWidth="1"/>
  </cols>
  <sheetData>
    <row r="1" spans="1:47" ht="14">
      <c r="A1" s="17" t="s">
        <v>616</v>
      </c>
      <c r="B1" s="13"/>
      <c r="D1" s="17" t="s">
        <v>617</v>
      </c>
      <c r="E1" s="13"/>
      <c r="G1" s="103" t="s">
        <v>618</v>
      </c>
      <c r="H1" s="13"/>
      <c r="I1" s="13"/>
      <c r="J1" s="13"/>
      <c r="K1" s="162"/>
      <c r="M1" s="212" t="s">
        <v>79</v>
      </c>
      <c r="N1" s="212"/>
    </row>
    <row r="2" spans="1:47">
      <c r="A2" s="42" t="s">
        <v>619</v>
      </c>
      <c r="B2" s="49" t="s">
        <v>92</v>
      </c>
      <c r="D2" s="42" t="s">
        <v>619</v>
      </c>
      <c r="E2" s="49" t="s">
        <v>92</v>
      </c>
      <c r="H2" s="216" t="s">
        <v>458</v>
      </c>
      <c r="I2" s="216"/>
      <c r="J2" s="216" t="s">
        <v>459</v>
      </c>
      <c r="K2" s="216"/>
    </row>
    <row r="3" spans="1:47" ht="14.5">
      <c r="A3" s="42" t="s">
        <v>620</v>
      </c>
      <c r="B3" s="49">
        <v>273</v>
      </c>
      <c r="D3" s="42" t="s">
        <v>621</v>
      </c>
      <c r="E3" s="49">
        <v>4</v>
      </c>
      <c r="G3" s="77" t="s">
        <v>207</v>
      </c>
      <c r="H3" s="49" t="s">
        <v>622</v>
      </c>
      <c r="I3" s="49" t="s">
        <v>623</v>
      </c>
      <c r="J3" s="49" t="s">
        <v>622</v>
      </c>
      <c r="K3" s="49" t="s">
        <v>623</v>
      </c>
      <c r="M3" s="204"/>
      <c r="N3" s="204"/>
    </row>
    <row r="4" spans="1:47" ht="14.5">
      <c r="A4" s="42" t="s">
        <v>624</v>
      </c>
      <c r="B4" s="49">
        <v>43272</v>
      </c>
      <c r="D4" s="42" t="s">
        <v>625</v>
      </c>
      <c r="E4" s="49">
        <v>27286</v>
      </c>
      <c r="G4" s="77">
        <v>1968</v>
      </c>
      <c r="H4" s="42">
        <v>22352</v>
      </c>
      <c r="I4" s="42">
        <v>34946</v>
      </c>
      <c r="J4" s="42">
        <v>82</v>
      </c>
      <c r="K4" s="42">
        <v>330</v>
      </c>
      <c r="M4" s="204"/>
      <c r="N4" s="204"/>
    </row>
    <row r="5" spans="1:47" ht="14.5">
      <c r="A5" s="42" t="s">
        <v>626</v>
      </c>
      <c r="B5" s="49">
        <v>144440</v>
      </c>
      <c r="C5" s="42"/>
      <c r="D5" s="42" t="s">
        <v>627</v>
      </c>
      <c r="E5" s="49">
        <v>25783</v>
      </c>
      <c r="G5" s="77">
        <v>1969</v>
      </c>
      <c r="H5" s="42">
        <v>1600</v>
      </c>
      <c r="I5" s="42">
        <v>2919</v>
      </c>
      <c r="J5" s="42">
        <v>7</v>
      </c>
      <c r="K5" s="42">
        <v>32</v>
      </c>
      <c r="M5" s="204"/>
      <c r="N5" s="204"/>
    </row>
    <row r="6" spans="1:47" ht="14.5">
      <c r="A6" s="42" t="s">
        <v>628</v>
      </c>
      <c r="B6" s="49">
        <v>15601</v>
      </c>
      <c r="C6" s="42"/>
      <c r="D6" s="42" t="s">
        <v>629</v>
      </c>
      <c r="E6" s="49">
        <v>169430</v>
      </c>
      <c r="F6" s="7"/>
      <c r="G6" s="77">
        <v>1970</v>
      </c>
      <c r="H6" s="42">
        <v>1428</v>
      </c>
      <c r="I6" s="42">
        <v>4288</v>
      </c>
      <c r="J6" s="42">
        <v>6</v>
      </c>
      <c r="K6" s="42">
        <v>53</v>
      </c>
      <c r="M6" s="204"/>
      <c r="N6" s="204"/>
      <c r="AS6" s="57"/>
    </row>
    <row r="7" spans="1:47" ht="14.5">
      <c r="A7" s="42" t="s">
        <v>630</v>
      </c>
      <c r="B7" s="49">
        <v>283471</v>
      </c>
      <c r="C7" s="42"/>
      <c r="D7" s="42" t="s">
        <v>631</v>
      </c>
      <c r="E7" s="49">
        <v>16957</v>
      </c>
      <c r="F7" s="42"/>
      <c r="G7" s="77">
        <v>1971</v>
      </c>
      <c r="H7" s="42">
        <v>1068</v>
      </c>
      <c r="I7" s="42">
        <v>4733</v>
      </c>
      <c r="J7" s="42">
        <v>10</v>
      </c>
      <c r="K7" s="42">
        <v>71</v>
      </c>
      <c r="M7" s="204"/>
      <c r="N7" s="204"/>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97"/>
      <c r="AT7" s="42"/>
      <c r="AU7" s="97"/>
    </row>
    <row r="8" spans="1:47" ht="14.5">
      <c r="A8" s="42" t="s">
        <v>632</v>
      </c>
      <c r="B8" s="49">
        <v>16084</v>
      </c>
      <c r="C8" s="42"/>
      <c r="D8" s="42" t="s">
        <v>633</v>
      </c>
      <c r="E8" s="49">
        <v>360269</v>
      </c>
      <c r="F8" s="42"/>
      <c r="G8" s="77">
        <v>1972</v>
      </c>
      <c r="H8" s="42">
        <v>1216</v>
      </c>
      <c r="I8" s="42">
        <v>5228</v>
      </c>
      <c r="J8" s="42">
        <v>7</v>
      </c>
      <c r="K8" s="42">
        <v>74</v>
      </c>
      <c r="M8" s="204"/>
      <c r="N8" s="204"/>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57"/>
      <c r="AT8" s="42"/>
      <c r="AU8" s="57"/>
    </row>
    <row r="9" spans="1:47" ht="14.5">
      <c r="A9" s="42" t="s">
        <v>634</v>
      </c>
      <c r="B9" s="49">
        <v>621235</v>
      </c>
      <c r="C9" s="42"/>
      <c r="D9" s="42" t="s">
        <v>635</v>
      </c>
      <c r="E9" s="49">
        <v>40516</v>
      </c>
      <c r="F9" s="42"/>
      <c r="G9" s="77">
        <v>1973</v>
      </c>
      <c r="H9" s="42">
        <v>1154</v>
      </c>
      <c r="I9" s="42">
        <v>5349</v>
      </c>
      <c r="J9" s="42">
        <v>13</v>
      </c>
      <c r="K9" s="42">
        <v>93</v>
      </c>
      <c r="M9" s="204"/>
      <c r="N9" s="204"/>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57"/>
      <c r="AT9" s="42"/>
      <c r="AU9" s="57"/>
    </row>
    <row r="10" spans="1:47" ht="14.5">
      <c r="A10" s="42" t="s">
        <v>636</v>
      </c>
      <c r="B10" s="49">
        <v>130978</v>
      </c>
      <c r="C10" s="42"/>
      <c r="D10" s="42" t="s">
        <v>637</v>
      </c>
      <c r="E10" s="49">
        <v>77269</v>
      </c>
      <c r="F10" s="42"/>
      <c r="G10" s="77">
        <v>1974</v>
      </c>
      <c r="H10" s="42">
        <v>928</v>
      </c>
      <c r="I10" s="42">
        <v>5664</v>
      </c>
      <c r="J10" s="42">
        <v>9</v>
      </c>
      <c r="K10" s="42">
        <v>88</v>
      </c>
      <c r="M10" s="204"/>
      <c r="N10" s="204"/>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57"/>
      <c r="AT10" s="42"/>
      <c r="AU10" s="57"/>
    </row>
    <row r="11" spans="1:47" ht="14.5">
      <c r="A11" s="42" t="s">
        <v>638</v>
      </c>
      <c r="B11" s="49">
        <v>194650</v>
      </c>
      <c r="C11" s="42"/>
      <c r="D11" s="42" t="s">
        <v>639</v>
      </c>
      <c r="E11" s="49">
        <v>8205</v>
      </c>
      <c r="F11" s="44"/>
      <c r="G11" s="77">
        <v>1975</v>
      </c>
      <c r="H11" s="42">
        <v>613</v>
      </c>
      <c r="I11" s="42">
        <v>3677</v>
      </c>
      <c r="J11" s="42">
        <v>12</v>
      </c>
      <c r="K11" s="42">
        <v>93</v>
      </c>
      <c r="M11" s="204"/>
      <c r="N11" s="204"/>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S11" s="57"/>
      <c r="AU11" s="57"/>
    </row>
    <row r="12" spans="1:47" ht="14.5">
      <c r="A12" s="42" t="s">
        <v>640</v>
      </c>
      <c r="B12" s="49">
        <v>47452</v>
      </c>
      <c r="C12" s="42"/>
      <c r="D12" s="42" t="s">
        <v>641</v>
      </c>
      <c r="E12" s="49">
        <v>2356</v>
      </c>
      <c r="F12" s="42"/>
      <c r="G12" s="77">
        <v>1976</v>
      </c>
      <c r="H12" s="42">
        <v>682</v>
      </c>
      <c r="I12" s="42">
        <v>3149</v>
      </c>
      <c r="J12" s="42">
        <v>15</v>
      </c>
      <c r="K12" s="42">
        <v>105</v>
      </c>
      <c r="M12" s="204"/>
      <c r="N12" s="204"/>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97"/>
      <c r="AT12" s="42"/>
      <c r="AU12" s="97"/>
    </row>
    <row r="13" spans="1:47" ht="14.5">
      <c r="A13" s="42" t="s">
        <v>642</v>
      </c>
      <c r="B13" s="49">
        <v>163079</v>
      </c>
      <c r="C13" s="42"/>
      <c r="D13" s="42" t="s">
        <v>643</v>
      </c>
      <c r="E13" s="49">
        <v>7621</v>
      </c>
      <c r="F13" s="42"/>
      <c r="G13" s="77">
        <v>1977</v>
      </c>
      <c r="H13" s="42">
        <v>763</v>
      </c>
      <c r="I13" s="42">
        <v>3226</v>
      </c>
      <c r="J13" s="42">
        <v>25</v>
      </c>
      <c r="K13" s="42">
        <v>126</v>
      </c>
      <c r="M13" s="204"/>
      <c r="N13" s="204"/>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57"/>
      <c r="AT13" s="57"/>
      <c r="AU13" s="57"/>
    </row>
    <row r="14" spans="1:47" ht="14.5">
      <c r="A14" s="42" t="s">
        <v>644</v>
      </c>
      <c r="B14" s="49">
        <v>299921</v>
      </c>
      <c r="C14" s="42"/>
      <c r="D14" s="42" t="s">
        <v>645</v>
      </c>
      <c r="E14" s="49">
        <v>22427</v>
      </c>
      <c r="F14" s="42"/>
      <c r="G14" s="77">
        <v>1978</v>
      </c>
      <c r="H14" s="42">
        <v>1172</v>
      </c>
      <c r="I14" s="42">
        <v>3885</v>
      </c>
      <c r="J14" s="42">
        <v>34</v>
      </c>
      <c r="K14" s="42">
        <v>139</v>
      </c>
      <c r="M14" s="204"/>
      <c r="N14" s="204"/>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57"/>
      <c r="AT14" s="57"/>
      <c r="AU14" s="57"/>
    </row>
    <row r="15" spans="1:47" ht="14.5">
      <c r="A15" s="42" t="s">
        <v>646</v>
      </c>
      <c r="B15" s="49">
        <v>857403</v>
      </c>
      <c r="C15" s="42"/>
      <c r="D15" s="42" t="s">
        <v>647</v>
      </c>
      <c r="E15" s="49">
        <v>554</v>
      </c>
      <c r="G15" s="77">
        <v>1979</v>
      </c>
      <c r="H15" s="42">
        <v>1404</v>
      </c>
      <c r="I15" s="42">
        <v>3865</v>
      </c>
      <c r="J15" s="42">
        <v>53</v>
      </c>
      <c r="K15" s="42">
        <v>176</v>
      </c>
      <c r="M15" s="204"/>
      <c r="N15" s="204"/>
      <c r="AS15" s="57"/>
    </row>
    <row r="16" spans="1:47" ht="14.5">
      <c r="A16" s="42" t="s">
        <v>648</v>
      </c>
      <c r="B16" s="49">
        <v>15847</v>
      </c>
      <c r="C16" s="42"/>
      <c r="D16" s="42" t="s">
        <v>649</v>
      </c>
      <c r="E16" s="49">
        <v>1</v>
      </c>
      <c r="G16" s="77">
        <v>1980</v>
      </c>
      <c r="H16" s="42">
        <v>1149</v>
      </c>
      <c r="I16" s="42">
        <v>3788</v>
      </c>
      <c r="J16" s="42">
        <v>63</v>
      </c>
      <c r="K16" s="42">
        <v>194</v>
      </c>
      <c r="M16" s="204"/>
      <c r="N16" s="204"/>
    </row>
    <row r="17" spans="1:14" ht="14.5">
      <c r="A17" s="42" t="s">
        <v>650</v>
      </c>
      <c r="B17" s="49">
        <v>6967</v>
      </c>
      <c r="C17" s="42"/>
      <c r="D17" s="42" t="s">
        <v>651</v>
      </c>
      <c r="E17" s="49">
        <v>49</v>
      </c>
      <c r="G17" s="77">
        <v>1981</v>
      </c>
      <c r="H17" s="42">
        <v>1005</v>
      </c>
      <c r="I17" s="42">
        <v>3106</v>
      </c>
      <c r="J17" s="42">
        <v>75</v>
      </c>
      <c r="K17" s="42">
        <v>240</v>
      </c>
      <c r="M17" s="204"/>
      <c r="N17" s="204"/>
    </row>
    <row r="18" spans="1:14" ht="14.5">
      <c r="A18" s="42" t="s">
        <v>652</v>
      </c>
      <c r="B18" s="49">
        <v>279</v>
      </c>
      <c r="C18" s="42"/>
      <c r="D18" s="42" t="s">
        <v>653</v>
      </c>
      <c r="E18" s="49">
        <v>148045</v>
      </c>
      <c r="G18" s="77">
        <v>1982</v>
      </c>
      <c r="H18" s="42">
        <v>1218</v>
      </c>
      <c r="I18" s="42">
        <v>3136</v>
      </c>
      <c r="J18" s="42">
        <v>165</v>
      </c>
      <c r="K18" s="42">
        <v>273</v>
      </c>
      <c r="M18" s="204"/>
      <c r="N18" s="204"/>
    </row>
    <row r="19" spans="1:14" ht="14.5">
      <c r="A19" s="42" t="s">
        <v>654</v>
      </c>
      <c r="B19" s="49">
        <v>112</v>
      </c>
      <c r="C19" s="42"/>
      <c r="G19" s="77">
        <v>1983</v>
      </c>
      <c r="H19" s="42">
        <v>1325</v>
      </c>
      <c r="I19" s="42">
        <v>2782</v>
      </c>
      <c r="J19" s="42">
        <v>208</v>
      </c>
      <c r="K19" s="42">
        <v>298</v>
      </c>
      <c r="M19" s="204"/>
      <c r="N19" s="204"/>
    </row>
    <row r="20" spans="1:14" ht="14.5">
      <c r="A20" s="42" t="s">
        <v>655</v>
      </c>
      <c r="B20" s="49">
        <v>386</v>
      </c>
      <c r="C20" s="42"/>
      <c r="G20" s="77">
        <v>1984</v>
      </c>
      <c r="H20" s="42">
        <v>1720</v>
      </c>
      <c r="I20" s="42">
        <v>3087</v>
      </c>
      <c r="J20" s="42">
        <v>371</v>
      </c>
      <c r="K20" s="42">
        <v>416</v>
      </c>
      <c r="M20" s="204"/>
      <c r="N20" s="204"/>
    </row>
    <row r="21" spans="1:14" ht="14.5">
      <c r="A21" s="42" t="s">
        <v>656</v>
      </c>
      <c r="B21" s="49">
        <v>2723</v>
      </c>
      <c r="C21" s="42"/>
      <c r="G21" s="77">
        <v>1985</v>
      </c>
      <c r="H21" s="42">
        <v>1861</v>
      </c>
      <c r="I21" s="42">
        <v>3470</v>
      </c>
      <c r="J21" s="42">
        <v>641</v>
      </c>
      <c r="K21" s="42">
        <v>384</v>
      </c>
      <c r="M21" s="204"/>
      <c r="N21" s="204"/>
    </row>
    <row r="22" spans="1:14" ht="14.5">
      <c r="A22" s="42" t="s">
        <v>657</v>
      </c>
      <c r="B22" s="49">
        <v>11</v>
      </c>
      <c r="C22" s="42"/>
      <c r="G22" s="77">
        <v>1986</v>
      </c>
      <c r="H22" s="42">
        <v>2040</v>
      </c>
      <c r="I22" s="42">
        <v>3796</v>
      </c>
      <c r="J22" s="42">
        <v>830</v>
      </c>
      <c r="K22" s="42">
        <v>226</v>
      </c>
      <c r="M22" s="204"/>
      <c r="N22" s="204"/>
    </row>
    <row r="23" spans="1:14" ht="14.5">
      <c r="A23" s="42" t="s">
        <v>653</v>
      </c>
      <c r="B23" s="49">
        <v>441690</v>
      </c>
      <c r="C23" s="42"/>
      <c r="G23" s="77">
        <v>1987</v>
      </c>
      <c r="H23" s="42">
        <v>2214</v>
      </c>
      <c r="I23" s="42">
        <v>4525</v>
      </c>
      <c r="J23" s="42">
        <v>1083</v>
      </c>
      <c r="K23" s="42">
        <v>172</v>
      </c>
      <c r="M23" s="204"/>
      <c r="N23" s="204"/>
    </row>
    <row r="24" spans="1:14" ht="14.5">
      <c r="G24" s="77">
        <v>1988</v>
      </c>
      <c r="H24" s="42">
        <v>2996</v>
      </c>
      <c r="I24" s="42">
        <v>4311</v>
      </c>
      <c r="J24" s="42">
        <v>2066</v>
      </c>
      <c r="K24" s="42">
        <v>191</v>
      </c>
      <c r="M24" s="204"/>
      <c r="N24" s="204"/>
    </row>
    <row r="25" spans="1:14" ht="14.5">
      <c r="A25" s="42"/>
      <c r="B25" s="42"/>
      <c r="C25" s="42"/>
      <c r="G25" s="77">
        <v>1989</v>
      </c>
      <c r="H25" s="42">
        <v>5848</v>
      </c>
      <c r="I25" s="42">
        <v>5660</v>
      </c>
      <c r="J25" s="42">
        <v>2646</v>
      </c>
      <c r="K25" s="42">
        <v>382</v>
      </c>
      <c r="M25" s="204"/>
      <c r="N25" s="204"/>
    </row>
    <row r="26" spans="1:14" ht="14.5">
      <c r="B26" s="42"/>
      <c r="C26" s="42"/>
      <c r="G26" s="77">
        <v>1990</v>
      </c>
      <c r="H26" s="42">
        <v>8084</v>
      </c>
      <c r="I26" s="42">
        <v>8202</v>
      </c>
      <c r="J26" s="42">
        <v>3804</v>
      </c>
      <c r="K26" s="42">
        <v>939</v>
      </c>
      <c r="M26" s="204"/>
      <c r="N26" s="204"/>
    </row>
    <row r="27" spans="1:14" ht="14.5">
      <c r="A27" s="42"/>
      <c r="B27" s="42"/>
      <c r="C27" s="42"/>
      <c r="G27" s="77">
        <v>1991</v>
      </c>
      <c r="H27" s="42">
        <v>8293</v>
      </c>
      <c r="I27" s="42">
        <v>6058</v>
      </c>
      <c r="J27" s="42">
        <v>4860</v>
      </c>
      <c r="K27" s="42">
        <v>945</v>
      </c>
      <c r="M27" s="204"/>
      <c r="N27" s="204"/>
    </row>
    <row r="28" spans="1:14" ht="14.5">
      <c r="A28" s="42"/>
      <c r="B28" s="42"/>
      <c r="C28" s="42"/>
      <c r="G28" s="77">
        <v>1992</v>
      </c>
      <c r="H28" s="42">
        <v>9538</v>
      </c>
      <c r="I28" s="42">
        <v>6459</v>
      </c>
      <c r="J28" s="42">
        <v>5271</v>
      </c>
      <c r="K28" s="42">
        <v>1535</v>
      </c>
      <c r="M28" s="204"/>
      <c r="N28" s="204"/>
    </row>
    <row r="29" spans="1:14" ht="14.5">
      <c r="A29" s="42"/>
      <c r="B29" s="42"/>
      <c r="C29" s="42"/>
      <c r="G29" s="77">
        <v>1993</v>
      </c>
      <c r="H29" s="42">
        <v>8973</v>
      </c>
      <c r="I29" s="42">
        <v>7087</v>
      </c>
      <c r="J29" s="42">
        <v>5729</v>
      </c>
      <c r="K29" s="42">
        <v>1819</v>
      </c>
      <c r="M29" s="204"/>
      <c r="N29" s="204"/>
    </row>
    <row r="30" spans="1:14" ht="14.5">
      <c r="A30" s="42"/>
      <c r="B30" s="42"/>
      <c r="C30" s="42"/>
      <c r="G30" s="77">
        <v>1994</v>
      </c>
      <c r="H30" s="42">
        <v>12476</v>
      </c>
      <c r="I30" s="42">
        <v>9941</v>
      </c>
      <c r="J30" s="42">
        <v>7850</v>
      </c>
      <c r="K30" s="42">
        <v>2607</v>
      </c>
      <c r="M30" s="204"/>
      <c r="N30" s="204"/>
    </row>
    <row r="31" spans="1:14" ht="14.5">
      <c r="A31" s="42"/>
      <c r="B31" s="42"/>
      <c r="C31" s="42"/>
      <c r="G31" s="77">
        <v>1995</v>
      </c>
      <c r="H31" s="42">
        <v>16773</v>
      </c>
      <c r="I31" s="42">
        <v>8010</v>
      </c>
      <c r="J31" s="42">
        <v>9600</v>
      </c>
      <c r="K31" s="42">
        <v>2149</v>
      </c>
      <c r="M31" s="204"/>
      <c r="N31" s="204"/>
    </row>
    <row r="32" spans="1:14" ht="14.5">
      <c r="A32" s="42"/>
      <c r="B32" s="42"/>
      <c r="C32" s="42"/>
      <c r="G32" s="77">
        <v>1996</v>
      </c>
      <c r="H32" s="42">
        <v>29210</v>
      </c>
      <c r="I32" s="42">
        <v>11764</v>
      </c>
      <c r="J32" s="42">
        <v>16699</v>
      </c>
      <c r="K32" s="42">
        <v>3116</v>
      </c>
      <c r="M32" s="204"/>
      <c r="N32" s="204"/>
    </row>
    <row r="33" spans="1:14" ht="14.5">
      <c r="A33" s="42"/>
      <c r="B33" s="42"/>
      <c r="C33" s="42"/>
      <c r="G33" s="77">
        <v>1997</v>
      </c>
      <c r="H33" s="42">
        <v>27808</v>
      </c>
      <c r="I33" s="42">
        <v>11521</v>
      </c>
      <c r="J33" s="42">
        <v>10637</v>
      </c>
      <c r="K33" s="42">
        <v>4284</v>
      </c>
      <c r="M33" s="204"/>
      <c r="N33" s="204"/>
    </row>
    <row r="34" spans="1:14" ht="14.5">
      <c r="A34" s="42"/>
      <c r="B34" s="42"/>
      <c r="C34" s="42"/>
      <c r="G34" s="77">
        <v>1998</v>
      </c>
      <c r="H34" s="42">
        <v>24728</v>
      </c>
      <c r="I34" s="42">
        <v>14482</v>
      </c>
      <c r="J34" s="42">
        <v>5409</v>
      </c>
      <c r="K34" s="42">
        <v>4087</v>
      </c>
      <c r="M34" s="204"/>
      <c r="N34" s="204"/>
    </row>
    <row r="35" spans="1:14" ht="14.5">
      <c r="A35" s="42"/>
      <c r="B35" s="42"/>
      <c r="C35" s="42"/>
      <c r="G35" s="77">
        <v>1999</v>
      </c>
      <c r="H35" s="42">
        <v>23068</v>
      </c>
      <c r="I35" s="42">
        <v>17565</v>
      </c>
      <c r="J35" s="42">
        <v>3114</v>
      </c>
      <c r="K35" s="42">
        <v>5751</v>
      </c>
      <c r="M35" s="204"/>
      <c r="N35" s="204"/>
    </row>
    <row r="36" spans="1:14" ht="14.5">
      <c r="A36" s="42"/>
      <c r="B36" s="42"/>
      <c r="C36" s="42"/>
      <c r="G36" s="77">
        <v>2000</v>
      </c>
      <c r="H36" s="42">
        <v>30770</v>
      </c>
      <c r="I36" s="42">
        <v>20667</v>
      </c>
      <c r="J36" s="42">
        <v>1986</v>
      </c>
      <c r="K36" s="42">
        <v>7165</v>
      </c>
      <c r="M36" s="204"/>
      <c r="N36" s="204"/>
    </row>
    <row r="37" spans="1:14" ht="14.5">
      <c r="A37" s="42"/>
      <c r="B37" s="42"/>
      <c r="C37" s="42"/>
      <c r="G37" s="77">
        <v>2001</v>
      </c>
      <c r="H37" s="42">
        <v>34347</v>
      </c>
      <c r="I37" s="42">
        <v>24240</v>
      </c>
      <c r="J37" s="42">
        <v>1237</v>
      </c>
      <c r="K37" s="42">
        <v>8056</v>
      </c>
      <c r="M37" s="204"/>
      <c r="N37" s="204"/>
    </row>
    <row r="38" spans="1:14" ht="14.5">
      <c r="A38" s="42"/>
      <c r="B38" s="42"/>
      <c r="C38" s="42"/>
      <c r="G38" s="77">
        <v>2002</v>
      </c>
      <c r="H38" s="42">
        <v>34012</v>
      </c>
      <c r="I38" s="42">
        <v>30752</v>
      </c>
      <c r="J38" s="42">
        <v>628</v>
      </c>
      <c r="K38" s="42">
        <v>8943</v>
      </c>
      <c r="M38" s="204"/>
      <c r="N38" s="204"/>
    </row>
    <row r="39" spans="1:14" ht="14.5">
      <c r="A39" s="42"/>
      <c r="B39" s="42"/>
      <c r="C39" s="42"/>
      <c r="G39" s="77">
        <v>2003</v>
      </c>
      <c r="H39" s="42">
        <v>29668</v>
      </c>
      <c r="I39" s="42">
        <v>40185</v>
      </c>
      <c r="J39" s="42">
        <v>208</v>
      </c>
      <c r="K39" s="42">
        <v>9954</v>
      </c>
      <c r="M39" s="204"/>
      <c r="N39" s="204"/>
    </row>
    <row r="40" spans="1:14" ht="14.5">
      <c r="C40" s="42"/>
      <c r="G40" s="77">
        <v>2004</v>
      </c>
      <c r="H40" s="42">
        <v>101295</v>
      </c>
      <c r="I40" s="42">
        <v>45933</v>
      </c>
      <c r="J40" s="42">
        <v>522</v>
      </c>
      <c r="K40" s="42">
        <v>11730</v>
      </c>
      <c r="M40" s="204"/>
      <c r="N40" s="204"/>
    </row>
    <row r="41" spans="1:14" ht="14.5">
      <c r="G41" s="77">
        <v>2005</v>
      </c>
      <c r="H41" s="42">
        <v>188837</v>
      </c>
      <c r="I41" s="42">
        <v>8196</v>
      </c>
      <c r="J41" s="42">
        <v>11360</v>
      </c>
      <c r="K41" s="42">
        <v>3622</v>
      </c>
      <c r="M41" s="204"/>
      <c r="N41" s="204"/>
    </row>
    <row r="42" spans="1:14" ht="14.5">
      <c r="G42" s="77">
        <v>2006</v>
      </c>
      <c r="H42" s="42">
        <v>196382</v>
      </c>
      <c r="I42" s="42">
        <v>5581</v>
      </c>
      <c r="J42" s="42">
        <v>12968</v>
      </c>
      <c r="K42" s="42">
        <v>3999</v>
      </c>
      <c r="M42" s="204"/>
      <c r="N42" s="204"/>
    </row>
    <row r="43" spans="1:14" ht="14.5">
      <c r="G43" s="77">
        <v>2007</v>
      </c>
      <c r="H43" s="42">
        <v>201189</v>
      </c>
      <c r="I43" s="42">
        <v>5026</v>
      </c>
      <c r="J43" s="42">
        <v>15684</v>
      </c>
      <c r="K43" s="42">
        <v>6510</v>
      </c>
      <c r="M43" s="204"/>
      <c r="N43" s="204"/>
    </row>
    <row r="44" spans="1:14" ht="14.5">
      <c r="G44" s="77">
        <v>2008</v>
      </c>
      <c r="H44" s="42">
        <v>172103</v>
      </c>
      <c r="I44" s="42">
        <v>4018</v>
      </c>
      <c r="J44" s="42">
        <v>19611</v>
      </c>
      <c r="K44" s="42">
        <v>6433</v>
      </c>
      <c r="M44" s="204"/>
      <c r="N44" s="204"/>
    </row>
    <row r="45" spans="1:14" ht="14.5">
      <c r="G45" s="77">
        <v>2009</v>
      </c>
      <c r="H45" s="42">
        <v>124338</v>
      </c>
      <c r="I45" s="42">
        <v>3587</v>
      </c>
      <c r="J45" s="42">
        <v>15421</v>
      </c>
      <c r="K45" s="42">
        <v>4215</v>
      </c>
      <c r="M45" s="204"/>
      <c r="N45" s="204"/>
    </row>
    <row r="46" spans="1:14" ht="14.5">
      <c r="G46" s="77">
        <v>2010</v>
      </c>
      <c r="H46" s="42">
        <v>133115</v>
      </c>
      <c r="I46" s="42">
        <v>3171</v>
      </c>
      <c r="J46" s="42">
        <v>19800</v>
      </c>
      <c r="K46" s="42">
        <v>4076</v>
      </c>
      <c r="M46" s="204"/>
      <c r="N46" s="204"/>
    </row>
    <row r="47" spans="1:14" ht="14.5">
      <c r="G47" s="77">
        <v>2011</v>
      </c>
      <c r="H47" s="42">
        <v>111957</v>
      </c>
      <c r="I47" s="42">
        <v>2424</v>
      </c>
      <c r="J47" s="42">
        <v>22417</v>
      </c>
      <c r="K47" s="42">
        <v>4720</v>
      </c>
      <c r="M47" s="204"/>
      <c r="N47" s="204"/>
    </row>
    <row r="48" spans="1:14" ht="14.5">
      <c r="G48" s="77">
        <v>2012</v>
      </c>
      <c r="H48" s="42">
        <v>138184</v>
      </c>
      <c r="I48" s="42">
        <v>2523</v>
      </c>
      <c r="J48" s="42">
        <v>29726</v>
      </c>
      <c r="K48" s="42">
        <v>6048</v>
      </c>
      <c r="M48" s="204"/>
      <c r="N48" s="204"/>
    </row>
    <row r="49" spans="7:14" ht="14.5">
      <c r="G49" s="77">
        <v>2013</v>
      </c>
      <c r="H49" s="42">
        <v>129861</v>
      </c>
      <c r="I49" s="42">
        <v>2533</v>
      </c>
      <c r="J49" s="42">
        <v>35926</v>
      </c>
      <c r="K49" s="42">
        <v>7204</v>
      </c>
      <c r="M49" s="204"/>
      <c r="N49" s="204"/>
    </row>
    <row r="50" spans="7:14" ht="14.5">
      <c r="G50" s="77">
        <v>2014</v>
      </c>
      <c r="H50" s="42">
        <v>132232</v>
      </c>
      <c r="I50" s="42">
        <v>2150</v>
      </c>
      <c r="J50" s="42">
        <v>38854</v>
      </c>
      <c r="K50" s="42">
        <v>7306</v>
      </c>
      <c r="M50" s="204"/>
      <c r="N50" s="204"/>
    </row>
    <row r="51" spans="7:14" ht="14.5">
      <c r="G51" s="77">
        <v>2015</v>
      </c>
      <c r="H51" s="42">
        <v>115798</v>
      </c>
      <c r="I51" s="42">
        <v>2068</v>
      </c>
      <c r="J51" s="42">
        <v>43349</v>
      </c>
      <c r="K51" s="42">
        <v>5823</v>
      </c>
      <c r="M51" s="204"/>
      <c r="N51" s="204"/>
    </row>
    <row r="52" spans="7:14" ht="14.5">
      <c r="G52" s="77">
        <v>2016</v>
      </c>
      <c r="H52" s="42">
        <v>108845</v>
      </c>
      <c r="I52" s="42">
        <v>1588</v>
      </c>
      <c r="J52" s="42">
        <v>50938</v>
      </c>
      <c r="K52" s="42">
        <v>4494</v>
      </c>
      <c r="M52" s="204"/>
      <c r="N52" s="204"/>
    </row>
    <row r="53" spans="7:14" ht="14.5">
      <c r="G53" s="77">
        <v>2017</v>
      </c>
      <c r="H53" s="42">
        <v>112290</v>
      </c>
      <c r="I53" s="42">
        <v>1177</v>
      </c>
      <c r="J53" s="42">
        <v>58778</v>
      </c>
      <c r="K53" s="42">
        <v>2108</v>
      </c>
      <c r="M53" s="204"/>
      <c r="N53" s="204"/>
    </row>
    <row r="54" spans="7:14" ht="14.5">
      <c r="G54" s="77">
        <v>2018</v>
      </c>
      <c r="H54" s="42">
        <v>103722</v>
      </c>
      <c r="I54" s="42">
        <v>764</v>
      </c>
      <c r="J54" s="42">
        <v>61058</v>
      </c>
      <c r="K54" s="42">
        <v>1403</v>
      </c>
      <c r="M54" s="204"/>
      <c r="N54" s="204"/>
    </row>
    <row r="55" spans="7:14" ht="14.5">
      <c r="G55" s="77">
        <v>2019</v>
      </c>
      <c r="H55" s="42">
        <v>92136</v>
      </c>
      <c r="I55" s="42">
        <v>489</v>
      </c>
      <c r="J55" s="42">
        <v>56614</v>
      </c>
      <c r="K55" s="42">
        <v>849</v>
      </c>
      <c r="M55" s="204"/>
      <c r="N55" s="204"/>
    </row>
    <row r="56" spans="7:14" ht="14.5">
      <c r="G56" s="77">
        <v>2020</v>
      </c>
      <c r="H56" s="42">
        <v>72493</v>
      </c>
      <c r="I56" s="42">
        <v>392</v>
      </c>
      <c r="J56" s="42">
        <v>41096</v>
      </c>
      <c r="K56" s="42">
        <v>401</v>
      </c>
      <c r="M56" s="204"/>
      <c r="N56" s="204"/>
    </row>
    <row r="57" spans="7:14" ht="14.5">
      <c r="G57" s="77">
        <v>2021</v>
      </c>
      <c r="H57" s="42">
        <v>96392</v>
      </c>
      <c r="I57" s="42">
        <v>401</v>
      </c>
      <c r="J57" s="42">
        <v>54835</v>
      </c>
      <c r="K57" s="42">
        <v>186</v>
      </c>
      <c r="M57" s="204"/>
      <c r="N57" s="204"/>
    </row>
    <row r="58" spans="7:14" ht="14.5">
      <c r="G58" s="77">
        <v>2022</v>
      </c>
      <c r="H58" s="42">
        <v>88762</v>
      </c>
      <c r="I58" s="42">
        <v>2161</v>
      </c>
      <c r="J58" s="42">
        <v>48415</v>
      </c>
      <c r="K58" s="42">
        <v>332</v>
      </c>
      <c r="M58" s="204"/>
      <c r="N58" s="204"/>
    </row>
    <row r="59" spans="7:14" ht="14.5">
      <c r="G59" s="77">
        <v>2023</v>
      </c>
      <c r="H59" s="42">
        <v>70749</v>
      </c>
      <c r="I59" s="42">
        <v>11985</v>
      </c>
      <c r="J59" s="42">
        <v>35901</v>
      </c>
      <c r="K59" s="42">
        <v>1080</v>
      </c>
      <c r="M59" s="204"/>
      <c r="N59" s="204"/>
    </row>
    <row r="60" spans="7:14" ht="14.5">
      <c r="G60" s="77" t="s">
        <v>87</v>
      </c>
      <c r="H60" s="42">
        <v>2844184</v>
      </c>
      <c r="I60" s="42">
        <v>441690</v>
      </c>
      <c r="J60" s="42">
        <v>758726</v>
      </c>
      <c r="K60" s="42">
        <v>148045</v>
      </c>
      <c r="M60" s="204"/>
      <c r="N60" s="204"/>
    </row>
    <row r="61" spans="7:14">
      <c r="I61" s="42"/>
    </row>
    <row r="68" spans="1:59" ht="14.5">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c r="BF68" s="204"/>
    </row>
    <row r="69" spans="1:59" ht="14.5">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c r="BF69" s="204"/>
      <c r="BG69" s="204"/>
    </row>
    <row r="70" spans="1:59" ht="14.5">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c r="BF70" s="204"/>
      <c r="BG70" s="204"/>
    </row>
  </sheetData>
  <mergeCells count="3">
    <mergeCell ref="M1:N1"/>
    <mergeCell ref="H2:I2"/>
    <mergeCell ref="J2:K2"/>
  </mergeCells>
  <hyperlinks>
    <hyperlink ref="M1:N1" location="Contents!A1" display="Back to Contents" xr:uid="{00000000-0004-0000-24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39997558519241921"/>
  </sheetPr>
  <dimension ref="A1:XFD58"/>
  <sheetViews>
    <sheetView workbookViewId="0"/>
  </sheetViews>
  <sheetFormatPr defaultColWidth="8.81640625" defaultRowHeight="12.5"/>
  <cols>
    <col min="1" max="1" width="6.7265625" customWidth="1"/>
    <col min="2" max="2" width="13.453125" customWidth="1"/>
    <col min="3" max="3" width="11.453125" bestFit="1" customWidth="1"/>
    <col min="4" max="5" width="11.26953125" customWidth="1"/>
    <col min="6" max="6" width="10.54296875" customWidth="1"/>
    <col min="7" max="7" width="11.26953125" customWidth="1"/>
  </cols>
  <sheetData>
    <row r="1" spans="1:16384" ht="27" customHeight="1">
      <c r="B1" s="17" t="s">
        <v>658</v>
      </c>
      <c r="C1" s="18"/>
      <c r="D1" s="18"/>
      <c r="E1" s="18"/>
      <c r="F1" s="18"/>
      <c r="G1" s="18"/>
      <c r="H1" s="42"/>
      <c r="I1" s="212" t="s">
        <v>79</v>
      </c>
      <c r="J1" s="212"/>
    </row>
    <row r="2" spans="1:16384" s="20" customFormat="1" ht="29.25" customHeight="1">
      <c r="A2" s="125" t="s">
        <v>299</v>
      </c>
      <c r="B2" s="144" t="s">
        <v>659</v>
      </c>
      <c r="C2" s="144" t="s">
        <v>660</v>
      </c>
      <c r="D2" s="67" t="s">
        <v>661</v>
      </c>
      <c r="E2" s="127" t="s">
        <v>662</v>
      </c>
      <c r="F2" s="127" t="s">
        <v>663</v>
      </c>
      <c r="G2" s="67" t="s">
        <v>664</v>
      </c>
      <c r="H2" s="72"/>
      <c r="I2" s="145"/>
      <c r="J2" s="145"/>
      <c r="K2" s="126"/>
      <c r="L2" s="126"/>
      <c r="M2" s="64"/>
      <c r="N2" s="72"/>
      <c r="O2" s="145"/>
      <c r="P2" s="145"/>
      <c r="Q2" s="126"/>
      <c r="R2" s="126"/>
      <c r="S2" s="64"/>
      <c r="T2" s="72"/>
      <c r="U2" s="145"/>
      <c r="V2" s="145"/>
      <c r="W2" s="126"/>
      <c r="X2" s="126"/>
      <c r="Y2" s="64"/>
      <c r="Z2" s="72"/>
      <c r="AA2" s="145"/>
      <c r="AB2" s="145"/>
      <c r="AC2" s="126"/>
      <c r="AD2" s="126"/>
      <c r="AE2" s="64"/>
      <c r="AF2" s="72"/>
      <c r="AG2" s="145"/>
      <c r="AH2" s="145"/>
      <c r="AI2" s="126"/>
      <c r="AJ2" s="126"/>
      <c r="AK2" s="64"/>
      <c r="AL2" s="72"/>
      <c r="AM2" s="145"/>
      <c r="AN2" s="145"/>
      <c r="AO2" s="126"/>
      <c r="AP2" s="126"/>
      <c r="AQ2" s="64"/>
      <c r="AR2" s="72"/>
      <c r="AS2" s="145"/>
      <c r="AT2" s="145"/>
      <c r="AU2" s="126"/>
      <c r="AV2" s="126"/>
      <c r="AW2" s="64"/>
      <c r="AX2" s="72"/>
      <c r="AY2" s="145"/>
      <c r="AZ2" s="145"/>
      <c r="BA2" s="126"/>
      <c r="BB2" s="126"/>
      <c r="BC2" s="64"/>
      <c r="BD2" s="72"/>
      <c r="BE2" s="145"/>
      <c r="BF2" s="145"/>
      <c r="BG2" s="126"/>
      <c r="BH2" s="126"/>
      <c r="BI2" s="64"/>
      <c r="BJ2" s="72"/>
      <c r="BK2" s="145"/>
      <c r="BL2" s="145"/>
      <c r="BM2" s="126"/>
      <c r="BN2" s="126"/>
      <c r="BO2" s="64"/>
      <c r="BP2" s="72"/>
      <c r="BQ2" s="145"/>
      <c r="BR2" s="145"/>
      <c r="BS2" s="126"/>
      <c r="BT2" s="126"/>
      <c r="BU2" s="64"/>
      <c r="BV2" s="72"/>
      <c r="BW2" s="145"/>
      <c r="BX2" s="145"/>
      <c r="BY2" s="126"/>
      <c r="BZ2" s="126"/>
      <c r="CA2" s="64"/>
      <c r="CB2" s="72"/>
      <c r="CC2" s="145"/>
      <c r="CD2" s="145"/>
      <c r="CE2" s="126"/>
      <c r="CF2" s="126"/>
      <c r="CG2" s="64"/>
      <c r="CH2" s="72"/>
      <c r="CI2" s="145"/>
      <c r="CJ2" s="145"/>
      <c r="CK2" s="126"/>
      <c r="CL2" s="126"/>
      <c r="CM2" s="64"/>
      <c r="CN2" s="72"/>
      <c r="CO2" s="145"/>
      <c r="CP2" s="145"/>
      <c r="CQ2" s="126"/>
      <c r="CR2" s="126"/>
      <c r="CS2" s="64"/>
      <c r="CT2" s="72"/>
      <c r="CU2" s="145"/>
      <c r="CV2" s="145"/>
      <c r="CW2" s="126"/>
      <c r="CX2" s="126"/>
      <c r="CY2" s="64"/>
      <c r="CZ2" s="72"/>
      <c r="DA2" s="145"/>
      <c r="DB2" s="145"/>
      <c r="DC2" s="126"/>
      <c r="DD2" s="126"/>
      <c r="DE2" s="64"/>
      <c r="DF2" s="72"/>
      <c r="DG2" s="145"/>
      <c r="DH2" s="145"/>
      <c r="DI2" s="126"/>
      <c r="DJ2" s="126"/>
      <c r="DK2" s="64"/>
      <c r="DL2" s="72"/>
      <c r="DM2" s="145"/>
      <c r="DN2" s="145"/>
      <c r="DO2" s="126"/>
      <c r="DP2" s="126"/>
      <c r="DQ2" s="64"/>
      <c r="DR2" s="72"/>
      <c r="DS2" s="145"/>
      <c r="DT2" s="145"/>
      <c r="DU2" s="126"/>
      <c r="DV2" s="126"/>
      <c r="DW2" s="64"/>
      <c r="DX2" s="72"/>
      <c r="DY2" s="145"/>
      <c r="DZ2" s="145"/>
      <c r="EA2" s="126"/>
      <c r="EB2" s="126"/>
      <c r="EC2" s="64"/>
      <c r="ED2" s="72"/>
      <c r="EE2" s="145"/>
      <c r="EF2" s="145"/>
      <c r="EG2" s="126"/>
      <c r="EH2" s="126"/>
      <c r="EI2" s="64"/>
      <c r="EJ2" s="72"/>
      <c r="EK2" s="145"/>
      <c r="EL2" s="145"/>
      <c r="EM2" s="126"/>
      <c r="EN2" s="126"/>
      <c r="EO2" s="64"/>
      <c r="EP2" s="72"/>
      <c r="EQ2" s="145"/>
      <c r="ER2" s="145"/>
      <c r="ES2" s="126"/>
      <c r="ET2" s="126"/>
      <c r="EU2" s="64"/>
      <c r="EV2" s="72"/>
      <c r="EW2" s="145"/>
      <c r="EX2" s="145"/>
      <c r="EY2" s="126"/>
      <c r="EZ2" s="126"/>
      <c r="FA2" s="64"/>
      <c r="FB2" s="72"/>
      <c r="FC2" s="145"/>
      <c r="FD2" s="145"/>
      <c r="FE2" s="126"/>
      <c r="FF2" s="126"/>
      <c r="FG2" s="64"/>
      <c r="FH2" s="72"/>
      <c r="FI2" s="145"/>
      <c r="FJ2" s="145"/>
      <c r="FK2" s="126"/>
      <c r="FL2" s="126"/>
      <c r="FM2" s="64"/>
      <c r="FN2" s="72"/>
      <c r="FO2" s="145"/>
      <c r="FP2" s="145"/>
      <c r="FQ2" s="126"/>
      <c r="FR2" s="126"/>
      <c r="FS2" s="64"/>
      <c r="FT2" s="72"/>
      <c r="FU2" s="145"/>
      <c r="FV2" s="145"/>
      <c r="FW2" s="126"/>
      <c r="FX2" s="126"/>
      <c r="FY2" s="64"/>
      <c r="FZ2" s="72"/>
      <c r="GA2" s="145"/>
      <c r="GB2" s="145"/>
      <c r="GC2" s="126"/>
      <c r="GD2" s="126"/>
      <c r="GE2" s="64"/>
      <c r="GF2" s="72"/>
      <c r="GG2" s="145"/>
      <c r="GH2" s="145"/>
      <c r="GI2" s="126"/>
      <c r="GJ2" s="126"/>
      <c r="GK2" s="64"/>
      <c r="GL2" s="72"/>
      <c r="GM2" s="145"/>
      <c r="GN2" s="145"/>
      <c r="GO2" s="126"/>
      <c r="GP2" s="126"/>
      <c r="GQ2" s="64"/>
      <c r="GR2" s="72"/>
      <c r="GS2" s="145"/>
      <c r="GT2" s="145"/>
      <c r="GU2" s="126"/>
      <c r="GV2" s="126"/>
      <c r="GW2" s="64"/>
      <c r="GX2" s="72"/>
      <c r="GY2" s="145"/>
      <c r="GZ2" s="145"/>
      <c r="HA2" s="126"/>
      <c r="HB2" s="126"/>
      <c r="HC2" s="64"/>
      <c r="HD2" s="72"/>
      <c r="HE2" s="145"/>
      <c r="HF2" s="145"/>
      <c r="HG2" s="126"/>
      <c r="HH2" s="126"/>
      <c r="HI2" s="64"/>
      <c r="HJ2" s="72"/>
      <c r="HK2" s="145"/>
      <c r="HL2" s="145"/>
      <c r="HM2" s="126"/>
      <c r="HN2" s="126"/>
      <c r="HO2" s="64"/>
      <c r="HP2" s="72"/>
      <c r="HQ2" s="145"/>
      <c r="HR2" s="145"/>
      <c r="HS2" s="126"/>
      <c r="HT2" s="126"/>
      <c r="HU2" s="64"/>
      <c r="HV2" s="72"/>
      <c r="HW2" s="145"/>
      <c r="HX2" s="145"/>
      <c r="HY2" s="126"/>
      <c r="HZ2" s="126"/>
      <c r="IA2" s="64"/>
      <c r="IB2" s="72"/>
      <c r="IC2" s="145"/>
      <c r="ID2" s="145"/>
      <c r="IE2" s="126"/>
      <c r="IF2" s="126"/>
      <c r="IG2" s="64"/>
      <c r="IH2" s="72"/>
      <c r="II2" s="145"/>
      <c r="IJ2" s="145"/>
      <c r="IK2" s="126"/>
      <c r="IL2" s="126"/>
      <c r="IM2" s="64"/>
      <c r="IN2" s="72"/>
      <c r="IO2" s="145"/>
      <c r="IP2" s="145"/>
      <c r="IQ2" s="126"/>
      <c r="IR2" s="126"/>
      <c r="IS2" s="64"/>
      <c r="IT2" s="72"/>
      <c r="IU2" s="145"/>
      <c r="IV2" s="145"/>
      <c r="IW2" s="126"/>
      <c r="IX2" s="126"/>
      <c r="IY2" s="64"/>
      <c r="IZ2" s="72"/>
      <c r="JA2" s="145"/>
      <c r="JB2" s="145"/>
      <c r="JC2" s="126"/>
      <c r="JD2" s="126"/>
      <c r="JE2" s="64"/>
      <c r="JF2" s="72"/>
      <c r="JG2" s="145"/>
      <c r="JH2" s="145"/>
      <c r="JI2" s="126"/>
      <c r="JJ2" s="126"/>
      <c r="JK2" s="64"/>
      <c r="JL2" s="72"/>
      <c r="JM2" s="145"/>
      <c r="JN2" s="145"/>
      <c r="JO2" s="126"/>
      <c r="JP2" s="126"/>
      <c r="JQ2" s="64"/>
      <c r="JR2" s="72"/>
      <c r="JS2" s="145"/>
      <c r="JT2" s="145"/>
      <c r="JU2" s="126"/>
      <c r="JV2" s="126"/>
      <c r="JW2" s="64"/>
      <c r="JX2" s="72"/>
      <c r="JY2" s="145"/>
      <c r="JZ2" s="145"/>
      <c r="KA2" s="126"/>
      <c r="KB2" s="126"/>
      <c r="KC2" s="64"/>
      <c r="KD2" s="72"/>
      <c r="KE2" s="145"/>
      <c r="KF2" s="145"/>
      <c r="KG2" s="126"/>
      <c r="KH2" s="126"/>
      <c r="KI2" s="64"/>
      <c r="KJ2" s="72"/>
      <c r="KK2" s="145"/>
      <c r="KL2" s="145"/>
      <c r="KM2" s="126"/>
      <c r="KN2" s="126"/>
      <c r="KO2" s="64"/>
      <c r="KP2" s="72"/>
      <c r="KQ2" s="145"/>
      <c r="KR2" s="145"/>
      <c r="KS2" s="126"/>
      <c r="KT2" s="126"/>
      <c r="KU2" s="64"/>
      <c r="KV2" s="72"/>
      <c r="KW2" s="145"/>
      <c r="KX2" s="145"/>
      <c r="KY2" s="126"/>
      <c r="KZ2" s="126"/>
      <c r="LA2" s="64"/>
      <c r="LB2" s="72"/>
      <c r="LC2" s="145"/>
      <c r="LD2" s="145"/>
      <c r="LE2" s="126"/>
      <c r="LF2" s="126"/>
      <c r="LG2" s="64"/>
      <c r="LH2" s="72"/>
      <c r="LI2" s="145"/>
      <c r="LJ2" s="145"/>
      <c r="LK2" s="126"/>
      <c r="LL2" s="126"/>
      <c r="LM2" s="64"/>
      <c r="LN2" s="72"/>
      <c r="LO2" s="145"/>
      <c r="LP2" s="145"/>
      <c r="LQ2" s="126"/>
      <c r="LR2" s="126"/>
      <c r="LS2" s="64"/>
      <c r="LT2" s="72"/>
      <c r="LU2" s="145"/>
      <c r="LV2" s="145"/>
      <c r="LW2" s="126"/>
      <c r="LX2" s="126"/>
      <c r="LY2" s="64"/>
      <c r="LZ2" s="72"/>
      <c r="MA2" s="145"/>
      <c r="MB2" s="145"/>
      <c r="MC2" s="126"/>
      <c r="MD2" s="126"/>
      <c r="ME2" s="64"/>
      <c r="MF2" s="72"/>
      <c r="MG2" s="145"/>
      <c r="MH2" s="145"/>
      <c r="MI2" s="126"/>
      <c r="MJ2" s="126"/>
      <c r="MK2" s="64"/>
      <c r="ML2" s="72"/>
      <c r="MM2" s="145"/>
      <c r="MN2" s="145"/>
      <c r="MO2" s="126"/>
      <c r="MP2" s="126"/>
      <c r="MQ2" s="64"/>
      <c r="MR2" s="72"/>
      <c r="MS2" s="145"/>
      <c r="MT2" s="145"/>
      <c r="MU2" s="126"/>
      <c r="MV2" s="126"/>
      <c r="MW2" s="64"/>
      <c r="MX2" s="72"/>
      <c r="MY2" s="145"/>
      <c r="MZ2" s="145"/>
      <c r="NA2" s="126"/>
      <c r="NB2" s="126"/>
      <c r="NC2" s="64"/>
      <c r="ND2" s="72"/>
      <c r="NE2" s="145"/>
      <c r="NF2" s="145"/>
      <c r="NG2" s="126"/>
      <c r="NH2" s="126"/>
      <c r="NI2" s="64"/>
      <c r="NJ2" s="72"/>
      <c r="NK2" s="145"/>
      <c r="NL2" s="145"/>
      <c r="NM2" s="126"/>
      <c r="NN2" s="126"/>
      <c r="NO2" s="64"/>
      <c r="NP2" s="72"/>
      <c r="NQ2" s="145"/>
      <c r="NR2" s="145"/>
      <c r="NS2" s="126"/>
      <c r="NT2" s="126"/>
      <c r="NU2" s="64"/>
      <c r="NV2" s="72"/>
      <c r="NW2" s="145"/>
      <c r="NX2" s="145"/>
      <c r="NY2" s="126"/>
      <c r="NZ2" s="126"/>
      <c r="OA2" s="64"/>
      <c r="OB2" s="72"/>
      <c r="OC2" s="145"/>
      <c r="OD2" s="145"/>
      <c r="OE2" s="126"/>
      <c r="OF2" s="126"/>
      <c r="OG2" s="64"/>
      <c r="OH2" s="72"/>
      <c r="OI2" s="145"/>
      <c r="OJ2" s="145"/>
      <c r="OK2" s="126"/>
      <c r="OL2" s="126"/>
      <c r="OM2" s="64"/>
      <c r="ON2" s="72"/>
      <c r="OO2" s="145"/>
      <c r="OP2" s="145"/>
      <c r="OQ2" s="126"/>
      <c r="OR2" s="126"/>
      <c r="OS2" s="64"/>
      <c r="OT2" s="72"/>
      <c r="OU2" s="145"/>
      <c r="OV2" s="145"/>
      <c r="OW2" s="126"/>
      <c r="OX2" s="126"/>
      <c r="OY2" s="64"/>
      <c r="OZ2" s="72"/>
      <c r="PA2" s="145"/>
      <c r="PB2" s="145"/>
      <c r="PC2" s="126"/>
      <c r="PD2" s="126"/>
      <c r="PE2" s="64"/>
      <c r="PF2" s="72"/>
      <c r="PG2" s="145"/>
      <c r="PH2" s="145"/>
      <c r="PI2" s="126"/>
      <c r="PJ2" s="126"/>
      <c r="PK2" s="64"/>
      <c r="PL2" s="72"/>
      <c r="PM2" s="145"/>
      <c r="PN2" s="145"/>
      <c r="PO2" s="126"/>
      <c r="PP2" s="126"/>
      <c r="PQ2" s="64"/>
      <c r="PR2" s="72"/>
      <c r="PS2" s="145"/>
      <c r="PT2" s="145"/>
      <c r="PU2" s="126"/>
      <c r="PV2" s="126"/>
      <c r="PW2" s="64"/>
      <c r="PX2" s="72"/>
      <c r="PY2" s="145"/>
      <c r="PZ2" s="145"/>
      <c r="QA2" s="126"/>
      <c r="QB2" s="126"/>
      <c r="QC2" s="64"/>
      <c r="QD2" s="72"/>
      <c r="QE2" s="145"/>
      <c r="QF2" s="145"/>
      <c r="QG2" s="126"/>
      <c r="QH2" s="126"/>
      <c r="QI2" s="64"/>
      <c r="QJ2" s="72"/>
      <c r="QK2" s="145"/>
      <c r="QL2" s="145"/>
      <c r="QM2" s="126"/>
      <c r="QN2" s="126"/>
      <c r="QO2" s="64"/>
      <c r="QP2" s="72"/>
      <c r="QQ2" s="145"/>
      <c r="QR2" s="145"/>
      <c r="QS2" s="126"/>
      <c r="QT2" s="126"/>
      <c r="QU2" s="64"/>
      <c r="QV2" s="72"/>
      <c r="QW2" s="145"/>
      <c r="QX2" s="145"/>
      <c r="QY2" s="126"/>
      <c r="QZ2" s="126"/>
      <c r="RA2" s="64"/>
      <c r="RB2" s="72"/>
      <c r="RC2" s="145"/>
      <c r="RD2" s="145"/>
      <c r="RE2" s="126"/>
      <c r="RF2" s="126"/>
      <c r="RG2" s="64"/>
      <c r="RH2" s="72"/>
      <c r="RI2" s="145"/>
      <c r="RJ2" s="145"/>
      <c r="RK2" s="126"/>
      <c r="RL2" s="126"/>
      <c r="RM2" s="64"/>
      <c r="RN2" s="72"/>
      <c r="RO2" s="145"/>
      <c r="RP2" s="145"/>
      <c r="RQ2" s="126"/>
      <c r="RR2" s="126"/>
      <c r="RS2" s="64"/>
      <c r="RT2" s="72"/>
      <c r="RU2" s="145"/>
      <c r="RV2" s="145"/>
      <c r="RW2" s="126"/>
      <c r="RX2" s="126"/>
      <c r="RY2" s="64"/>
      <c r="RZ2" s="72"/>
      <c r="SA2" s="145"/>
      <c r="SB2" s="145"/>
      <c r="SC2" s="126"/>
      <c r="SD2" s="126"/>
      <c r="SE2" s="64"/>
      <c r="SF2" s="72"/>
      <c r="SG2" s="145"/>
      <c r="SH2" s="145"/>
      <c r="SI2" s="126"/>
      <c r="SJ2" s="126"/>
      <c r="SK2" s="64"/>
      <c r="SL2" s="72"/>
      <c r="SM2" s="145"/>
      <c r="SN2" s="145"/>
      <c r="SO2" s="126"/>
      <c r="SP2" s="126"/>
      <c r="SQ2" s="64"/>
      <c r="SR2" s="72"/>
      <c r="SS2" s="145"/>
      <c r="ST2" s="145"/>
      <c r="SU2" s="126"/>
      <c r="SV2" s="126"/>
      <c r="SW2" s="64"/>
      <c r="SX2" s="72"/>
      <c r="SY2" s="145"/>
      <c r="SZ2" s="145"/>
      <c r="TA2" s="126"/>
      <c r="TB2" s="126"/>
      <c r="TC2" s="64"/>
      <c r="TD2" s="72"/>
      <c r="TE2" s="145"/>
      <c r="TF2" s="145"/>
      <c r="TG2" s="126"/>
      <c r="TH2" s="126"/>
      <c r="TI2" s="64"/>
      <c r="TJ2" s="72"/>
      <c r="TK2" s="145"/>
      <c r="TL2" s="145"/>
      <c r="TM2" s="126"/>
      <c r="TN2" s="126"/>
      <c r="TO2" s="64"/>
      <c r="TP2" s="72"/>
      <c r="TQ2" s="145"/>
      <c r="TR2" s="145"/>
      <c r="TS2" s="126"/>
      <c r="TT2" s="126"/>
      <c r="TU2" s="64"/>
      <c r="TV2" s="72"/>
      <c r="TW2" s="145"/>
      <c r="TX2" s="145"/>
      <c r="TY2" s="126"/>
      <c r="TZ2" s="126"/>
      <c r="UA2" s="64"/>
      <c r="UB2" s="72"/>
      <c r="UC2" s="145"/>
      <c r="UD2" s="145"/>
      <c r="UE2" s="126"/>
      <c r="UF2" s="126"/>
      <c r="UG2" s="64"/>
      <c r="UH2" s="72"/>
      <c r="UI2" s="145"/>
      <c r="UJ2" s="145"/>
      <c r="UK2" s="126"/>
      <c r="UL2" s="126"/>
      <c r="UM2" s="64"/>
      <c r="UN2" s="72"/>
      <c r="UO2" s="145"/>
      <c r="UP2" s="145"/>
      <c r="UQ2" s="126"/>
      <c r="UR2" s="126"/>
      <c r="US2" s="64"/>
      <c r="UT2" s="72"/>
      <c r="UU2" s="145"/>
      <c r="UV2" s="145"/>
      <c r="UW2" s="126"/>
      <c r="UX2" s="126"/>
      <c r="UY2" s="64"/>
      <c r="UZ2" s="72"/>
      <c r="VA2" s="145"/>
      <c r="VB2" s="145"/>
      <c r="VC2" s="126"/>
      <c r="VD2" s="126"/>
      <c r="VE2" s="64"/>
      <c r="VF2" s="72"/>
      <c r="VG2" s="145"/>
      <c r="VH2" s="145"/>
      <c r="VI2" s="126"/>
      <c r="VJ2" s="126"/>
      <c r="VK2" s="64"/>
      <c r="VL2" s="72"/>
      <c r="VM2" s="145"/>
      <c r="VN2" s="145"/>
      <c r="VO2" s="126"/>
      <c r="VP2" s="126"/>
      <c r="VQ2" s="64"/>
      <c r="VR2" s="72"/>
      <c r="VS2" s="145"/>
      <c r="VT2" s="145"/>
      <c r="VU2" s="126"/>
      <c r="VV2" s="126"/>
      <c r="VW2" s="64"/>
      <c r="VX2" s="72"/>
      <c r="VY2" s="145"/>
      <c r="VZ2" s="145"/>
      <c r="WA2" s="126"/>
      <c r="WB2" s="126"/>
      <c r="WC2" s="64"/>
      <c r="WD2" s="72"/>
      <c r="WE2" s="145"/>
      <c r="WF2" s="145"/>
      <c r="WG2" s="126"/>
      <c r="WH2" s="126"/>
      <c r="WI2" s="64"/>
      <c r="WJ2" s="72"/>
      <c r="WK2" s="145"/>
      <c r="WL2" s="145"/>
      <c r="WM2" s="126"/>
      <c r="WN2" s="126"/>
      <c r="WO2" s="64"/>
      <c r="WP2" s="72"/>
      <c r="WQ2" s="145"/>
      <c r="WR2" s="145"/>
      <c r="WS2" s="126"/>
      <c r="WT2" s="126"/>
      <c r="WU2" s="64"/>
      <c r="WV2" s="72"/>
      <c r="WW2" s="145"/>
      <c r="WX2" s="145"/>
      <c r="WY2" s="126"/>
      <c r="WZ2" s="126"/>
      <c r="XA2" s="64"/>
      <c r="XB2" s="72"/>
      <c r="XC2" s="145"/>
      <c r="XD2" s="145"/>
      <c r="XE2" s="126"/>
      <c r="XF2" s="126"/>
      <c r="XG2" s="64"/>
      <c r="XH2" s="72"/>
      <c r="XI2" s="145"/>
      <c r="XJ2" s="145"/>
      <c r="XK2" s="126"/>
      <c r="XL2" s="126"/>
      <c r="XM2" s="64"/>
      <c r="XN2" s="72"/>
      <c r="XO2" s="145"/>
      <c r="XP2" s="145"/>
      <c r="XQ2" s="126"/>
      <c r="XR2" s="126"/>
      <c r="XS2" s="64"/>
      <c r="XT2" s="72"/>
      <c r="XU2" s="145"/>
      <c r="XV2" s="145"/>
      <c r="XW2" s="126"/>
      <c r="XX2" s="126"/>
      <c r="XY2" s="64"/>
      <c r="XZ2" s="72"/>
      <c r="YA2" s="145"/>
      <c r="YB2" s="145"/>
      <c r="YC2" s="126"/>
      <c r="YD2" s="126"/>
      <c r="YE2" s="64"/>
      <c r="YF2" s="72"/>
      <c r="YG2" s="145"/>
      <c r="YH2" s="145"/>
      <c r="YI2" s="126"/>
      <c r="YJ2" s="126"/>
      <c r="YK2" s="64"/>
      <c r="YL2" s="72"/>
      <c r="YM2" s="145"/>
      <c r="YN2" s="145"/>
      <c r="YO2" s="126"/>
      <c r="YP2" s="126"/>
      <c r="YQ2" s="64"/>
      <c r="YR2" s="72"/>
      <c r="YS2" s="145"/>
      <c r="YT2" s="145"/>
      <c r="YU2" s="126"/>
      <c r="YV2" s="126"/>
      <c r="YW2" s="64"/>
      <c r="YX2" s="72"/>
      <c r="YY2" s="145"/>
      <c r="YZ2" s="145"/>
      <c r="ZA2" s="126"/>
      <c r="ZB2" s="126"/>
      <c r="ZC2" s="64"/>
      <c r="ZD2" s="72"/>
      <c r="ZE2" s="145"/>
      <c r="ZF2" s="145"/>
      <c r="ZG2" s="126"/>
      <c r="ZH2" s="126"/>
      <c r="ZI2" s="64"/>
      <c r="ZJ2" s="72"/>
      <c r="ZK2" s="145"/>
      <c r="ZL2" s="145"/>
      <c r="ZM2" s="126"/>
      <c r="ZN2" s="126"/>
      <c r="ZO2" s="64"/>
      <c r="ZP2" s="72"/>
      <c r="ZQ2" s="145"/>
      <c r="ZR2" s="145"/>
      <c r="ZS2" s="126"/>
      <c r="ZT2" s="126"/>
      <c r="ZU2" s="64"/>
      <c r="ZV2" s="72"/>
      <c r="ZW2" s="145"/>
      <c r="ZX2" s="145"/>
      <c r="ZY2" s="126"/>
      <c r="ZZ2" s="126"/>
      <c r="AAA2" s="64"/>
      <c r="AAB2" s="72"/>
      <c r="AAC2" s="145"/>
      <c r="AAD2" s="145"/>
      <c r="AAE2" s="126"/>
      <c r="AAF2" s="126"/>
      <c r="AAG2" s="64"/>
      <c r="AAH2" s="72"/>
      <c r="AAI2" s="145"/>
      <c r="AAJ2" s="145"/>
      <c r="AAK2" s="126"/>
      <c r="AAL2" s="126"/>
      <c r="AAM2" s="64"/>
      <c r="AAN2" s="72"/>
      <c r="AAO2" s="145"/>
      <c r="AAP2" s="145"/>
      <c r="AAQ2" s="126"/>
      <c r="AAR2" s="126"/>
      <c r="AAS2" s="64"/>
      <c r="AAT2" s="72"/>
      <c r="AAU2" s="145"/>
      <c r="AAV2" s="145"/>
      <c r="AAW2" s="126"/>
      <c r="AAX2" s="126"/>
      <c r="AAY2" s="64"/>
      <c r="AAZ2" s="72"/>
      <c r="ABA2" s="145"/>
      <c r="ABB2" s="145"/>
      <c r="ABC2" s="126"/>
      <c r="ABD2" s="126"/>
      <c r="ABE2" s="64"/>
      <c r="ABF2" s="72"/>
      <c r="ABG2" s="145"/>
      <c r="ABH2" s="145"/>
      <c r="ABI2" s="126"/>
      <c r="ABJ2" s="126"/>
      <c r="ABK2" s="64"/>
      <c r="ABL2" s="72"/>
      <c r="ABM2" s="145"/>
      <c r="ABN2" s="145"/>
      <c r="ABO2" s="126"/>
      <c r="ABP2" s="126"/>
      <c r="ABQ2" s="64"/>
      <c r="ABR2" s="72"/>
      <c r="ABS2" s="145"/>
      <c r="ABT2" s="145"/>
      <c r="ABU2" s="126"/>
      <c r="ABV2" s="126"/>
      <c r="ABW2" s="64"/>
      <c r="ABX2" s="72"/>
      <c r="ABY2" s="145"/>
      <c r="ABZ2" s="145"/>
      <c r="ACA2" s="126"/>
      <c r="ACB2" s="126"/>
      <c r="ACC2" s="64"/>
      <c r="ACD2" s="72"/>
      <c r="ACE2" s="145"/>
      <c r="ACF2" s="145"/>
      <c r="ACG2" s="126"/>
      <c r="ACH2" s="126"/>
      <c r="ACI2" s="64"/>
      <c r="ACJ2" s="72"/>
      <c r="ACK2" s="145"/>
      <c r="ACL2" s="145"/>
      <c r="ACM2" s="126"/>
      <c r="ACN2" s="126"/>
      <c r="ACO2" s="64"/>
      <c r="ACP2" s="72"/>
      <c r="ACQ2" s="145"/>
      <c r="ACR2" s="145"/>
      <c r="ACS2" s="126"/>
      <c r="ACT2" s="126"/>
      <c r="ACU2" s="64"/>
      <c r="ACV2" s="72"/>
      <c r="ACW2" s="145"/>
      <c r="ACX2" s="145"/>
      <c r="ACY2" s="126"/>
      <c r="ACZ2" s="126"/>
      <c r="ADA2" s="64"/>
      <c r="ADB2" s="72"/>
      <c r="ADC2" s="145"/>
      <c r="ADD2" s="145"/>
      <c r="ADE2" s="126"/>
      <c r="ADF2" s="126"/>
      <c r="ADG2" s="64"/>
      <c r="ADH2" s="72"/>
      <c r="ADI2" s="145"/>
      <c r="ADJ2" s="145"/>
      <c r="ADK2" s="126"/>
      <c r="ADL2" s="126"/>
      <c r="ADM2" s="64"/>
      <c r="ADN2" s="72"/>
      <c r="ADO2" s="145"/>
      <c r="ADP2" s="145"/>
      <c r="ADQ2" s="126"/>
      <c r="ADR2" s="126"/>
      <c r="ADS2" s="64"/>
      <c r="ADT2" s="72"/>
      <c r="ADU2" s="145"/>
      <c r="ADV2" s="145"/>
      <c r="ADW2" s="126"/>
      <c r="ADX2" s="126"/>
      <c r="ADY2" s="64"/>
      <c r="ADZ2" s="72"/>
      <c r="AEA2" s="145"/>
      <c r="AEB2" s="145"/>
      <c r="AEC2" s="126"/>
      <c r="AED2" s="126"/>
      <c r="AEE2" s="64"/>
      <c r="AEF2" s="72"/>
      <c r="AEG2" s="145"/>
      <c r="AEH2" s="145"/>
      <c r="AEI2" s="126"/>
      <c r="AEJ2" s="126"/>
      <c r="AEK2" s="64"/>
      <c r="AEL2" s="72"/>
      <c r="AEM2" s="145"/>
      <c r="AEN2" s="145"/>
      <c r="AEO2" s="126"/>
      <c r="AEP2" s="126"/>
      <c r="AEQ2" s="64"/>
      <c r="AER2" s="72"/>
      <c r="AES2" s="145"/>
      <c r="AET2" s="145"/>
      <c r="AEU2" s="126"/>
      <c r="AEV2" s="126"/>
      <c r="AEW2" s="64"/>
      <c r="AEX2" s="72"/>
      <c r="AEY2" s="145"/>
      <c r="AEZ2" s="145"/>
      <c r="AFA2" s="126"/>
      <c r="AFB2" s="126"/>
      <c r="AFC2" s="64"/>
      <c r="AFD2" s="72"/>
      <c r="AFE2" s="145"/>
      <c r="AFF2" s="145"/>
      <c r="AFG2" s="126"/>
      <c r="AFH2" s="126"/>
      <c r="AFI2" s="64"/>
      <c r="AFJ2" s="72"/>
      <c r="AFK2" s="145"/>
      <c r="AFL2" s="145"/>
      <c r="AFM2" s="126"/>
      <c r="AFN2" s="126"/>
      <c r="AFO2" s="64"/>
      <c r="AFP2" s="72"/>
      <c r="AFQ2" s="145"/>
      <c r="AFR2" s="145"/>
      <c r="AFS2" s="126"/>
      <c r="AFT2" s="126"/>
      <c r="AFU2" s="64"/>
      <c r="AFV2" s="72"/>
      <c r="AFW2" s="145"/>
      <c r="AFX2" s="145"/>
      <c r="AFY2" s="126"/>
      <c r="AFZ2" s="126"/>
      <c r="AGA2" s="64"/>
      <c r="AGB2" s="72"/>
      <c r="AGC2" s="145"/>
      <c r="AGD2" s="145"/>
      <c r="AGE2" s="126"/>
      <c r="AGF2" s="126"/>
      <c r="AGG2" s="64"/>
      <c r="AGH2" s="72"/>
      <c r="AGI2" s="145"/>
      <c r="AGJ2" s="145"/>
      <c r="AGK2" s="126"/>
      <c r="AGL2" s="126"/>
      <c r="AGM2" s="64"/>
      <c r="AGN2" s="72"/>
      <c r="AGO2" s="145"/>
      <c r="AGP2" s="145"/>
      <c r="AGQ2" s="126"/>
      <c r="AGR2" s="126"/>
      <c r="AGS2" s="64"/>
      <c r="AGT2" s="72"/>
      <c r="AGU2" s="145"/>
      <c r="AGV2" s="145"/>
      <c r="AGW2" s="126"/>
      <c r="AGX2" s="126"/>
      <c r="AGY2" s="64"/>
      <c r="AGZ2" s="72"/>
      <c r="AHA2" s="145"/>
      <c r="AHB2" s="145"/>
      <c r="AHC2" s="126"/>
      <c r="AHD2" s="126"/>
      <c r="AHE2" s="64"/>
      <c r="AHF2" s="72"/>
      <c r="AHG2" s="145"/>
      <c r="AHH2" s="145"/>
      <c r="AHI2" s="126"/>
      <c r="AHJ2" s="126"/>
      <c r="AHK2" s="64"/>
      <c r="AHL2" s="72"/>
      <c r="AHM2" s="145"/>
      <c r="AHN2" s="145"/>
      <c r="AHO2" s="126"/>
      <c r="AHP2" s="126"/>
      <c r="AHQ2" s="64"/>
      <c r="AHR2" s="72"/>
      <c r="AHS2" s="145"/>
      <c r="AHT2" s="145"/>
      <c r="AHU2" s="126"/>
      <c r="AHV2" s="126"/>
      <c r="AHW2" s="64"/>
      <c r="AHX2" s="72"/>
      <c r="AHY2" s="145"/>
      <c r="AHZ2" s="145"/>
      <c r="AIA2" s="126"/>
      <c r="AIB2" s="126"/>
      <c r="AIC2" s="64"/>
      <c r="AID2" s="72"/>
      <c r="AIE2" s="145"/>
      <c r="AIF2" s="145"/>
      <c r="AIG2" s="126"/>
      <c r="AIH2" s="126"/>
      <c r="AII2" s="64"/>
      <c r="AIJ2" s="72"/>
      <c r="AIK2" s="145"/>
      <c r="AIL2" s="145"/>
      <c r="AIM2" s="126"/>
      <c r="AIN2" s="126"/>
      <c r="AIO2" s="64"/>
      <c r="AIP2" s="72"/>
      <c r="AIQ2" s="145"/>
      <c r="AIR2" s="145"/>
      <c r="AIS2" s="126"/>
      <c r="AIT2" s="126"/>
      <c r="AIU2" s="64"/>
      <c r="AIV2" s="72"/>
      <c r="AIW2" s="145"/>
      <c r="AIX2" s="145"/>
      <c r="AIY2" s="126"/>
      <c r="AIZ2" s="126"/>
      <c r="AJA2" s="64"/>
      <c r="AJB2" s="72"/>
      <c r="AJC2" s="145"/>
      <c r="AJD2" s="145"/>
      <c r="AJE2" s="126"/>
      <c r="AJF2" s="126"/>
      <c r="AJG2" s="64"/>
      <c r="AJH2" s="72"/>
      <c r="AJI2" s="145"/>
      <c r="AJJ2" s="145"/>
      <c r="AJK2" s="126"/>
      <c r="AJL2" s="126"/>
      <c r="AJM2" s="64"/>
      <c r="AJN2" s="72"/>
      <c r="AJO2" s="145"/>
      <c r="AJP2" s="145"/>
      <c r="AJQ2" s="126"/>
      <c r="AJR2" s="126"/>
      <c r="AJS2" s="64"/>
      <c r="AJT2" s="72"/>
      <c r="AJU2" s="145"/>
      <c r="AJV2" s="145"/>
      <c r="AJW2" s="126"/>
      <c r="AJX2" s="126"/>
      <c r="AJY2" s="64"/>
      <c r="AJZ2" s="72"/>
      <c r="AKA2" s="145"/>
      <c r="AKB2" s="145"/>
      <c r="AKC2" s="126"/>
      <c r="AKD2" s="126"/>
      <c r="AKE2" s="64"/>
      <c r="AKF2" s="72"/>
      <c r="AKG2" s="145"/>
      <c r="AKH2" s="145"/>
      <c r="AKI2" s="126"/>
      <c r="AKJ2" s="126"/>
      <c r="AKK2" s="64"/>
      <c r="AKL2" s="72"/>
      <c r="AKM2" s="145"/>
      <c r="AKN2" s="145"/>
      <c r="AKO2" s="126"/>
      <c r="AKP2" s="126"/>
      <c r="AKQ2" s="64"/>
      <c r="AKR2" s="72"/>
      <c r="AKS2" s="145"/>
      <c r="AKT2" s="145"/>
      <c r="AKU2" s="126"/>
      <c r="AKV2" s="126"/>
      <c r="AKW2" s="64"/>
      <c r="AKX2" s="72"/>
      <c r="AKY2" s="145"/>
      <c r="AKZ2" s="145"/>
      <c r="ALA2" s="126"/>
      <c r="ALB2" s="126"/>
      <c r="ALC2" s="64"/>
      <c r="ALD2" s="72"/>
      <c r="ALE2" s="145"/>
      <c r="ALF2" s="145"/>
      <c r="ALG2" s="126"/>
      <c r="ALH2" s="126"/>
      <c r="ALI2" s="64"/>
      <c r="ALJ2" s="72"/>
      <c r="ALK2" s="145"/>
      <c r="ALL2" s="145"/>
      <c r="ALM2" s="126"/>
      <c r="ALN2" s="126"/>
      <c r="ALO2" s="64"/>
      <c r="ALP2" s="72"/>
      <c r="ALQ2" s="145"/>
      <c r="ALR2" s="145"/>
      <c r="ALS2" s="126"/>
      <c r="ALT2" s="126"/>
      <c r="ALU2" s="64"/>
      <c r="ALV2" s="72"/>
      <c r="ALW2" s="145"/>
      <c r="ALX2" s="145"/>
      <c r="ALY2" s="126"/>
      <c r="ALZ2" s="126"/>
      <c r="AMA2" s="64"/>
      <c r="AMB2" s="72"/>
      <c r="AMC2" s="145"/>
      <c r="AMD2" s="145"/>
      <c r="AME2" s="126"/>
      <c r="AMF2" s="126"/>
      <c r="AMG2" s="64"/>
      <c r="AMH2" s="72"/>
      <c r="AMI2" s="145"/>
      <c r="AMJ2" s="145"/>
      <c r="AMK2" s="126"/>
      <c r="AML2" s="126"/>
      <c r="AMM2" s="64"/>
      <c r="AMN2" s="72"/>
      <c r="AMO2" s="145"/>
      <c r="AMP2" s="145"/>
      <c r="AMQ2" s="126"/>
      <c r="AMR2" s="126"/>
      <c r="AMS2" s="64"/>
      <c r="AMT2" s="72"/>
      <c r="AMU2" s="145"/>
      <c r="AMV2" s="145"/>
      <c r="AMW2" s="126"/>
      <c r="AMX2" s="126"/>
      <c r="AMY2" s="64"/>
      <c r="AMZ2" s="72"/>
      <c r="ANA2" s="145"/>
      <c r="ANB2" s="145"/>
      <c r="ANC2" s="126"/>
      <c r="AND2" s="126"/>
      <c r="ANE2" s="64"/>
      <c r="ANF2" s="72"/>
      <c r="ANG2" s="145"/>
      <c r="ANH2" s="145"/>
      <c r="ANI2" s="126"/>
      <c r="ANJ2" s="126"/>
      <c r="ANK2" s="64"/>
      <c r="ANL2" s="72"/>
      <c r="ANM2" s="145"/>
      <c r="ANN2" s="145"/>
      <c r="ANO2" s="126"/>
      <c r="ANP2" s="126"/>
      <c r="ANQ2" s="64"/>
      <c r="ANR2" s="72"/>
      <c r="ANS2" s="145"/>
      <c r="ANT2" s="145"/>
      <c r="ANU2" s="126"/>
      <c r="ANV2" s="126"/>
      <c r="ANW2" s="64"/>
      <c r="ANX2" s="72"/>
      <c r="ANY2" s="145"/>
      <c r="ANZ2" s="145"/>
      <c r="AOA2" s="126"/>
      <c r="AOB2" s="126"/>
      <c r="AOC2" s="64"/>
      <c r="AOD2" s="72"/>
      <c r="AOE2" s="145"/>
      <c r="AOF2" s="145"/>
      <c r="AOG2" s="126"/>
      <c r="AOH2" s="126"/>
      <c r="AOI2" s="64"/>
      <c r="AOJ2" s="72"/>
      <c r="AOK2" s="145"/>
      <c r="AOL2" s="145"/>
      <c r="AOM2" s="126"/>
      <c r="AON2" s="126"/>
      <c r="AOO2" s="64"/>
      <c r="AOP2" s="72"/>
      <c r="AOQ2" s="145"/>
      <c r="AOR2" s="145"/>
      <c r="AOS2" s="126"/>
      <c r="AOT2" s="126"/>
      <c r="AOU2" s="64"/>
      <c r="AOV2" s="72"/>
      <c r="AOW2" s="145"/>
      <c r="AOX2" s="145"/>
      <c r="AOY2" s="126"/>
      <c r="AOZ2" s="126"/>
      <c r="APA2" s="64"/>
      <c r="APB2" s="72"/>
      <c r="APC2" s="145"/>
      <c r="APD2" s="145"/>
      <c r="APE2" s="126"/>
      <c r="APF2" s="126"/>
      <c r="APG2" s="64"/>
      <c r="APH2" s="72"/>
      <c r="API2" s="145"/>
      <c r="APJ2" s="145"/>
      <c r="APK2" s="126"/>
      <c r="APL2" s="126"/>
      <c r="APM2" s="64"/>
      <c r="APN2" s="72"/>
      <c r="APO2" s="145"/>
      <c r="APP2" s="145"/>
      <c r="APQ2" s="126"/>
      <c r="APR2" s="126"/>
      <c r="APS2" s="64"/>
      <c r="APT2" s="72"/>
      <c r="APU2" s="145"/>
      <c r="APV2" s="145"/>
      <c r="APW2" s="126"/>
      <c r="APX2" s="126"/>
      <c r="APY2" s="64"/>
      <c r="APZ2" s="72"/>
      <c r="AQA2" s="145"/>
      <c r="AQB2" s="145"/>
      <c r="AQC2" s="126"/>
      <c r="AQD2" s="126"/>
      <c r="AQE2" s="64"/>
      <c r="AQF2" s="72"/>
      <c r="AQG2" s="145"/>
      <c r="AQH2" s="145"/>
      <c r="AQI2" s="126"/>
      <c r="AQJ2" s="126"/>
      <c r="AQK2" s="64"/>
      <c r="AQL2" s="72"/>
      <c r="AQM2" s="145"/>
      <c r="AQN2" s="145"/>
      <c r="AQO2" s="126"/>
      <c r="AQP2" s="126"/>
      <c r="AQQ2" s="64"/>
      <c r="AQR2" s="72"/>
      <c r="AQS2" s="145"/>
      <c r="AQT2" s="145"/>
      <c r="AQU2" s="126"/>
      <c r="AQV2" s="126"/>
      <c r="AQW2" s="64"/>
      <c r="AQX2" s="72"/>
      <c r="AQY2" s="145"/>
      <c r="AQZ2" s="145"/>
      <c r="ARA2" s="126"/>
      <c r="ARB2" s="126"/>
      <c r="ARC2" s="64"/>
      <c r="ARD2" s="72"/>
      <c r="ARE2" s="145"/>
      <c r="ARF2" s="145"/>
      <c r="ARG2" s="126"/>
      <c r="ARH2" s="126"/>
      <c r="ARI2" s="64"/>
      <c r="ARJ2" s="72"/>
      <c r="ARK2" s="145"/>
      <c r="ARL2" s="145"/>
      <c r="ARM2" s="126"/>
      <c r="ARN2" s="126"/>
      <c r="ARO2" s="64"/>
      <c r="ARP2" s="72"/>
      <c r="ARQ2" s="145"/>
      <c r="ARR2" s="145"/>
      <c r="ARS2" s="126"/>
      <c r="ART2" s="126"/>
      <c r="ARU2" s="64"/>
      <c r="ARV2" s="72"/>
      <c r="ARW2" s="145"/>
      <c r="ARX2" s="145"/>
      <c r="ARY2" s="126"/>
      <c r="ARZ2" s="126"/>
      <c r="ASA2" s="64"/>
      <c r="ASB2" s="72"/>
      <c r="ASC2" s="145"/>
      <c r="ASD2" s="145"/>
      <c r="ASE2" s="126"/>
      <c r="ASF2" s="126"/>
      <c r="ASG2" s="64"/>
      <c r="ASH2" s="72"/>
      <c r="ASI2" s="145"/>
      <c r="ASJ2" s="145"/>
      <c r="ASK2" s="126"/>
      <c r="ASL2" s="126"/>
      <c r="ASM2" s="64"/>
      <c r="ASN2" s="72"/>
      <c r="ASO2" s="145"/>
      <c r="ASP2" s="145"/>
      <c r="ASQ2" s="126"/>
      <c r="ASR2" s="126"/>
      <c r="ASS2" s="64"/>
      <c r="AST2" s="72"/>
      <c r="ASU2" s="145"/>
      <c r="ASV2" s="145"/>
      <c r="ASW2" s="126"/>
      <c r="ASX2" s="126"/>
      <c r="ASY2" s="64"/>
      <c r="ASZ2" s="72"/>
      <c r="ATA2" s="145"/>
      <c r="ATB2" s="145"/>
      <c r="ATC2" s="126"/>
      <c r="ATD2" s="126"/>
      <c r="ATE2" s="64"/>
      <c r="ATF2" s="72"/>
      <c r="ATG2" s="145"/>
      <c r="ATH2" s="145"/>
      <c r="ATI2" s="126"/>
      <c r="ATJ2" s="126"/>
      <c r="ATK2" s="64"/>
      <c r="ATL2" s="72"/>
      <c r="ATM2" s="145"/>
      <c r="ATN2" s="145"/>
      <c r="ATO2" s="126"/>
      <c r="ATP2" s="126"/>
      <c r="ATQ2" s="64"/>
      <c r="ATR2" s="72"/>
      <c r="ATS2" s="145"/>
      <c r="ATT2" s="145"/>
      <c r="ATU2" s="126"/>
      <c r="ATV2" s="126"/>
      <c r="ATW2" s="64"/>
      <c r="ATX2" s="72"/>
      <c r="ATY2" s="145"/>
      <c r="ATZ2" s="145"/>
      <c r="AUA2" s="126"/>
      <c r="AUB2" s="126"/>
      <c r="AUC2" s="64"/>
      <c r="AUD2" s="72"/>
      <c r="AUE2" s="145"/>
      <c r="AUF2" s="145"/>
      <c r="AUG2" s="126"/>
      <c r="AUH2" s="126"/>
      <c r="AUI2" s="64"/>
      <c r="AUJ2" s="72"/>
      <c r="AUK2" s="145"/>
      <c r="AUL2" s="145"/>
      <c r="AUM2" s="126"/>
      <c r="AUN2" s="126"/>
      <c r="AUO2" s="64"/>
      <c r="AUP2" s="72"/>
      <c r="AUQ2" s="145"/>
      <c r="AUR2" s="145"/>
      <c r="AUS2" s="126"/>
      <c r="AUT2" s="126"/>
      <c r="AUU2" s="64"/>
      <c r="AUV2" s="72"/>
      <c r="AUW2" s="145"/>
      <c r="AUX2" s="145"/>
      <c r="AUY2" s="126"/>
      <c r="AUZ2" s="126"/>
      <c r="AVA2" s="64"/>
      <c r="AVB2" s="72"/>
      <c r="AVC2" s="145"/>
      <c r="AVD2" s="145"/>
      <c r="AVE2" s="126"/>
      <c r="AVF2" s="126"/>
      <c r="AVG2" s="64"/>
      <c r="AVH2" s="72"/>
      <c r="AVI2" s="145"/>
      <c r="AVJ2" s="145"/>
      <c r="AVK2" s="126"/>
      <c r="AVL2" s="126"/>
      <c r="AVM2" s="64"/>
      <c r="AVN2" s="72"/>
      <c r="AVO2" s="145"/>
      <c r="AVP2" s="145"/>
      <c r="AVQ2" s="126"/>
      <c r="AVR2" s="126"/>
      <c r="AVS2" s="64"/>
      <c r="AVT2" s="72"/>
      <c r="AVU2" s="145"/>
      <c r="AVV2" s="145"/>
      <c r="AVW2" s="126"/>
      <c r="AVX2" s="126"/>
      <c r="AVY2" s="64"/>
      <c r="AVZ2" s="72"/>
      <c r="AWA2" s="145"/>
      <c r="AWB2" s="145"/>
      <c r="AWC2" s="126"/>
      <c r="AWD2" s="126"/>
      <c r="AWE2" s="64"/>
      <c r="AWF2" s="72"/>
      <c r="AWG2" s="145"/>
      <c r="AWH2" s="145"/>
      <c r="AWI2" s="126"/>
      <c r="AWJ2" s="126"/>
      <c r="AWK2" s="64"/>
      <c r="AWL2" s="72"/>
      <c r="AWM2" s="145"/>
      <c r="AWN2" s="145"/>
      <c r="AWO2" s="126"/>
      <c r="AWP2" s="126"/>
      <c r="AWQ2" s="64"/>
      <c r="AWR2" s="72"/>
      <c r="AWS2" s="145"/>
      <c r="AWT2" s="145"/>
      <c r="AWU2" s="126"/>
      <c r="AWV2" s="126"/>
      <c r="AWW2" s="64"/>
      <c r="AWX2" s="72"/>
      <c r="AWY2" s="145"/>
      <c r="AWZ2" s="145"/>
      <c r="AXA2" s="126"/>
      <c r="AXB2" s="126"/>
      <c r="AXC2" s="64"/>
      <c r="AXD2" s="72"/>
      <c r="AXE2" s="145"/>
      <c r="AXF2" s="145"/>
      <c r="AXG2" s="126"/>
      <c r="AXH2" s="126"/>
      <c r="AXI2" s="64"/>
      <c r="AXJ2" s="72"/>
      <c r="AXK2" s="145"/>
      <c r="AXL2" s="145"/>
      <c r="AXM2" s="126"/>
      <c r="AXN2" s="126"/>
      <c r="AXO2" s="64"/>
      <c r="AXP2" s="72"/>
      <c r="AXQ2" s="145"/>
      <c r="AXR2" s="145"/>
      <c r="AXS2" s="126"/>
      <c r="AXT2" s="126"/>
      <c r="AXU2" s="64"/>
      <c r="AXV2" s="72"/>
      <c r="AXW2" s="145"/>
      <c r="AXX2" s="145"/>
      <c r="AXY2" s="126"/>
      <c r="AXZ2" s="126"/>
      <c r="AYA2" s="64"/>
      <c r="AYB2" s="72"/>
      <c r="AYC2" s="145"/>
      <c r="AYD2" s="145"/>
      <c r="AYE2" s="126"/>
      <c r="AYF2" s="126"/>
      <c r="AYG2" s="64"/>
      <c r="AYH2" s="72"/>
      <c r="AYI2" s="145"/>
      <c r="AYJ2" s="145"/>
      <c r="AYK2" s="126"/>
      <c r="AYL2" s="126"/>
      <c r="AYM2" s="64"/>
      <c r="AYN2" s="72"/>
      <c r="AYO2" s="145"/>
      <c r="AYP2" s="145"/>
      <c r="AYQ2" s="126"/>
      <c r="AYR2" s="126"/>
      <c r="AYS2" s="64"/>
      <c r="AYT2" s="72"/>
      <c r="AYU2" s="145"/>
      <c r="AYV2" s="145"/>
      <c r="AYW2" s="126"/>
      <c r="AYX2" s="126"/>
      <c r="AYY2" s="64"/>
      <c r="AYZ2" s="72"/>
      <c r="AZA2" s="145"/>
      <c r="AZB2" s="145"/>
      <c r="AZC2" s="126"/>
      <c r="AZD2" s="126"/>
      <c r="AZE2" s="64"/>
      <c r="AZF2" s="72"/>
      <c r="AZG2" s="145"/>
      <c r="AZH2" s="145"/>
      <c r="AZI2" s="126"/>
      <c r="AZJ2" s="126"/>
      <c r="AZK2" s="64"/>
      <c r="AZL2" s="72"/>
      <c r="AZM2" s="145"/>
      <c r="AZN2" s="145"/>
      <c r="AZO2" s="126"/>
      <c r="AZP2" s="126"/>
      <c r="AZQ2" s="64"/>
      <c r="AZR2" s="72"/>
      <c r="AZS2" s="145"/>
      <c r="AZT2" s="145"/>
      <c r="AZU2" s="126"/>
      <c r="AZV2" s="126"/>
      <c r="AZW2" s="64"/>
      <c r="AZX2" s="72"/>
      <c r="AZY2" s="145"/>
      <c r="AZZ2" s="145"/>
      <c r="BAA2" s="126"/>
      <c r="BAB2" s="126"/>
      <c r="BAC2" s="64"/>
      <c r="BAD2" s="72"/>
      <c r="BAE2" s="145"/>
      <c r="BAF2" s="145"/>
      <c r="BAG2" s="126"/>
      <c r="BAH2" s="126"/>
      <c r="BAI2" s="64"/>
      <c r="BAJ2" s="72"/>
      <c r="BAK2" s="145"/>
      <c r="BAL2" s="145"/>
      <c r="BAM2" s="126"/>
      <c r="BAN2" s="126"/>
      <c r="BAO2" s="64"/>
      <c r="BAP2" s="72"/>
      <c r="BAQ2" s="145"/>
      <c r="BAR2" s="145"/>
      <c r="BAS2" s="126"/>
      <c r="BAT2" s="126"/>
      <c r="BAU2" s="64"/>
      <c r="BAV2" s="72"/>
      <c r="BAW2" s="145"/>
      <c r="BAX2" s="145"/>
      <c r="BAY2" s="126"/>
      <c r="BAZ2" s="126"/>
      <c r="BBA2" s="64"/>
      <c r="BBB2" s="72"/>
      <c r="BBC2" s="145"/>
      <c r="BBD2" s="145"/>
      <c r="BBE2" s="126"/>
      <c r="BBF2" s="126"/>
      <c r="BBG2" s="64"/>
      <c r="BBH2" s="72"/>
      <c r="BBI2" s="145"/>
      <c r="BBJ2" s="145"/>
      <c r="BBK2" s="126"/>
      <c r="BBL2" s="126"/>
      <c r="BBM2" s="64"/>
      <c r="BBN2" s="72"/>
      <c r="BBO2" s="145"/>
      <c r="BBP2" s="145"/>
      <c r="BBQ2" s="126"/>
      <c r="BBR2" s="126"/>
      <c r="BBS2" s="64"/>
      <c r="BBT2" s="72"/>
      <c r="BBU2" s="145"/>
      <c r="BBV2" s="145"/>
      <c r="BBW2" s="126"/>
      <c r="BBX2" s="126"/>
      <c r="BBY2" s="64"/>
      <c r="BBZ2" s="72"/>
      <c r="BCA2" s="145"/>
      <c r="BCB2" s="145"/>
      <c r="BCC2" s="126"/>
      <c r="BCD2" s="126"/>
      <c r="BCE2" s="64"/>
      <c r="BCF2" s="72"/>
      <c r="BCG2" s="145"/>
      <c r="BCH2" s="145"/>
      <c r="BCI2" s="126"/>
      <c r="BCJ2" s="126"/>
      <c r="BCK2" s="64"/>
      <c r="BCL2" s="72"/>
      <c r="BCM2" s="145"/>
      <c r="BCN2" s="145"/>
      <c r="BCO2" s="126"/>
      <c r="BCP2" s="126"/>
      <c r="BCQ2" s="64"/>
      <c r="BCR2" s="72"/>
      <c r="BCS2" s="145"/>
      <c r="BCT2" s="145"/>
      <c r="BCU2" s="126"/>
      <c r="BCV2" s="126"/>
      <c r="BCW2" s="64"/>
      <c r="BCX2" s="72"/>
      <c r="BCY2" s="145"/>
      <c r="BCZ2" s="145"/>
      <c r="BDA2" s="126"/>
      <c r="BDB2" s="126"/>
      <c r="BDC2" s="64"/>
      <c r="BDD2" s="72"/>
      <c r="BDE2" s="145"/>
      <c r="BDF2" s="145"/>
      <c r="BDG2" s="126"/>
      <c r="BDH2" s="126"/>
      <c r="BDI2" s="64"/>
      <c r="BDJ2" s="72"/>
      <c r="BDK2" s="145"/>
      <c r="BDL2" s="145"/>
      <c r="BDM2" s="126"/>
      <c r="BDN2" s="126"/>
      <c r="BDO2" s="64"/>
      <c r="BDP2" s="72"/>
      <c r="BDQ2" s="145"/>
      <c r="BDR2" s="145"/>
      <c r="BDS2" s="126"/>
      <c r="BDT2" s="126"/>
      <c r="BDU2" s="64"/>
      <c r="BDV2" s="72"/>
      <c r="BDW2" s="145"/>
      <c r="BDX2" s="145"/>
      <c r="BDY2" s="126"/>
      <c r="BDZ2" s="126"/>
      <c r="BEA2" s="64"/>
      <c r="BEB2" s="72"/>
      <c r="BEC2" s="145"/>
      <c r="BED2" s="145"/>
      <c r="BEE2" s="126"/>
      <c r="BEF2" s="126"/>
      <c r="BEG2" s="64"/>
      <c r="BEH2" s="72"/>
      <c r="BEI2" s="145"/>
      <c r="BEJ2" s="145"/>
      <c r="BEK2" s="126"/>
      <c r="BEL2" s="126"/>
      <c r="BEM2" s="64"/>
      <c r="BEN2" s="72"/>
      <c r="BEO2" s="145"/>
      <c r="BEP2" s="145"/>
      <c r="BEQ2" s="126"/>
      <c r="BER2" s="126"/>
      <c r="BES2" s="64"/>
      <c r="BET2" s="72"/>
      <c r="BEU2" s="145"/>
      <c r="BEV2" s="145"/>
      <c r="BEW2" s="126"/>
      <c r="BEX2" s="126"/>
      <c r="BEY2" s="64"/>
      <c r="BEZ2" s="72"/>
      <c r="BFA2" s="145"/>
      <c r="BFB2" s="145"/>
      <c r="BFC2" s="126"/>
      <c r="BFD2" s="126"/>
      <c r="BFE2" s="64"/>
      <c r="BFF2" s="72"/>
      <c r="BFG2" s="145"/>
      <c r="BFH2" s="145"/>
      <c r="BFI2" s="126"/>
      <c r="BFJ2" s="126"/>
      <c r="BFK2" s="64"/>
      <c r="BFL2" s="72"/>
      <c r="BFM2" s="145"/>
      <c r="BFN2" s="145"/>
      <c r="BFO2" s="126"/>
      <c r="BFP2" s="126"/>
      <c r="BFQ2" s="64"/>
      <c r="BFR2" s="72"/>
      <c r="BFS2" s="145"/>
      <c r="BFT2" s="145"/>
      <c r="BFU2" s="126"/>
      <c r="BFV2" s="126"/>
      <c r="BFW2" s="64"/>
      <c r="BFX2" s="72"/>
      <c r="BFY2" s="145"/>
      <c r="BFZ2" s="145"/>
      <c r="BGA2" s="126"/>
      <c r="BGB2" s="126"/>
      <c r="BGC2" s="64"/>
      <c r="BGD2" s="72"/>
      <c r="BGE2" s="145"/>
      <c r="BGF2" s="145"/>
      <c r="BGG2" s="126"/>
      <c r="BGH2" s="126"/>
      <c r="BGI2" s="64"/>
      <c r="BGJ2" s="72"/>
      <c r="BGK2" s="145"/>
      <c r="BGL2" s="145"/>
      <c r="BGM2" s="126"/>
      <c r="BGN2" s="126"/>
      <c r="BGO2" s="64"/>
      <c r="BGP2" s="72"/>
      <c r="BGQ2" s="145"/>
      <c r="BGR2" s="145"/>
      <c r="BGS2" s="126"/>
      <c r="BGT2" s="126"/>
      <c r="BGU2" s="64"/>
      <c r="BGV2" s="72"/>
      <c r="BGW2" s="145"/>
      <c r="BGX2" s="145"/>
      <c r="BGY2" s="126"/>
      <c r="BGZ2" s="126"/>
      <c r="BHA2" s="64"/>
      <c r="BHB2" s="72"/>
      <c r="BHC2" s="145"/>
      <c r="BHD2" s="145"/>
      <c r="BHE2" s="126"/>
      <c r="BHF2" s="126"/>
      <c r="BHG2" s="64"/>
      <c r="BHH2" s="72"/>
      <c r="BHI2" s="145"/>
      <c r="BHJ2" s="145"/>
      <c r="BHK2" s="126"/>
      <c r="BHL2" s="126"/>
      <c r="BHM2" s="64"/>
      <c r="BHN2" s="72"/>
      <c r="BHO2" s="145"/>
      <c r="BHP2" s="145"/>
      <c r="BHQ2" s="126"/>
      <c r="BHR2" s="126"/>
      <c r="BHS2" s="64"/>
      <c r="BHT2" s="72"/>
      <c r="BHU2" s="145"/>
      <c r="BHV2" s="145"/>
      <c r="BHW2" s="126"/>
      <c r="BHX2" s="126"/>
      <c r="BHY2" s="64"/>
      <c r="BHZ2" s="72"/>
      <c r="BIA2" s="145"/>
      <c r="BIB2" s="145"/>
      <c r="BIC2" s="126"/>
      <c r="BID2" s="126"/>
      <c r="BIE2" s="64"/>
      <c r="BIF2" s="72"/>
      <c r="BIG2" s="145"/>
      <c r="BIH2" s="145"/>
      <c r="BII2" s="126"/>
      <c r="BIJ2" s="126"/>
      <c r="BIK2" s="64"/>
      <c r="BIL2" s="72"/>
      <c r="BIM2" s="145"/>
      <c r="BIN2" s="145"/>
      <c r="BIO2" s="126"/>
      <c r="BIP2" s="126"/>
      <c r="BIQ2" s="64"/>
      <c r="BIR2" s="72"/>
      <c r="BIS2" s="145"/>
      <c r="BIT2" s="145"/>
      <c r="BIU2" s="126"/>
      <c r="BIV2" s="126"/>
      <c r="BIW2" s="64"/>
      <c r="BIX2" s="72"/>
      <c r="BIY2" s="145"/>
      <c r="BIZ2" s="145"/>
      <c r="BJA2" s="126"/>
      <c r="BJB2" s="126"/>
      <c r="BJC2" s="64"/>
      <c r="BJD2" s="72"/>
      <c r="BJE2" s="145"/>
      <c r="BJF2" s="145"/>
      <c r="BJG2" s="126"/>
      <c r="BJH2" s="126"/>
      <c r="BJI2" s="64"/>
      <c r="BJJ2" s="72"/>
      <c r="BJK2" s="145"/>
      <c r="BJL2" s="145"/>
      <c r="BJM2" s="126"/>
      <c r="BJN2" s="126"/>
      <c r="BJO2" s="64"/>
      <c r="BJP2" s="72"/>
      <c r="BJQ2" s="145"/>
      <c r="BJR2" s="145"/>
      <c r="BJS2" s="126"/>
      <c r="BJT2" s="126"/>
      <c r="BJU2" s="64"/>
      <c r="BJV2" s="72"/>
      <c r="BJW2" s="145"/>
      <c r="BJX2" s="145"/>
      <c r="BJY2" s="126"/>
      <c r="BJZ2" s="126"/>
      <c r="BKA2" s="64"/>
      <c r="BKB2" s="72"/>
      <c r="BKC2" s="145"/>
      <c r="BKD2" s="145"/>
      <c r="BKE2" s="126"/>
      <c r="BKF2" s="126"/>
      <c r="BKG2" s="64"/>
      <c r="BKH2" s="72"/>
      <c r="BKI2" s="145"/>
      <c r="BKJ2" s="145"/>
      <c r="BKK2" s="126"/>
      <c r="BKL2" s="126"/>
      <c r="BKM2" s="64"/>
      <c r="BKN2" s="72"/>
      <c r="BKO2" s="145"/>
      <c r="BKP2" s="145"/>
      <c r="BKQ2" s="126"/>
      <c r="BKR2" s="126"/>
      <c r="BKS2" s="64"/>
      <c r="BKT2" s="72"/>
      <c r="BKU2" s="145"/>
      <c r="BKV2" s="145"/>
      <c r="BKW2" s="126"/>
      <c r="BKX2" s="126"/>
      <c r="BKY2" s="64"/>
      <c r="BKZ2" s="72"/>
      <c r="BLA2" s="145"/>
      <c r="BLB2" s="145"/>
      <c r="BLC2" s="126"/>
      <c r="BLD2" s="126"/>
      <c r="BLE2" s="64"/>
      <c r="BLF2" s="72"/>
      <c r="BLG2" s="145"/>
      <c r="BLH2" s="145"/>
      <c r="BLI2" s="126"/>
      <c r="BLJ2" s="126"/>
      <c r="BLK2" s="64"/>
      <c r="BLL2" s="72"/>
      <c r="BLM2" s="145"/>
      <c r="BLN2" s="145"/>
      <c r="BLO2" s="126"/>
      <c r="BLP2" s="126"/>
      <c r="BLQ2" s="64"/>
      <c r="BLR2" s="72"/>
      <c r="BLS2" s="145"/>
      <c r="BLT2" s="145"/>
      <c r="BLU2" s="126"/>
      <c r="BLV2" s="126"/>
      <c r="BLW2" s="64"/>
      <c r="BLX2" s="72"/>
      <c r="BLY2" s="145"/>
      <c r="BLZ2" s="145"/>
      <c r="BMA2" s="126"/>
      <c r="BMB2" s="126"/>
      <c r="BMC2" s="64"/>
      <c r="BMD2" s="72"/>
      <c r="BME2" s="145"/>
      <c r="BMF2" s="145"/>
      <c r="BMG2" s="126"/>
      <c r="BMH2" s="126"/>
      <c r="BMI2" s="64"/>
      <c r="BMJ2" s="72"/>
      <c r="BMK2" s="145"/>
      <c r="BML2" s="145"/>
      <c r="BMM2" s="126"/>
      <c r="BMN2" s="126"/>
      <c r="BMO2" s="64"/>
      <c r="BMP2" s="72"/>
      <c r="BMQ2" s="145"/>
      <c r="BMR2" s="145"/>
      <c r="BMS2" s="126"/>
      <c r="BMT2" s="126"/>
      <c r="BMU2" s="64"/>
      <c r="BMV2" s="72"/>
      <c r="BMW2" s="145"/>
      <c r="BMX2" s="145"/>
      <c r="BMY2" s="126"/>
      <c r="BMZ2" s="126"/>
      <c r="BNA2" s="64"/>
      <c r="BNB2" s="72"/>
      <c r="BNC2" s="145"/>
      <c r="BND2" s="145"/>
      <c r="BNE2" s="126"/>
      <c r="BNF2" s="126"/>
      <c r="BNG2" s="64"/>
      <c r="BNH2" s="72"/>
      <c r="BNI2" s="145"/>
      <c r="BNJ2" s="145"/>
      <c r="BNK2" s="126"/>
      <c r="BNL2" s="126"/>
      <c r="BNM2" s="64"/>
      <c r="BNN2" s="72"/>
      <c r="BNO2" s="145"/>
      <c r="BNP2" s="145"/>
      <c r="BNQ2" s="126"/>
      <c r="BNR2" s="126"/>
      <c r="BNS2" s="64"/>
      <c r="BNT2" s="72"/>
      <c r="BNU2" s="145"/>
      <c r="BNV2" s="145"/>
      <c r="BNW2" s="126"/>
      <c r="BNX2" s="126"/>
      <c r="BNY2" s="64"/>
      <c r="BNZ2" s="72"/>
      <c r="BOA2" s="145"/>
      <c r="BOB2" s="145"/>
      <c r="BOC2" s="126"/>
      <c r="BOD2" s="126"/>
      <c r="BOE2" s="64"/>
      <c r="BOF2" s="72"/>
      <c r="BOG2" s="145"/>
      <c r="BOH2" s="145"/>
      <c r="BOI2" s="126"/>
      <c r="BOJ2" s="126"/>
      <c r="BOK2" s="64"/>
      <c r="BOL2" s="72"/>
      <c r="BOM2" s="145"/>
      <c r="BON2" s="145"/>
      <c r="BOO2" s="126"/>
      <c r="BOP2" s="126"/>
      <c r="BOQ2" s="64"/>
      <c r="BOR2" s="72"/>
      <c r="BOS2" s="145"/>
      <c r="BOT2" s="145"/>
      <c r="BOU2" s="126"/>
      <c r="BOV2" s="126"/>
      <c r="BOW2" s="64"/>
      <c r="BOX2" s="72"/>
      <c r="BOY2" s="145"/>
      <c r="BOZ2" s="145"/>
      <c r="BPA2" s="126"/>
      <c r="BPB2" s="126"/>
      <c r="BPC2" s="64"/>
      <c r="BPD2" s="72"/>
      <c r="BPE2" s="145"/>
      <c r="BPF2" s="145"/>
      <c r="BPG2" s="126"/>
      <c r="BPH2" s="126"/>
      <c r="BPI2" s="64"/>
      <c r="BPJ2" s="72"/>
      <c r="BPK2" s="145"/>
      <c r="BPL2" s="145"/>
      <c r="BPM2" s="126"/>
      <c r="BPN2" s="126"/>
      <c r="BPO2" s="64"/>
      <c r="BPP2" s="72"/>
      <c r="BPQ2" s="145"/>
      <c r="BPR2" s="145"/>
      <c r="BPS2" s="126"/>
      <c r="BPT2" s="126"/>
      <c r="BPU2" s="64"/>
      <c r="BPV2" s="72"/>
      <c r="BPW2" s="145"/>
      <c r="BPX2" s="145"/>
      <c r="BPY2" s="126"/>
      <c r="BPZ2" s="126"/>
      <c r="BQA2" s="64"/>
      <c r="BQB2" s="72"/>
      <c r="BQC2" s="145"/>
      <c r="BQD2" s="145"/>
      <c r="BQE2" s="126"/>
      <c r="BQF2" s="126"/>
      <c r="BQG2" s="64"/>
      <c r="BQH2" s="72"/>
      <c r="BQI2" s="145"/>
      <c r="BQJ2" s="145"/>
      <c r="BQK2" s="126"/>
      <c r="BQL2" s="126"/>
      <c r="BQM2" s="64"/>
      <c r="BQN2" s="72"/>
      <c r="BQO2" s="145"/>
      <c r="BQP2" s="145"/>
      <c r="BQQ2" s="126"/>
      <c r="BQR2" s="126"/>
      <c r="BQS2" s="64"/>
      <c r="BQT2" s="72"/>
      <c r="BQU2" s="145"/>
      <c r="BQV2" s="145"/>
      <c r="BQW2" s="126"/>
      <c r="BQX2" s="126"/>
      <c r="BQY2" s="64"/>
      <c r="BQZ2" s="72"/>
      <c r="BRA2" s="145"/>
      <c r="BRB2" s="145"/>
      <c r="BRC2" s="126"/>
      <c r="BRD2" s="126"/>
      <c r="BRE2" s="64"/>
      <c r="BRF2" s="72"/>
      <c r="BRG2" s="145"/>
      <c r="BRH2" s="145"/>
      <c r="BRI2" s="126"/>
      <c r="BRJ2" s="126"/>
      <c r="BRK2" s="64"/>
      <c r="BRL2" s="72"/>
      <c r="BRM2" s="145"/>
      <c r="BRN2" s="145"/>
      <c r="BRO2" s="126"/>
      <c r="BRP2" s="126"/>
      <c r="BRQ2" s="64"/>
      <c r="BRR2" s="72"/>
      <c r="BRS2" s="145"/>
      <c r="BRT2" s="145"/>
      <c r="BRU2" s="126"/>
      <c r="BRV2" s="126"/>
      <c r="BRW2" s="64"/>
      <c r="BRX2" s="72"/>
      <c r="BRY2" s="145"/>
      <c r="BRZ2" s="145"/>
      <c r="BSA2" s="126"/>
      <c r="BSB2" s="126"/>
      <c r="BSC2" s="64"/>
      <c r="BSD2" s="72"/>
      <c r="BSE2" s="145"/>
      <c r="BSF2" s="145"/>
      <c r="BSG2" s="126"/>
      <c r="BSH2" s="126"/>
      <c r="BSI2" s="64"/>
      <c r="BSJ2" s="72"/>
      <c r="BSK2" s="145"/>
      <c r="BSL2" s="145"/>
      <c r="BSM2" s="126"/>
      <c r="BSN2" s="126"/>
      <c r="BSO2" s="64"/>
      <c r="BSP2" s="72"/>
      <c r="BSQ2" s="145"/>
      <c r="BSR2" s="145"/>
      <c r="BSS2" s="126"/>
      <c r="BST2" s="126"/>
      <c r="BSU2" s="64"/>
      <c r="BSV2" s="72"/>
      <c r="BSW2" s="145"/>
      <c r="BSX2" s="145"/>
      <c r="BSY2" s="126"/>
      <c r="BSZ2" s="126"/>
      <c r="BTA2" s="64"/>
      <c r="BTB2" s="72"/>
      <c r="BTC2" s="145"/>
      <c r="BTD2" s="145"/>
      <c r="BTE2" s="126"/>
      <c r="BTF2" s="126"/>
      <c r="BTG2" s="64"/>
      <c r="BTH2" s="72"/>
      <c r="BTI2" s="145"/>
      <c r="BTJ2" s="145"/>
      <c r="BTK2" s="126"/>
      <c r="BTL2" s="126"/>
      <c r="BTM2" s="64"/>
      <c r="BTN2" s="72"/>
      <c r="BTO2" s="145"/>
      <c r="BTP2" s="145"/>
      <c r="BTQ2" s="126"/>
      <c r="BTR2" s="126"/>
      <c r="BTS2" s="64"/>
      <c r="BTT2" s="72"/>
      <c r="BTU2" s="145"/>
      <c r="BTV2" s="145"/>
      <c r="BTW2" s="126"/>
      <c r="BTX2" s="126"/>
      <c r="BTY2" s="64"/>
      <c r="BTZ2" s="72"/>
      <c r="BUA2" s="145"/>
      <c r="BUB2" s="145"/>
      <c r="BUC2" s="126"/>
      <c r="BUD2" s="126"/>
      <c r="BUE2" s="64"/>
      <c r="BUF2" s="72"/>
      <c r="BUG2" s="145"/>
      <c r="BUH2" s="145"/>
      <c r="BUI2" s="126"/>
      <c r="BUJ2" s="126"/>
      <c r="BUK2" s="64"/>
      <c r="BUL2" s="72"/>
      <c r="BUM2" s="145"/>
      <c r="BUN2" s="145"/>
      <c r="BUO2" s="126"/>
      <c r="BUP2" s="126"/>
      <c r="BUQ2" s="64"/>
      <c r="BUR2" s="72"/>
      <c r="BUS2" s="145"/>
      <c r="BUT2" s="145"/>
      <c r="BUU2" s="126"/>
      <c r="BUV2" s="126"/>
      <c r="BUW2" s="64"/>
      <c r="BUX2" s="72"/>
      <c r="BUY2" s="145"/>
      <c r="BUZ2" s="145"/>
      <c r="BVA2" s="126"/>
      <c r="BVB2" s="126"/>
      <c r="BVC2" s="64"/>
      <c r="BVD2" s="72"/>
      <c r="BVE2" s="145"/>
      <c r="BVF2" s="145"/>
      <c r="BVG2" s="126"/>
      <c r="BVH2" s="126"/>
      <c r="BVI2" s="64"/>
      <c r="BVJ2" s="72"/>
      <c r="BVK2" s="145"/>
      <c r="BVL2" s="145"/>
      <c r="BVM2" s="126"/>
      <c r="BVN2" s="126"/>
      <c r="BVO2" s="64"/>
      <c r="BVP2" s="72"/>
      <c r="BVQ2" s="145"/>
      <c r="BVR2" s="145"/>
      <c r="BVS2" s="126"/>
      <c r="BVT2" s="126"/>
      <c r="BVU2" s="64"/>
      <c r="BVV2" s="72"/>
      <c r="BVW2" s="145"/>
      <c r="BVX2" s="145"/>
      <c r="BVY2" s="126"/>
      <c r="BVZ2" s="126"/>
      <c r="BWA2" s="64"/>
      <c r="BWB2" s="72"/>
      <c r="BWC2" s="145"/>
      <c r="BWD2" s="145"/>
      <c r="BWE2" s="126"/>
      <c r="BWF2" s="126"/>
      <c r="BWG2" s="64"/>
      <c r="BWH2" s="72"/>
      <c r="BWI2" s="145"/>
      <c r="BWJ2" s="145"/>
      <c r="BWK2" s="126"/>
      <c r="BWL2" s="126"/>
      <c r="BWM2" s="64"/>
      <c r="BWN2" s="72"/>
      <c r="BWO2" s="145"/>
      <c r="BWP2" s="145"/>
      <c r="BWQ2" s="126"/>
      <c r="BWR2" s="126"/>
      <c r="BWS2" s="64"/>
      <c r="BWT2" s="72"/>
      <c r="BWU2" s="145"/>
      <c r="BWV2" s="145"/>
      <c r="BWW2" s="126"/>
      <c r="BWX2" s="126"/>
      <c r="BWY2" s="64"/>
      <c r="BWZ2" s="72"/>
      <c r="BXA2" s="145"/>
      <c r="BXB2" s="145"/>
      <c r="BXC2" s="126"/>
      <c r="BXD2" s="126"/>
      <c r="BXE2" s="64"/>
      <c r="BXF2" s="72"/>
      <c r="BXG2" s="145"/>
      <c r="BXH2" s="145"/>
      <c r="BXI2" s="126"/>
      <c r="BXJ2" s="126"/>
      <c r="BXK2" s="64"/>
      <c r="BXL2" s="72"/>
      <c r="BXM2" s="145"/>
      <c r="BXN2" s="145"/>
      <c r="BXO2" s="126"/>
      <c r="BXP2" s="126"/>
      <c r="BXQ2" s="64"/>
      <c r="BXR2" s="72"/>
      <c r="BXS2" s="145"/>
      <c r="BXT2" s="145"/>
      <c r="BXU2" s="126"/>
      <c r="BXV2" s="126"/>
      <c r="BXW2" s="64"/>
      <c r="BXX2" s="72"/>
      <c r="BXY2" s="145"/>
      <c r="BXZ2" s="145"/>
      <c r="BYA2" s="126"/>
      <c r="BYB2" s="126"/>
      <c r="BYC2" s="64"/>
      <c r="BYD2" s="72"/>
      <c r="BYE2" s="145"/>
      <c r="BYF2" s="145"/>
      <c r="BYG2" s="126"/>
      <c r="BYH2" s="126"/>
      <c r="BYI2" s="64"/>
      <c r="BYJ2" s="72"/>
      <c r="BYK2" s="145"/>
      <c r="BYL2" s="145"/>
      <c r="BYM2" s="126"/>
      <c r="BYN2" s="126"/>
      <c r="BYO2" s="64"/>
      <c r="BYP2" s="72"/>
      <c r="BYQ2" s="145"/>
      <c r="BYR2" s="145"/>
      <c r="BYS2" s="126"/>
      <c r="BYT2" s="126"/>
      <c r="BYU2" s="64"/>
      <c r="BYV2" s="72"/>
      <c r="BYW2" s="145"/>
      <c r="BYX2" s="145"/>
      <c r="BYY2" s="126"/>
      <c r="BYZ2" s="126"/>
      <c r="BZA2" s="64"/>
      <c r="BZB2" s="72"/>
      <c r="BZC2" s="145"/>
      <c r="BZD2" s="145"/>
      <c r="BZE2" s="126"/>
      <c r="BZF2" s="126"/>
      <c r="BZG2" s="64"/>
      <c r="BZH2" s="72"/>
      <c r="BZI2" s="145"/>
      <c r="BZJ2" s="145"/>
      <c r="BZK2" s="126"/>
      <c r="BZL2" s="126"/>
      <c r="BZM2" s="64"/>
      <c r="BZN2" s="72"/>
      <c r="BZO2" s="145"/>
      <c r="BZP2" s="145"/>
      <c r="BZQ2" s="126"/>
      <c r="BZR2" s="126"/>
      <c r="BZS2" s="64"/>
      <c r="BZT2" s="72"/>
      <c r="BZU2" s="145"/>
      <c r="BZV2" s="145"/>
      <c r="BZW2" s="126"/>
      <c r="BZX2" s="126"/>
      <c r="BZY2" s="64"/>
      <c r="BZZ2" s="72"/>
      <c r="CAA2" s="145"/>
      <c r="CAB2" s="145"/>
      <c r="CAC2" s="126"/>
      <c r="CAD2" s="126"/>
      <c r="CAE2" s="64"/>
      <c r="CAF2" s="72"/>
      <c r="CAG2" s="145"/>
      <c r="CAH2" s="145"/>
      <c r="CAI2" s="126"/>
      <c r="CAJ2" s="126"/>
      <c r="CAK2" s="64"/>
      <c r="CAL2" s="72"/>
      <c r="CAM2" s="145"/>
      <c r="CAN2" s="145"/>
      <c r="CAO2" s="126"/>
      <c r="CAP2" s="126"/>
      <c r="CAQ2" s="64"/>
      <c r="CAR2" s="72"/>
      <c r="CAS2" s="145"/>
      <c r="CAT2" s="145"/>
      <c r="CAU2" s="126"/>
      <c r="CAV2" s="126"/>
      <c r="CAW2" s="64"/>
      <c r="CAX2" s="72"/>
      <c r="CAY2" s="145"/>
      <c r="CAZ2" s="145"/>
      <c r="CBA2" s="126"/>
      <c r="CBB2" s="126"/>
      <c r="CBC2" s="64"/>
      <c r="CBD2" s="72"/>
      <c r="CBE2" s="145"/>
      <c r="CBF2" s="145"/>
      <c r="CBG2" s="126"/>
      <c r="CBH2" s="126"/>
      <c r="CBI2" s="64"/>
      <c r="CBJ2" s="72"/>
      <c r="CBK2" s="145"/>
      <c r="CBL2" s="145"/>
      <c r="CBM2" s="126"/>
      <c r="CBN2" s="126"/>
      <c r="CBO2" s="64"/>
      <c r="CBP2" s="72"/>
      <c r="CBQ2" s="145"/>
      <c r="CBR2" s="145"/>
      <c r="CBS2" s="126"/>
      <c r="CBT2" s="126"/>
      <c r="CBU2" s="64"/>
      <c r="CBV2" s="72"/>
      <c r="CBW2" s="145"/>
      <c r="CBX2" s="145"/>
      <c r="CBY2" s="126"/>
      <c r="CBZ2" s="126"/>
      <c r="CCA2" s="64"/>
      <c r="CCB2" s="72"/>
      <c r="CCC2" s="145"/>
      <c r="CCD2" s="145"/>
      <c r="CCE2" s="126"/>
      <c r="CCF2" s="126"/>
      <c r="CCG2" s="64"/>
      <c r="CCH2" s="72"/>
      <c r="CCI2" s="145"/>
      <c r="CCJ2" s="145"/>
      <c r="CCK2" s="126"/>
      <c r="CCL2" s="126"/>
      <c r="CCM2" s="64"/>
      <c r="CCN2" s="72"/>
      <c r="CCO2" s="145"/>
      <c r="CCP2" s="145"/>
      <c r="CCQ2" s="126"/>
      <c r="CCR2" s="126"/>
      <c r="CCS2" s="64"/>
      <c r="CCT2" s="72"/>
      <c r="CCU2" s="145"/>
      <c r="CCV2" s="145"/>
      <c r="CCW2" s="126"/>
      <c r="CCX2" s="126"/>
      <c r="CCY2" s="64"/>
      <c r="CCZ2" s="72"/>
      <c r="CDA2" s="145"/>
      <c r="CDB2" s="145"/>
      <c r="CDC2" s="126"/>
      <c r="CDD2" s="126"/>
      <c r="CDE2" s="64"/>
      <c r="CDF2" s="72"/>
      <c r="CDG2" s="145"/>
      <c r="CDH2" s="145"/>
      <c r="CDI2" s="126"/>
      <c r="CDJ2" s="126"/>
      <c r="CDK2" s="64"/>
      <c r="CDL2" s="72"/>
      <c r="CDM2" s="145"/>
      <c r="CDN2" s="145"/>
      <c r="CDO2" s="126"/>
      <c r="CDP2" s="126"/>
      <c r="CDQ2" s="64"/>
      <c r="CDR2" s="72"/>
      <c r="CDS2" s="145"/>
      <c r="CDT2" s="145"/>
      <c r="CDU2" s="126"/>
      <c r="CDV2" s="126"/>
      <c r="CDW2" s="64"/>
      <c r="CDX2" s="72"/>
      <c r="CDY2" s="145"/>
      <c r="CDZ2" s="145"/>
      <c r="CEA2" s="126"/>
      <c r="CEB2" s="126"/>
      <c r="CEC2" s="64"/>
      <c r="CED2" s="72"/>
      <c r="CEE2" s="145"/>
      <c r="CEF2" s="145"/>
      <c r="CEG2" s="126"/>
      <c r="CEH2" s="126"/>
      <c r="CEI2" s="64"/>
      <c r="CEJ2" s="72"/>
      <c r="CEK2" s="145"/>
      <c r="CEL2" s="145"/>
      <c r="CEM2" s="126"/>
      <c r="CEN2" s="126"/>
      <c r="CEO2" s="64"/>
      <c r="CEP2" s="72"/>
      <c r="CEQ2" s="145"/>
      <c r="CER2" s="145"/>
      <c r="CES2" s="126"/>
      <c r="CET2" s="126"/>
      <c r="CEU2" s="64"/>
      <c r="CEV2" s="72"/>
      <c r="CEW2" s="145"/>
      <c r="CEX2" s="145"/>
      <c r="CEY2" s="126"/>
      <c r="CEZ2" s="126"/>
      <c r="CFA2" s="64"/>
      <c r="CFB2" s="72"/>
      <c r="CFC2" s="145"/>
      <c r="CFD2" s="145"/>
      <c r="CFE2" s="126"/>
      <c r="CFF2" s="126"/>
      <c r="CFG2" s="64"/>
      <c r="CFH2" s="72"/>
      <c r="CFI2" s="145"/>
      <c r="CFJ2" s="145"/>
      <c r="CFK2" s="126"/>
      <c r="CFL2" s="126"/>
      <c r="CFM2" s="64"/>
      <c r="CFN2" s="72"/>
      <c r="CFO2" s="145"/>
      <c r="CFP2" s="145"/>
      <c r="CFQ2" s="126"/>
      <c r="CFR2" s="126"/>
      <c r="CFS2" s="64"/>
      <c r="CFT2" s="72"/>
      <c r="CFU2" s="145"/>
      <c r="CFV2" s="145"/>
      <c r="CFW2" s="126"/>
      <c r="CFX2" s="126"/>
      <c r="CFY2" s="64"/>
      <c r="CFZ2" s="72"/>
      <c r="CGA2" s="145"/>
      <c r="CGB2" s="145"/>
      <c r="CGC2" s="126"/>
      <c r="CGD2" s="126"/>
      <c r="CGE2" s="64"/>
      <c r="CGF2" s="72"/>
      <c r="CGG2" s="145"/>
      <c r="CGH2" s="145"/>
      <c r="CGI2" s="126"/>
      <c r="CGJ2" s="126"/>
      <c r="CGK2" s="64"/>
      <c r="CGL2" s="72"/>
      <c r="CGM2" s="145"/>
      <c r="CGN2" s="145"/>
      <c r="CGO2" s="126"/>
      <c r="CGP2" s="126"/>
      <c r="CGQ2" s="64"/>
      <c r="CGR2" s="72"/>
      <c r="CGS2" s="145"/>
      <c r="CGT2" s="145"/>
      <c r="CGU2" s="126"/>
      <c r="CGV2" s="126"/>
      <c r="CGW2" s="64"/>
      <c r="CGX2" s="72"/>
      <c r="CGY2" s="145"/>
      <c r="CGZ2" s="145"/>
      <c r="CHA2" s="126"/>
      <c r="CHB2" s="126"/>
      <c r="CHC2" s="64"/>
      <c r="CHD2" s="72"/>
      <c r="CHE2" s="145"/>
      <c r="CHF2" s="145"/>
      <c r="CHG2" s="126"/>
      <c r="CHH2" s="126"/>
      <c r="CHI2" s="64"/>
      <c r="CHJ2" s="72"/>
      <c r="CHK2" s="145"/>
      <c r="CHL2" s="145"/>
      <c r="CHM2" s="126"/>
      <c r="CHN2" s="126"/>
      <c r="CHO2" s="64"/>
      <c r="CHP2" s="72"/>
      <c r="CHQ2" s="145"/>
      <c r="CHR2" s="145"/>
      <c r="CHS2" s="126"/>
      <c r="CHT2" s="126"/>
      <c r="CHU2" s="64"/>
      <c r="CHV2" s="72"/>
      <c r="CHW2" s="145"/>
      <c r="CHX2" s="145"/>
      <c r="CHY2" s="126"/>
      <c r="CHZ2" s="126"/>
      <c r="CIA2" s="64"/>
      <c r="CIB2" s="72"/>
      <c r="CIC2" s="145"/>
      <c r="CID2" s="145"/>
      <c r="CIE2" s="126"/>
      <c r="CIF2" s="126"/>
      <c r="CIG2" s="64"/>
      <c r="CIH2" s="72"/>
      <c r="CII2" s="145"/>
      <c r="CIJ2" s="145"/>
      <c r="CIK2" s="126"/>
      <c r="CIL2" s="126"/>
      <c r="CIM2" s="64"/>
      <c r="CIN2" s="72"/>
      <c r="CIO2" s="145"/>
      <c r="CIP2" s="145"/>
      <c r="CIQ2" s="126"/>
      <c r="CIR2" s="126"/>
      <c r="CIS2" s="64"/>
      <c r="CIT2" s="72"/>
      <c r="CIU2" s="145"/>
      <c r="CIV2" s="145"/>
      <c r="CIW2" s="126"/>
      <c r="CIX2" s="126"/>
      <c r="CIY2" s="64"/>
      <c r="CIZ2" s="72"/>
      <c r="CJA2" s="145"/>
      <c r="CJB2" s="145"/>
      <c r="CJC2" s="126"/>
      <c r="CJD2" s="126"/>
      <c r="CJE2" s="64"/>
      <c r="CJF2" s="72"/>
      <c r="CJG2" s="145"/>
      <c r="CJH2" s="145"/>
      <c r="CJI2" s="126"/>
      <c r="CJJ2" s="126"/>
      <c r="CJK2" s="64"/>
      <c r="CJL2" s="72"/>
      <c r="CJM2" s="145"/>
      <c r="CJN2" s="145"/>
      <c r="CJO2" s="126"/>
      <c r="CJP2" s="126"/>
      <c r="CJQ2" s="64"/>
      <c r="CJR2" s="72"/>
      <c r="CJS2" s="145"/>
      <c r="CJT2" s="145"/>
      <c r="CJU2" s="126"/>
      <c r="CJV2" s="126"/>
      <c r="CJW2" s="64"/>
      <c r="CJX2" s="72"/>
      <c r="CJY2" s="145"/>
      <c r="CJZ2" s="145"/>
      <c r="CKA2" s="126"/>
      <c r="CKB2" s="126"/>
      <c r="CKC2" s="64"/>
      <c r="CKD2" s="72"/>
      <c r="CKE2" s="145"/>
      <c r="CKF2" s="145"/>
      <c r="CKG2" s="126"/>
      <c r="CKH2" s="126"/>
      <c r="CKI2" s="64"/>
      <c r="CKJ2" s="72"/>
      <c r="CKK2" s="145"/>
      <c r="CKL2" s="145"/>
      <c r="CKM2" s="126"/>
      <c r="CKN2" s="126"/>
      <c r="CKO2" s="64"/>
      <c r="CKP2" s="72"/>
      <c r="CKQ2" s="145"/>
      <c r="CKR2" s="145"/>
      <c r="CKS2" s="126"/>
      <c r="CKT2" s="126"/>
      <c r="CKU2" s="64"/>
      <c r="CKV2" s="72"/>
      <c r="CKW2" s="145"/>
      <c r="CKX2" s="145"/>
      <c r="CKY2" s="126"/>
      <c r="CKZ2" s="126"/>
      <c r="CLA2" s="64"/>
      <c r="CLB2" s="72"/>
      <c r="CLC2" s="145"/>
      <c r="CLD2" s="145"/>
      <c r="CLE2" s="126"/>
      <c r="CLF2" s="126"/>
      <c r="CLG2" s="64"/>
      <c r="CLH2" s="72"/>
      <c r="CLI2" s="145"/>
      <c r="CLJ2" s="145"/>
      <c r="CLK2" s="126"/>
      <c r="CLL2" s="126"/>
      <c r="CLM2" s="64"/>
      <c r="CLN2" s="72"/>
      <c r="CLO2" s="145"/>
      <c r="CLP2" s="145"/>
      <c r="CLQ2" s="126"/>
      <c r="CLR2" s="126"/>
      <c r="CLS2" s="64"/>
      <c r="CLT2" s="72"/>
      <c r="CLU2" s="145"/>
      <c r="CLV2" s="145"/>
      <c r="CLW2" s="126"/>
      <c r="CLX2" s="126"/>
      <c r="CLY2" s="64"/>
      <c r="CLZ2" s="72"/>
      <c r="CMA2" s="145"/>
      <c r="CMB2" s="145"/>
      <c r="CMC2" s="126"/>
      <c r="CMD2" s="126"/>
      <c r="CME2" s="64"/>
      <c r="CMF2" s="72"/>
      <c r="CMG2" s="145"/>
      <c r="CMH2" s="145"/>
      <c r="CMI2" s="126"/>
      <c r="CMJ2" s="126"/>
      <c r="CMK2" s="64"/>
      <c r="CML2" s="72"/>
      <c r="CMM2" s="145"/>
      <c r="CMN2" s="145"/>
      <c r="CMO2" s="126"/>
      <c r="CMP2" s="126"/>
      <c r="CMQ2" s="64"/>
      <c r="CMR2" s="72"/>
      <c r="CMS2" s="145"/>
      <c r="CMT2" s="145"/>
      <c r="CMU2" s="126"/>
      <c r="CMV2" s="126"/>
      <c r="CMW2" s="64"/>
      <c r="CMX2" s="72"/>
      <c r="CMY2" s="145"/>
      <c r="CMZ2" s="145"/>
      <c r="CNA2" s="126"/>
      <c r="CNB2" s="126"/>
      <c r="CNC2" s="64"/>
      <c r="CND2" s="72"/>
      <c r="CNE2" s="145"/>
      <c r="CNF2" s="145"/>
      <c r="CNG2" s="126"/>
      <c r="CNH2" s="126"/>
      <c r="CNI2" s="64"/>
      <c r="CNJ2" s="72"/>
      <c r="CNK2" s="145"/>
      <c r="CNL2" s="145"/>
      <c r="CNM2" s="126"/>
      <c r="CNN2" s="126"/>
      <c r="CNO2" s="64"/>
      <c r="CNP2" s="72"/>
      <c r="CNQ2" s="145"/>
      <c r="CNR2" s="145"/>
      <c r="CNS2" s="126"/>
      <c r="CNT2" s="126"/>
      <c r="CNU2" s="64"/>
      <c r="CNV2" s="72"/>
      <c r="CNW2" s="145"/>
      <c r="CNX2" s="145"/>
      <c r="CNY2" s="126"/>
      <c r="CNZ2" s="126"/>
      <c r="COA2" s="64"/>
      <c r="COB2" s="72"/>
      <c r="COC2" s="145"/>
      <c r="COD2" s="145"/>
      <c r="COE2" s="126"/>
      <c r="COF2" s="126"/>
      <c r="COG2" s="64"/>
      <c r="COH2" s="72"/>
      <c r="COI2" s="145"/>
      <c r="COJ2" s="145"/>
      <c r="COK2" s="126"/>
      <c r="COL2" s="126"/>
      <c r="COM2" s="64"/>
      <c r="CON2" s="72"/>
      <c r="COO2" s="145"/>
      <c r="COP2" s="145"/>
      <c r="COQ2" s="126"/>
      <c r="COR2" s="126"/>
      <c r="COS2" s="64"/>
      <c r="COT2" s="72"/>
      <c r="COU2" s="145"/>
      <c r="COV2" s="145"/>
      <c r="COW2" s="126"/>
      <c r="COX2" s="126"/>
      <c r="COY2" s="64"/>
      <c r="COZ2" s="72"/>
      <c r="CPA2" s="145"/>
      <c r="CPB2" s="145"/>
      <c r="CPC2" s="126"/>
      <c r="CPD2" s="126"/>
      <c r="CPE2" s="64"/>
      <c r="CPF2" s="72"/>
      <c r="CPG2" s="145"/>
      <c r="CPH2" s="145"/>
      <c r="CPI2" s="126"/>
      <c r="CPJ2" s="126"/>
      <c r="CPK2" s="64"/>
      <c r="CPL2" s="72"/>
      <c r="CPM2" s="145"/>
      <c r="CPN2" s="145"/>
      <c r="CPO2" s="126"/>
      <c r="CPP2" s="126"/>
      <c r="CPQ2" s="64"/>
      <c r="CPR2" s="72"/>
      <c r="CPS2" s="145"/>
      <c r="CPT2" s="145"/>
      <c r="CPU2" s="126"/>
      <c r="CPV2" s="126"/>
      <c r="CPW2" s="64"/>
      <c r="CPX2" s="72"/>
      <c r="CPY2" s="145"/>
      <c r="CPZ2" s="145"/>
      <c r="CQA2" s="126"/>
      <c r="CQB2" s="126"/>
      <c r="CQC2" s="64"/>
      <c r="CQD2" s="72"/>
      <c r="CQE2" s="145"/>
      <c r="CQF2" s="145"/>
      <c r="CQG2" s="126"/>
      <c r="CQH2" s="126"/>
      <c r="CQI2" s="64"/>
      <c r="CQJ2" s="72"/>
      <c r="CQK2" s="145"/>
      <c r="CQL2" s="145"/>
      <c r="CQM2" s="126"/>
      <c r="CQN2" s="126"/>
      <c r="CQO2" s="64"/>
      <c r="CQP2" s="72"/>
      <c r="CQQ2" s="145"/>
      <c r="CQR2" s="145"/>
      <c r="CQS2" s="126"/>
      <c r="CQT2" s="126"/>
      <c r="CQU2" s="64"/>
      <c r="CQV2" s="72"/>
      <c r="CQW2" s="145"/>
      <c r="CQX2" s="145"/>
      <c r="CQY2" s="126"/>
      <c r="CQZ2" s="126"/>
      <c r="CRA2" s="64"/>
      <c r="CRB2" s="72"/>
      <c r="CRC2" s="145"/>
      <c r="CRD2" s="145"/>
      <c r="CRE2" s="126"/>
      <c r="CRF2" s="126"/>
      <c r="CRG2" s="64"/>
      <c r="CRH2" s="72"/>
      <c r="CRI2" s="145"/>
      <c r="CRJ2" s="145"/>
      <c r="CRK2" s="126"/>
      <c r="CRL2" s="126"/>
      <c r="CRM2" s="64"/>
      <c r="CRN2" s="72"/>
      <c r="CRO2" s="145"/>
      <c r="CRP2" s="145"/>
      <c r="CRQ2" s="126"/>
      <c r="CRR2" s="126"/>
      <c r="CRS2" s="64"/>
      <c r="CRT2" s="72"/>
      <c r="CRU2" s="145"/>
      <c r="CRV2" s="145"/>
      <c r="CRW2" s="126"/>
      <c r="CRX2" s="126"/>
      <c r="CRY2" s="64"/>
      <c r="CRZ2" s="72"/>
      <c r="CSA2" s="145"/>
      <c r="CSB2" s="145"/>
      <c r="CSC2" s="126"/>
      <c r="CSD2" s="126"/>
      <c r="CSE2" s="64"/>
      <c r="CSF2" s="72"/>
      <c r="CSG2" s="145"/>
      <c r="CSH2" s="145"/>
      <c r="CSI2" s="126"/>
      <c r="CSJ2" s="126"/>
      <c r="CSK2" s="64"/>
      <c r="CSL2" s="72"/>
      <c r="CSM2" s="145"/>
      <c r="CSN2" s="145"/>
      <c r="CSO2" s="126"/>
      <c r="CSP2" s="126"/>
      <c r="CSQ2" s="64"/>
      <c r="CSR2" s="72"/>
      <c r="CSS2" s="145"/>
      <c r="CST2" s="145"/>
      <c r="CSU2" s="126"/>
      <c r="CSV2" s="126"/>
      <c r="CSW2" s="64"/>
      <c r="CSX2" s="72"/>
      <c r="CSY2" s="145"/>
      <c r="CSZ2" s="145"/>
      <c r="CTA2" s="126"/>
      <c r="CTB2" s="126"/>
      <c r="CTC2" s="64"/>
      <c r="CTD2" s="72"/>
      <c r="CTE2" s="145"/>
      <c r="CTF2" s="145"/>
      <c r="CTG2" s="126"/>
      <c r="CTH2" s="126"/>
      <c r="CTI2" s="64"/>
      <c r="CTJ2" s="72"/>
      <c r="CTK2" s="145"/>
      <c r="CTL2" s="145"/>
      <c r="CTM2" s="126"/>
      <c r="CTN2" s="126"/>
      <c r="CTO2" s="64"/>
      <c r="CTP2" s="72"/>
      <c r="CTQ2" s="145"/>
      <c r="CTR2" s="145"/>
      <c r="CTS2" s="126"/>
      <c r="CTT2" s="126"/>
      <c r="CTU2" s="64"/>
      <c r="CTV2" s="72"/>
      <c r="CTW2" s="145"/>
      <c r="CTX2" s="145"/>
      <c r="CTY2" s="126"/>
      <c r="CTZ2" s="126"/>
      <c r="CUA2" s="64"/>
      <c r="CUB2" s="72"/>
      <c r="CUC2" s="145"/>
      <c r="CUD2" s="145"/>
      <c r="CUE2" s="126"/>
      <c r="CUF2" s="126"/>
      <c r="CUG2" s="64"/>
      <c r="CUH2" s="72"/>
      <c r="CUI2" s="145"/>
      <c r="CUJ2" s="145"/>
      <c r="CUK2" s="126"/>
      <c r="CUL2" s="126"/>
      <c r="CUM2" s="64"/>
      <c r="CUN2" s="72"/>
      <c r="CUO2" s="145"/>
      <c r="CUP2" s="145"/>
      <c r="CUQ2" s="126"/>
      <c r="CUR2" s="126"/>
      <c r="CUS2" s="64"/>
      <c r="CUT2" s="72"/>
      <c r="CUU2" s="145"/>
      <c r="CUV2" s="145"/>
      <c r="CUW2" s="126"/>
      <c r="CUX2" s="126"/>
      <c r="CUY2" s="64"/>
      <c r="CUZ2" s="72"/>
      <c r="CVA2" s="145"/>
      <c r="CVB2" s="145"/>
      <c r="CVC2" s="126"/>
      <c r="CVD2" s="126"/>
      <c r="CVE2" s="64"/>
      <c r="CVF2" s="72"/>
      <c r="CVG2" s="145"/>
      <c r="CVH2" s="145"/>
      <c r="CVI2" s="126"/>
      <c r="CVJ2" s="126"/>
      <c r="CVK2" s="64"/>
      <c r="CVL2" s="72"/>
      <c r="CVM2" s="145"/>
      <c r="CVN2" s="145"/>
      <c r="CVO2" s="126"/>
      <c r="CVP2" s="126"/>
      <c r="CVQ2" s="64"/>
      <c r="CVR2" s="72"/>
      <c r="CVS2" s="145"/>
      <c r="CVT2" s="145"/>
      <c r="CVU2" s="126"/>
      <c r="CVV2" s="126"/>
      <c r="CVW2" s="64"/>
      <c r="CVX2" s="72"/>
      <c r="CVY2" s="145"/>
      <c r="CVZ2" s="145"/>
      <c r="CWA2" s="126"/>
      <c r="CWB2" s="126"/>
      <c r="CWC2" s="64"/>
      <c r="CWD2" s="72"/>
      <c r="CWE2" s="145"/>
      <c r="CWF2" s="145"/>
      <c r="CWG2" s="126"/>
      <c r="CWH2" s="126"/>
      <c r="CWI2" s="64"/>
      <c r="CWJ2" s="72"/>
      <c r="CWK2" s="145"/>
      <c r="CWL2" s="145"/>
      <c r="CWM2" s="126"/>
      <c r="CWN2" s="126"/>
      <c r="CWO2" s="64"/>
      <c r="CWP2" s="72"/>
      <c r="CWQ2" s="145"/>
      <c r="CWR2" s="145"/>
      <c r="CWS2" s="126"/>
      <c r="CWT2" s="126"/>
      <c r="CWU2" s="64"/>
      <c r="CWV2" s="72"/>
      <c r="CWW2" s="145"/>
      <c r="CWX2" s="145"/>
      <c r="CWY2" s="126"/>
      <c r="CWZ2" s="126"/>
      <c r="CXA2" s="64"/>
      <c r="CXB2" s="72"/>
      <c r="CXC2" s="145"/>
      <c r="CXD2" s="145"/>
      <c r="CXE2" s="126"/>
      <c r="CXF2" s="126"/>
      <c r="CXG2" s="64"/>
      <c r="CXH2" s="72"/>
      <c r="CXI2" s="145"/>
      <c r="CXJ2" s="145"/>
      <c r="CXK2" s="126"/>
      <c r="CXL2" s="126"/>
      <c r="CXM2" s="64"/>
      <c r="CXN2" s="72"/>
      <c r="CXO2" s="145"/>
      <c r="CXP2" s="145"/>
      <c r="CXQ2" s="126"/>
      <c r="CXR2" s="126"/>
      <c r="CXS2" s="64"/>
      <c r="CXT2" s="72"/>
      <c r="CXU2" s="145"/>
      <c r="CXV2" s="145"/>
      <c r="CXW2" s="126"/>
      <c r="CXX2" s="126"/>
      <c r="CXY2" s="64"/>
      <c r="CXZ2" s="72"/>
      <c r="CYA2" s="145"/>
      <c r="CYB2" s="145"/>
      <c r="CYC2" s="126"/>
      <c r="CYD2" s="126"/>
      <c r="CYE2" s="64"/>
      <c r="CYF2" s="72"/>
      <c r="CYG2" s="145"/>
      <c r="CYH2" s="145"/>
      <c r="CYI2" s="126"/>
      <c r="CYJ2" s="126"/>
      <c r="CYK2" s="64"/>
      <c r="CYL2" s="72"/>
      <c r="CYM2" s="145"/>
      <c r="CYN2" s="145"/>
      <c r="CYO2" s="126"/>
      <c r="CYP2" s="126"/>
      <c r="CYQ2" s="64"/>
      <c r="CYR2" s="72"/>
      <c r="CYS2" s="145"/>
      <c r="CYT2" s="145"/>
      <c r="CYU2" s="126"/>
      <c r="CYV2" s="126"/>
      <c r="CYW2" s="64"/>
      <c r="CYX2" s="72"/>
      <c r="CYY2" s="145"/>
      <c r="CYZ2" s="145"/>
      <c r="CZA2" s="126"/>
      <c r="CZB2" s="126"/>
      <c r="CZC2" s="64"/>
      <c r="CZD2" s="72"/>
      <c r="CZE2" s="145"/>
      <c r="CZF2" s="145"/>
      <c r="CZG2" s="126"/>
      <c r="CZH2" s="126"/>
      <c r="CZI2" s="64"/>
      <c r="CZJ2" s="72"/>
      <c r="CZK2" s="145"/>
      <c r="CZL2" s="145"/>
      <c r="CZM2" s="126"/>
      <c r="CZN2" s="126"/>
      <c r="CZO2" s="64"/>
      <c r="CZP2" s="72"/>
      <c r="CZQ2" s="145"/>
      <c r="CZR2" s="145"/>
      <c r="CZS2" s="126"/>
      <c r="CZT2" s="126"/>
      <c r="CZU2" s="64"/>
      <c r="CZV2" s="72"/>
      <c r="CZW2" s="145"/>
      <c r="CZX2" s="145"/>
      <c r="CZY2" s="126"/>
      <c r="CZZ2" s="126"/>
      <c r="DAA2" s="64"/>
      <c r="DAB2" s="72"/>
      <c r="DAC2" s="145"/>
      <c r="DAD2" s="145"/>
      <c r="DAE2" s="126"/>
      <c r="DAF2" s="126"/>
      <c r="DAG2" s="64"/>
      <c r="DAH2" s="72"/>
      <c r="DAI2" s="145"/>
      <c r="DAJ2" s="145"/>
      <c r="DAK2" s="126"/>
      <c r="DAL2" s="126"/>
      <c r="DAM2" s="64"/>
      <c r="DAN2" s="72"/>
      <c r="DAO2" s="145"/>
      <c r="DAP2" s="145"/>
      <c r="DAQ2" s="126"/>
      <c r="DAR2" s="126"/>
      <c r="DAS2" s="64"/>
      <c r="DAT2" s="72"/>
      <c r="DAU2" s="145"/>
      <c r="DAV2" s="145"/>
      <c r="DAW2" s="126"/>
      <c r="DAX2" s="126"/>
      <c r="DAY2" s="64"/>
      <c r="DAZ2" s="72"/>
      <c r="DBA2" s="145"/>
      <c r="DBB2" s="145"/>
      <c r="DBC2" s="126"/>
      <c r="DBD2" s="126"/>
      <c r="DBE2" s="64"/>
      <c r="DBF2" s="72"/>
      <c r="DBG2" s="145"/>
      <c r="DBH2" s="145"/>
      <c r="DBI2" s="126"/>
      <c r="DBJ2" s="126"/>
      <c r="DBK2" s="64"/>
      <c r="DBL2" s="72"/>
      <c r="DBM2" s="145"/>
      <c r="DBN2" s="145"/>
      <c r="DBO2" s="126"/>
      <c r="DBP2" s="126"/>
      <c r="DBQ2" s="64"/>
      <c r="DBR2" s="72"/>
      <c r="DBS2" s="145"/>
      <c r="DBT2" s="145"/>
      <c r="DBU2" s="126"/>
      <c r="DBV2" s="126"/>
      <c r="DBW2" s="64"/>
      <c r="DBX2" s="72"/>
      <c r="DBY2" s="145"/>
      <c r="DBZ2" s="145"/>
      <c r="DCA2" s="126"/>
      <c r="DCB2" s="126"/>
      <c r="DCC2" s="64"/>
      <c r="DCD2" s="72"/>
      <c r="DCE2" s="145"/>
      <c r="DCF2" s="145"/>
      <c r="DCG2" s="126"/>
      <c r="DCH2" s="126"/>
      <c r="DCI2" s="64"/>
      <c r="DCJ2" s="72"/>
      <c r="DCK2" s="145"/>
      <c r="DCL2" s="145"/>
      <c r="DCM2" s="126"/>
      <c r="DCN2" s="126"/>
      <c r="DCO2" s="64"/>
      <c r="DCP2" s="72"/>
      <c r="DCQ2" s="145"/>
      <c r="DCR2" s="145"/>
      <c r="DCS2" s="126"/>
      <c r="DCT2" s="126"/>
      <c r="DCU2" s="64"/>
      <c r="DCV2" s="72"/>
      <c r="DCW2" s="145"/>
      <c r="DCX2" s="145"/>
      <c r="DCY2" s="126"/>
      <c r="DCZ2" s="126"/>
      <c r="DDA2" s="64"/>
      <c r="DDB2" s="72"/>
      <c r="DDC2" s="145"/>
      <c r="DDD2" s="145"/>
      <c r="DDE2" s="126"/>
      <c r="DDF2" s="126"/>
      <c r="DDG2" s="64"/>
      <c r="DDH2" s="72"/>
      <c r="DDI2" s="145"/>
      <c r="DDJ2" s="145"/>
      <c r="DDK2" s="126"/>
      <c r="DDL2" s="126"/>
      <c r="DDM2" s="64"/>
      <c r="DDN2" s="72"/>
      <c r="DDO2" s="145"/>
      <c r="DDP2" s="145"/>
      <c r="DDQ2" s="126"/>
      <c r="DDR2" s="126"/>
      <c r="DDS2" s="64"/>
      <c r="DDT2" s="72"/>
      <c r="DDU2" s="145"/>
      <c r="DDV2" s="145"/>
      <c r="DDW2" s="126"/>
      <c r="DDX2" s="126"/>
      <c r="DDY2" s="64"/>
      <c r="DDZ2" s="72"/>
      <c r="DEA2" s="145"/>
      <c r="DEB2" s="145"/>
      <c r="DEC2" s="126"/>
      <c r="DED2" s="126"/>
      <c r="DEE2" s="64"/>
      <c r="DEF2" s="72"/>
      <c r="DEG2" s="145"/>
      <c r="DEH2" s="145"/>
      <c r="DEI2" s="126"/>
      <c r="DEJ2" s="126"/>
      <c r="DEK2" s="64"/>
      <c r="DEL2" s="72"/>
      <c r="DEM2" s="145"/>
      <c r="DEN2" s="145"/>
      <c r="DEO2" s="126"/>
      <c r="DEP2" s="126"/>
      <c r="DEQ2" s="64"/>
      <c r="DER2" s="72"/>
      <c r="DES2" s="145"/>
      <c r="DET2" s="145"/>
      <c r="DEU2" s="126"/>
      <c r="DEV2" s="126"/>
      <c r="DEW2" s="64"/>
      <c r="DEX2" s="72"/>
      <c r="DEY2" s="145"/>
      <c r="DEZ2" s="145"/>
      <c r="DFA2" s="126"/>
      <c r="DFB2" s="126"/>
      <c r="DFC2" s="64"/>
      <c r="DFD2" s="72"/>
      <c r="DFE2" s="145"/>
      <c r="DFF2" s="145"/>
      <c r="DFG2" s="126"/>
      <c r="DFH2" s="126"/>
      <c r="DFI2" s="64"/>
      <c r="DFJ2" s="72"/>
      <c r="DFK2" s="145"/>
      <c r="DFL2" s="145"/>
      <c r="DFM2" s="126"/>
      <c r="DFN2" s="126"/>
      <c r="DFO2" s="64"/>
      <c r="DFP2" s="72"/>
      <c r="DFQ2" s="145"/>
      <c r="DFR2" s="145"/>
      <c r="DFS2" s="126"/>
      <c r="DFT2" s="126"/>
      <c r="DFU2" s="64"/>
      <c r="DFV2" s="72"/>
      <c r="DFW2" s="145"/>
      <c r="DFX2" s="145"/>
      <c r="DFY2" s="126"/>
      <c r="DFZ2" s="126"/>
      <c r="DGA2" s="64"/>
      <c r="DGB2" s="72"/>
      <c r="DGC2" s="145"/>
      <c r="DGD2" s="145"/>
      <c r="DGE2" s="126"/>
      <c r="DGF2" s="126"/>
      <c r="DGG2" s="64"/>
      <c r="DGH2" s="72"/>
      <c r="DGI2" s="145"/>
      <c r="DGJ2" s="145"/>
      <c r="DGK2" s="126"/>
      <c r="DGL2" s="126"/>
      <c r="DGM2" s="64"/>
      <c r="DGN2" s="72"/>
      <c r="DGO2" s="145"/>
      <c r="DGP2" s="145"/>
      <c r="DGQ2" s="126"/>
      <c r="DGR2" s="126"/>
      <c r="DGS2" s="64"/>
      <c r="DGT2" s="72"/>
      <c r="DGU2" s="145"/>
      <c r="DGV2" s="145"/>
      <c r="DGW2" s="126"/>
      <c r="DGX2" s="126"/>
      <c r="DGY2" s="64"/>
      <c r="DGZ2" s="72"/>
      <c r="DHA2" s="145"/>
      <c r="DHB2" s="145"/>
      <c r="DHC2" s="126"/>
      <c r="DHD2" s="126"/>
      <c r="DHE2" s="64"/>
      <c r="DHF2" s="72"/>
      <c r="DHG2" s="145"/>
      <c r="DHH2" s="145"/>
      <c r="DHI2" s="126"/>
      <c r="DHJ2" s="126"/>
      <c r="DHK2" s="64"/>
      <c r="DHL2" s="72"/>
      <c r="DHM2" s="145"/>
      <c r="DHN2" s="145"/>
      <c r="DHO2" s="126"/>
      <c r="DHP2" s="126"/>
      <c r="DHQ2" s="64"/>
      <c r="DHR2" s="72"/>
      <c r="DHS2" s="145"/>
      <c r="DHT2" s="145"/>
      <c r="DHU2" s="126"/>
      <c r="DHV2" s="126"/>
      <c r="DHW2" s="64"/>
      <c r="DHX2" s="72"/>
      <c r="DHY2" s="145"/>
      <c r="DHZ2" s="145"/>
      <c r="DIA2" s="126"/>
      <c r="DIB2" s="126"/>
      <c r="DIC2" s="64"/>
      <c r="DID2" s="72"/>
      <c r="DIE2" s="145"/>
      <c r="DIF2" s="145"/>
      <c r="DIG2" s="126"/>
      <c r="DIH2" s="126"/>
      <c r="DII2" s="64"/>
      <c r="DIJ2" s="72"/>
      <c r="DIK2" s="145"/>
      <c r="DIL2" s="145"/>
      <c r="DIM2" s="126"/>
      <c r="DIN2" s="126"/>
      <c r="DIO2" s="64"/>
      <c r="DIP2" s="72"/>
      <c r="DIQ2" s="145"/>
      <c r="DIR2" s="145"/>
      <c r="DIS2" s="126"/>
      <c r="DIT2" s="126"/>
      <c r="DIU2" s="64"/>
      <c r="DIV2" s="72"/>
      <c r="DIW2" s="145"/>
      <c r="DIX2" s="145"/>
      <c r="DIY2" s="126"/>
      <c r="DIZ2" s="126"/>
      <c r="DJA2" s="64"/>
      <c r="DJB2" s="72"/>
      <c r="DJC2" s="145"/>
      <c r="DJD2" s="145"/>
      <c r="DJE2" s="126"/>
      <c r="DJF2" s="126"/>
      <c r="DJG2" s="64"/>
      <c r="DJH2" s="72"/>
      <c r="DJI2" s="145"/>
      <c r="DJJ2" s="145"/>
      <c r="DJK2" s="126"/>
      <c r="DJL2" s="126"/>
      <c r="DJM2" s="64"/>
      <c r="DJN2" s="72"/>
      <c r="DJO2" s="145"/>
      <c r="DJP2" s="145"/>
      <c r="DJQ2" s="126"/>
      <c r="DJR2" s="126"/>
      <c r="DJS2" s="64"/>
      <c r="DJT2" s="72"/>
      <c r="DJU2" s="145"/>
      <c r="DJV2" s="145"/>
      <c r="DJW2" s="126"/>
      <c r="DJX2" s="126"/>
      <c r="DJY2" s="64"/>
      <c r="DJZ2" s="72"/>
      <c r="DKA2" s="145"/>
      <c r="DKB2" s="145"/>
      <c r="DKC2" s="126"/>
      <c r="DKD2" s="126"/>
      <c r="DKE2" s="64"/>
      <c r="DKF2" s="72"/>
      <c r="DKG2" s="145"/>
      <c r="DKH2" s="145"/>
      <c r="DKI2" s="126"/>
      <c r="DKJ2" s="126"/>
      <c r="DKK2" s="64"/>
      <c r="DKL2" s="72"/>
      <c r="DKM2" s="145"/>
      <c r="DKN2" s="145"/>
      <c r="DKO2" s="126"/>
      <c r="DKP2" s="126"/>
      <c r="DKQ2" s="64"/>
      <c r="DKR2" s="72"/>
      <c r="DKS2" s="145"/>
      <c r="DKT2" s="145"/>
      <c r="DKU2" s="126"/>
      <c r="DKV2" s="126"/>
      <c r="DKW2" s="64"/>
      <c r="DKX2" s="72"/>
      <c r="DKY2" s="145"/>
      <c r="DKZ2" s="145"/>
      <c r="DLA2" s="126"/>
      <c r="DLB2" s="126"/>
      <c r="DLC2" s="64"/>
      <c r="DLD2" s="72"/>
      <c r="DLE2" s="145"/>
      <c r="DLF2" s="145"/>
      <c r="DLG2" s="126"/>
      <c r="DLH2" s="126"/>
      <c r="DLI2" s="64"/>
      <c r="DLJ2" s="72"/>
      <c r="DLK2" s="145"/>
      <c r="DLL2" s="145"/>
      <c r="DLM2" s="126"/>
      <c r="DLN2" s="126"/>
      <c r="DLO2" s="64"/>
      <c r="DLP2" s="72"/>
      <c r="DLQ2" s="145"/>
      <c r="DLR2" s="145"/>
      <c r="DLS2" s="126"/>
      <c r="DLT2" s="126"/>
      <c r="DLU2" s="64"/>
      <c r="DLV2" s="72"/>
      <c r="DLW2" s="145"/>
      <c r="DLX2" s="145"/>
      <c r="DLY2" s="126"/>
      <c r="DLZ2" s="126"/>
      <c r="DMA2" s="64"/>
      <c r="DMB2" s="72"/>
      <c r="DMC2" s="145"/>
      <c r="DMD2" s="145"/>
      <c r="DME2" s="126"/>
      <c r="DMF2" s="126"/>
      <c r="DMG2" s="64"/>
      <c r="DMH2" s="72"/>
      <c r="DMI2" s="145"/>
      <c r="DMJ2" s="145"/>
      <c r="DMK2" s="126"/>
      <c r="DML2" s="126"/>
      <c r="DMM2" s="64"/>
      <c r="DMN2" s="72"/>
      <c r="DMO2" s="145"/>
      <c r="DMP2" s="145"/>
      <c r="DMQ2" s="126"/>
      <c r="DMR2" s="126"/>
      <c r="DMS2" s="64"/>
      <c r="DMT2" s="72"/>
      <c r="DMU2" s="145"/>
      <c r="DMV2" s="145"/>
      <c r="DMW2" s="126"/>
      <c r="DMX2" s="126"/>
      <c r="DMY2" s="64"/>
      <c r="DMZ2" s="72"/>
      <c r="DNA2" s="145"/>
      <c r="DNB2" s="145"/>
      <c r="DNC2" s="126"/>
      <c r="DND2" s="126"/>
      <c r="DNE2" s="64"/>
      <c r="DNF2" s="72"/>
      <c r="DNG2" s="145"/>
      <c r="DNH2" s="145"/>
      <c r="DNI2" s="126"/>
      <c r="DNJ2" s="126"/>
      <c r="DNK2" s="64"/>
      <c r="DNL2" s="72"/>
      <c r="DNM2" s="145"/>
      <c r="DNN2" s="145"/>
      <c r="DNO2" s="126"/>
      <c r="DNP2" s="126"/>
      <c r="DNQ2" s="64"/>
      <c r="DNR2" s="72"/>
      <c r="DNS2" s="145"/>
      <c r="DNT2" s="145"/>
      <c r="DNU2" s="126"/>
      <c r="DNV2" s="126"/>
      <c r="DNW2" s="64"/>
      <c r="DNX2" s="72"/>
      <c r="DNY2" s="145"/>
      <c r="DNZ2" s="145"/>
      <c r="DOA2" s="126"/>
      <c r="DOB2" s="126"/>
      <c r="DOC2" s="64"/>
      <c r="DOD2" s="72"/>
      <c r="DOE2" s="145"/>
      <c r="DOF2" s="145"/>
      <c r="DOG2" s="126"/>
      <c r="DOH2" s="126"/>
      <c r="DOI2" s="64"/>
      <c r="DOJ2" s="72"/>
      <c r="DOK2" s="145"/>
      <c r="DOL2" s="145"/>
      <c r="DOM2" s="126"/>
      <c r="DON2" s="126"/>
      <c r="DOO2" s="64"/>
      <c r="DOP2" s="72"/>
      <c r="DOQ2" s="145"/>
      <c r="DOR2" s="145"/>
      <c r="DOS2" s="126"/>
      <c r="DOT2" s="126"/>
      <c r="DOU2" s="64"/>
      <c r="DOV2" s="72"/>
      <c r="DOW2" s="145"/>
      <c r="DOX2" s="145"/>
      <c r="DOY2" s="126"/>
      <c r="DOZ2" s="126"/>
      <c r="DPA2" s="64"/>
      <c r="DPB2" s="72"/>
      <c r="DPC2" s="145"/>
      <c r="DPD2" s="145"/>
      <c r="DPE2" s="126"/>
      <c r="DPF2" s="126"/>
      <c r="DPG2" s="64"/>
      <c r="DPH2" s="72"/>
      <c r="DPI2" s="145"/>
      <c r="DPJ2" s="145"/>
      <c r="DPK2" s="126"/>
      <c r="DPL2" s="126"/>
      <c r="DPM2" s="64"/>
      <c r="DPN2" s="72"/>
      <c r="DPO2" s="145"/>
      <c r="DPP2" s="145"/>
      <c r="DPQ2" s="126"/>
      <c r="DPR2" s="126"/>
      <c r="DPS2" s="64"/>
      <c r="DPT2" s="72"/>
      <c r="DPU2" s="145"/>
      <c r="DPV2" s="145"/>
      <c r="DPW2" s="126"/>
      <c r="DPX2" s="126"/>
      <c r="DPY2" s="64"/>
      <c r="DPZ2" s="72"/>
      <c r="DQA2" s="145"/>
      <c r="DQB2" s="145"/>
      <c r="DQC2" s="126"/>
      <c r="DQD2" s="126"/>
      <c r="DQE2" s="64"/>
      <c r="DQF2" s="72"/>
      <c r="DQG2" s="145"/>
      <c r="DQH2" s="145"/>
      <c r="DQI2" s="126"/>
      <c r="DQJ2" s="126"/>
      <c r="DQK2" s="64"/>
      <c r="DQL2" s="72"/>
      <c r="DQM2" s="145"/>
      <c r="DQN2" s="145"/>
      <c r="DQO2" s="126"/>
      <c r="DQP2" s="126"/>
      <c r="DQQ2" s="64"/>
      <c r="DQR2" s="72"/>
      <c r="DQS2" s="145"/>
      <c r="DQT2" s="145"/>
      <c r="DQU2" s="126"/>
      <c r="DQV2" s="126"/>
      <c r="DQW2" s="64"/>
      <c r="DQX2" s="72"/>
      <c r="DQY2" s="145"/>
      <c r="DQZ2" s="145"/>
      <c r="DRA2" s="126"/>
      <c r="DRB2" s="126"/>
      <c r="DRC2" s="64"/>
      <c r="DRD2" s="72"/>
      <c r="DRE2" s="145"/>
      <c r="DRF2" s="145"/>
      <c r="DRG2" s="126"/>
      <c r="DRH2" s="126"/>
      <c r="DRI2" s="64"/>
      <c r="DRJ2" s="72"/>
      <c r="DRK2" s="145"/>
      <c r="DRL2" s="145"/>
      <c r="DRM2" s="126"/>
      <c r="DRN2" s="126"/>
      <c r="DRO2" s="64"/>
      <c r="DRP2" s="72"/>
      <c r="DRQ2" s="145"/>
      <c r="DRR2" s="145"/>
      <c r="DRS2" s="126"/>
      <c r="DRT2" s="126"/>
      <c r="DRU2" s="64"/>
      <c r="DRV2" s="72"/>
      <c r="DRW2" s="145"/>
      <c r="DRX2" s="145"/>
      <c r="DRY2" s="126"/>
      <c r="DRZ2" s="126"/>
      <c r="DSA2" s="64"/>
      <c r="DSB2" s="72"/>
      <c r="DSC2" s="145"/>
      <c r="DSD2" s="145"/>
      <c r="DSE2" s="126"/>
      <c r="DSF2" s="126"/>
      <c r="DSG2" s="64"/>
      <c r="DSH2" s="72"/>
      <c r="DSI2" s="145"/>
      <c r="DSJ2" s="145"/>
      <c r="DSK2" s="126"/>
      <c r="DSL2" s="126"/>
      <c r="DSM2" s="64"/>
      <c r="DSN2" s="72"/>
      <c r="DSO2" s="145"/>
      <c r="DSP2" s="145"/>
      <c r="DSQ2" s="126"/>
      <c r="DSR2" s="126"/>
      <c r="DSS2" s="64"/>
      <c r="DST2" s="72"/>
      <c r="DSU2" s="145"/>
      <c r="DSV2" s="145"/>
      <c r="DSW2" s="126"/>
      <c r="DSX2" s="126"/>
      <c r="DSY2" s="64"/>
      <c r="DSZ2" s="72"/>
      <c r="DTA2" s="145"/>
      <c r="DTB2" s="145"/>
      <c r="DTC2" s="126"/>
      <c r="DTD2" s="126"/>
      <c r="DTE2" s="64"/>
      <c r="DTF2" s="72"/>
      <c r="DTG2" s="145"/>
      <c r="DTH2" s="145"/>
      <c r="DTI2" s="126"/>
      <c r="DTJ2" s="126"/>
      <c r="DTK2" s="64"/>
      <c r="DTL2" s="72"/>
      <c r="DTM2" s="145"/>
      <c r="DTN2" s="145"/>
      <c r="DTO2" s="126"/>
      <c r="DTP2" s="126"/>
      <c r="DTQ2" s="64"/>
      <c r="DTR2" s="72"/>
      <c r="DTS2" s="145"/>
      <c r="DTT2" s="145"/>
      <c r="DTU2" s="126"/>
      <c r="DTV2" s="126"/>
      <c r="DTW2" s="64"/>
      <c r="DTX2" s="72"/>
      <c r="DTY2" s="145"/>
      <c r="DTZ2" s="145"/>
      <c r="DUA2" s="126"/>
      <c r="DUB2" s="126"/>
      <c r="DUC2" s="64"/>
      <c r="DUD2" s="72"/>
      <c r="DUE2" s="145"/>
      <c r="DUF2" s="145"/>
      <c r="DUG2" s="126"/>
      <c r="DUH2" s="126"/>
      <c r="DUI2" s="64"/>
      <c r="DUJ2" s="72"/>
      <c r="DUK2" s="145"/>
      <c r="DUL2" s="145"/>
      <c r="DUM2" s="126"/>
      <c r="DUN2" s="126"/>
      <c r="DUO2" s="64"/>
      <c r="DUP2" s="72"/>
      <c r="DUQ2" s="145"/>
      <c r="DUR2" s="145"/>
      <c r="DUS2" s="126"/>
      <c r="DUT2" s="126"/>
      <c r="DUU2" s="64"/>
      <c r="DUV2" s="72"/>
      <c r="DUW2" s="145"/>
      <c r="DUX2" s="145"/>
      <c r="DUY2" s="126"/>
      <c r="DUZ2" s="126"/>
      <c r="DVA2" s="64"/>
      <c r="DVB2" s="72"/>
      <c r="DVC2" s="145"/>
      <c r="DVD2" s="145"/>
      <c r="DVE2" s="126"/>
      <c r="DVF2" s="126"/>
      <c r="DVG2" s="64"/>
      <c r="DVH2" s="72"/>
      <c r="DVI2" s="145"/>
      <c r="DVJ2" s="145"/>
      <c r="DVK2" s="126"/>
      <c r="DVL2" s="126"/>
      <c r="DVM2" s="64"/>
      <c r="DVN2" s="72"/>
      <c r="DVO2" s="145"/>
      <c r="DVP2" s="145"/>
      <c r="DVQ2" s="126"/>
      <c r="DVR2" s="126"/>
      <c r="DVS2" s="64"/>
      <c r="DVT2" s="72"/>
      <c r="DVU2" s="145"/>
      <c r="DVV2" s="145"/>
      <c r="DVW2" s="126"/>
      <c r="DVX2" s="126"/>
      <c r="DVY2" s="64"/>
      <c r="DVZ2" s="72"/>
      <c r="DWA2" s="145"/>
      <c r="DWB2" s="145"/>
      <c r="DWC2" s="126"/>
      <c r="DWD2" s="126"/>
      <c r="DWE2" s="64"/>
      <c r="DWF2" s="72"/>
      <c r="DWG2" s="145"/>
      <c r="DWH2" s="145"/>
      <c r="DWI2" s="126"/>
      <c r="DWJ2" s="126"/>
      <c r="DWK2" s="64"/>
      <c r="DWL2" s="72"/>
      <c r="DWM2" s="145"/>
      <c r="DWN2" s="145"/>
      <c r="DWO2" s="126"/>
      <c r="DWP2" s="126"/>
      <c r="DWQ2" s="64"/>
      <c r="DWR2" s="72"/>
      <c r="DWS2" s="145"/>
      <c r="DWT2" s="145"/>
      <c r="DWU2" s="126"/>
      <c r="DWV2" s="126"/>
      <c r="DWW2" s="64"/>
      <c r="DWX2" s="72"/>
      <c r="DWY2" s="145"/>
      <c r="DWZ2" s="145"/>
      <c r="DXA2" s="126"/>
      <c r="DXB2" s="126"/>
      <c r="DXC2" s="64"/>
      <c r="DXD2" s="72"/>
      <c r="DXE2" s="145"/>
      <c r="DXF2" s="145"/>
      <c r="DXG2" s="126"/>
      <c r="DXH2" s="126"/>
      <c r="DXI2" s="64"/>
      <c r="DXJ2" s="72"/>
      <c r="DXK2" s="145"/>
      <c r="DXL2" s="145"/>
      <c r="DXM2" s="126"/>
      <c r="DXN2" s="126"/>
      <c r="DXO2" s="64"/>
      <c r="DXP2" s="72"/>
      <c r="DXQ2" s="145"/>
      <c r="DXR2" s="145"/>
      <c r="DXS2" s="126"/>
      <c r="DXT2" s="126"/>
      <c r="DXU2" s="64"/>
      <c r="DXV2" s="72"/>
      <c r="DXW2" s="145"/>
      <c r="DXX2" s="145"/>
      <c r="DXY2" s="126"/>
      <c r="DXZ2" s="126"/>
      <c r="DYA2" s="64"/>
      <c r="DYB2" s="72"/>
      <c r="DYC2" s="145"/>
      <c r="DYD2" s="145"/>
      <c r="DYE2" s="126"/>
      <c r="DYF2" s="126"/>
      <c r="DYG2" s="64"/>
      <c r="DYH2" s="72"/>
      <c r="DYI2" s="145"/>
      <c r="DYJ2" s="145"/>
      <c r="DYK2" s="126"/>
      <c r="DYL2" s="126"/>
      <c r="DYM2" s="64"/>
      <c r="DYN2" s="72"/>
      <c r="DYO2" s="145"/>
      <c r="DYP2" s="145"/>
      <c r="DYQ2" s="126"/>
      <c r="DYR2" s="126"/>
      <c r="DYS2" s="64"/>
      <c r="DYT2" s="72"/>
      <c r="DYU2" s="145"/>
      <c r="DYV2" s="145"/>
      <c r="DYW2" s="126"/>
      <c r="DYX2" s="126"/>
      <c r="DYY2" s="64"/>
      <c r="DYZ2" s="72"/>
      <c r="DZA2" s="145"/>
      <c r="DZB2" s="145"/>
      <c r="DZC2" s="126"/>
      <c r="DZD2" s="126"/>
      <c r="DZE2" s="64"/>
      <c r="DZF2" s="72"/>
      <c r="DZG2" s="145"/>
      <c r="DZH2" s="145"/>
      <c r="DZI2" s="126"/>
      <c r="DZJ2" s="126"/>
      <c r="DZK2" s="64"/>
      <c r="DZL2" s="72"/>
      <c r="DZM2" s="145"/>
      <c r="DZN2" s="145"/>
      <c r="DZO2" s="126"/>
      <c r="DZP2" s="126"/>
      <c r="DZQ2" s="64"/>
      <c r="DZR2" s="72"/>
      <c r="DZS2" s="145"/>
      <c r="DZT2" s="145"/>
      <c r="DZU2" s="126"/>
      <c r="DZV2" s="126"/>
      <c r="DZW2" s="64"/>
      <c r="DZX2" s="72"/>
      <c r="DZY2" s="145"/>
      <c r="DZZ2" s="145"/>
      <c r="EAA2" s="126"/>
      <c r="EAB2" s="126"/>
      <c r="EAC2" s="64"/>
      <c r="EAD2" s="72"/>
      <c r="EAE2" s="145"/>
      <c r="EAF2" s="145"/>
      <c r="EAG2" s="126"/>
      <c r="EAH2" s="126"/>
      <c r="EAI2" s="64"/>
      <c r="EAJ2" s="72"/>
      <c r="EAK2" s="145"/>
      <c r="EAL2" s="145"/>
      <c r="EAM2" s="126"/>
      <c r="EAN2" s="126"/>
      <c r="EAO2" s="64"/>
      <c r="EAP2" s="72"/>
      <c r="EAQ2" s="145"/>
      <c r="EAR2" s="145"/>
      <c r="EAS2" s="126"/>
      <c r="EAT2" s="126"/>
      <c r="EAU2" s="64"/>
      <c r="EAV2" s="72"/>
      <c r="EAW2" s="145"/>
      <c r="EAX2" s="145"/>
      <c r="EAY2" s="126"/>
      <c r="EAZ2" s="126"/>
      <c r="EBA2" s="64"/>
      <c r="EBB2" s="72"/>
      <c r="EBC2" s="145"/>
      <c r="EBD2" s="145"/>
      <c r="EBE2" s="126"/>
      <c r="EBF2" s="126"/>
      <c r="EBG2" s="64"/>
      <c r="EBH2" s="72"/>
      <c r="EBI2" s="145"/>
      <c r="EBJ2" s="145"/>
      <c r="EBK2" s="126"/>
      <c r="EBL2" s="126"/>
      <c r="EBM2" s="64"/>
      <c r="EBN2" s="72"/>
      <c r="EBO2" s="145"/>
      <c r="EBP2" s="145"/>
      <c r="EBQ2" s="126"/>
      <c r="EBR2" s="126"/>
      <c r="EBS2" s="64"/>
      <c r="EBT2" s="72"/>
      <c r="EBU2" s="145"/>
      <c r="EBV2" s="145"/>
      <c r="EBW2" s="126"/>
      <c r="EBX2" s="126"/>
      <c r="EBY2" s="64"/>
      <c r="EBZ2" s="72"/>
      <c r="ECA2" s="145"/>
      <c r="ECB2" s="145"/>
      <c r="ECC2" s="126"/>
      <c r="ECD2" s="126"/>
      <c r="ECE2" s="64"/>
      <c r="ECF2" s="72"/>
      <c r="ECG2" s="145"/>
      <c r="ECH2" s="145"/>
      <c r="ECI2" s="126"/>
      <c r="ECJ2" s="126"/>
      <c r="ECK2" s="64"/>
      <c r="ECL2" s="72"/>
      <c r="ECM2" s="145"/>
      <c r="ECN2" s="145"/>
      <c r="ECO2" s="126"/>
      <c r="ECP2" s="126"/>
      <c r="ECQ2" s="64"/>
      <c r="ECR2" s="72"/>
      <c r="ECS2" s="145"/>
      <c r="ECT2" s="145"/>
      <c r="ECU2" s="126"/>
      <c r="ECV2" s="126"/>
      <c r="ECW2" s="64"/>
      <c r="ECX2" s="72"/>
      <c r="ECY2" s="145"/>
      <c r="ECZ2" s="145"/>
      <c r="EDA2" s="126"/>
      <c r="EDB2" s="126"/>
      <c r="EDC2" s="64"/>
      <c r="EDD2" s="72"/>
      <c r="EDE2" s="145"/>
      <c r="EDF2" s="145"/>
      <c r="EDG2" s="126"/>
      <c r="EDH2" s="126"/>
      <c r="EDI2" s="64"/>
      <c r="EDJ2" s="72"/>
      <c r="EDK2" s="145"/>
      <c r="EDL2" s="145"/>
      <c r="EDM2" s="126"/>
      <c r="EDN2" s="126"/>
      <c r="EDO2" s="64"/>
      <c r="EDP2" s="72"/>
      <c r="EDQ2" s="145"/>
      <c r="EDR2" s="145"/>
      <c r="EDS2" s="126"/>
      <c r="EDT2" s="126"/>
      <c r="EDU2" s="64"/>
      <c r="EDV2" s="72"/>
      <c r="EDW2" s="145"/>
      <c r="EDX2" s="145"/>
      <c r="EDY2" s="126"/>
      <c r="EDZ2" s="126"/>
      <c r="EEA2" s="64"/>
      <c r="EEB2" s="72"/>
      <c r="EEC2" s="145"/>
      <c r="EED2" s="145"/>
      <c r="EEE2" s="126"/>
      <c r="EEF2" s="126"/>
      <c r="EEG2" s="64"/>
      <c r="EEH2" s="72"/>
      <c r="EEI2" s="145"/>
      <c r="EEJ2" s="145"/>
      <c r="EEK2" s="126"/>
      <c r="EEL2" s="126"/>
      <c r="EEM2" s="64"/>
      <c r="EEN2" s="72"/>
      <c r="EEO2" s="145"/>
      <c r="EEP2" s="145"/>
      <c r="EEQ2" s="126"/>
      <c r="EER2" s="126"/>
      <c r="EES2" s="64"/>
      <c r="EET2" s="72"/>
      <c r="EEU2" s="145"/>
      <c r="EEV2" s="145"/>
      <c r="EEW2" s="126"/>
      <c r="EEX2" s="126"/>
      <c r="EEY2" s="64"/>
      <c r="EEZ2" s="72"/>
      <c r="EFA2" s="145"/>
      <c r="EFB2" s="145"/>
      <c r="EFC2" s="126"/>
      <c r="EFD2" s="126"/>
      <c r="EFE2" s="64"/>
      <c r="EFF2" s="72"/>
      <c r="EFG2" s="145"/>
      <c r="EFH2" s="145"/>
      <c r="EFI2" s="126"/>
      <c r="EFJ2" s="126"/>
      <c r="EFK2" s="64"/>
      <c r="EFL2" s="72"/>
      <c r="EFM2" s="145"/>
      <c r="EFN2" s="145"/>
      <c r="EFO2" s="126"/>
      <c r="EFP2" s="126"/>
      <c r="EFQ2" s="64"/>
      <c r="EFR2" s="72"/>
      <c r="EFS2" s="145"/>
      <c r="EFT2" s="145"/>
      <c r="EFU2" s="126"/>
      <c r="EFV2" s="126"/>
      <c r="EFW2" s="64"/>
      <c r="EFX2" s="72"/>
      <c r="EFY2" s="145"/>
      <c r="EFZ2" s="145"/>
      <c r="EGA2" s="126"/>
      <c r="EGB2" s="126"/>
      <c r="EGC2" s="64"/>
      <c r="EGD2" s="72"/>
      <c r="EGE2" s="145"/>
      <c r="EGF2" s="145"/>
      <c r="EGG2" s="126"/>
      <c r="EGH2" s="126"/>
      <c r="EGI2" s="64"/>
      <c r="EGJ2" s="72"/>
      <c r="EGK2" s="145"/>
      <c r="EGL2" s="145"/>
      <c r="EGM2" s="126"/>
      <c r="EGN2" s="126"/>
      <c r="EGO2" s="64"/>
      <c r="EGP2" s="72"/>
      <c r="EGQ2" s="145"/>
      <c r="EGR2" s="145"/>
      <c r="EGS2" s="126"/>
      <c r="EGT2" s="126"/>
      <c r="EGU2" s="64"/>
      <c r="EGV2" s="72"/>
      <c r="EGW2" s="145"/>
      <c r="EGX2" s="145"/>
      <c r="EGY2" s="126"/>
      <c r="EGZ2" s="126"/>
      <c r="EHA2" s="64"/>
      <c r="EHB2" s="72"/>
      <c r="EHC2" s="145"/>
      <c r="EHD2" s="145"/>
      <c r="EHE2" s="126"/>
      <c r="EHF2" s="126"/>
      <c r="EHG2" s="64"/>
      <c r="EHH2" s="72"/>
      <c r="EHI2" s="145"/>
      <c r="EHJ2" s="145"/>
      <c r="EHK2" s="126"/>
      <c r="EHL2" s="126"/>
      <c r="EHM2" s="64"/>
      <c r="EHN2" s="72"/>
      <c r="EHO2" s="145"/>
      <c r="EHP2" s="145"/>
      <c r="EHQ2" s="126"/>
      <c r="EHR2" s="126"/>
      <c r="EHS2" s="64"/>
      <c r="EHT2" s="72"/>
      <c r="EHU2" s="145"/>
      <c r="EHV2" s="145"/>
      <c r="EHW2" s="126"/>
      <c r="EHX2" s="126"/>
      <c r="EHY2" s="64"/>
      <c r="EHZ2" s="72"/>
      <c r="EIA2" s="145"/>
      <c r="EIB2" s="145"/>
      <c r="EIC2" s="126"/>
      <c r="EID2" s="126"/>
      <c r="EIE2" s="64"/>
      <c r="EIF2" s="72"/>
      <c r="EIG2" s="145"/>
      <c r="EIH2" s="145"/>
      <c r="EII2" s="126"/>
      <c r="EIJ2" s="126"/>
      <c r="EIK2" s="64"/>
      <c r="EIL2" s="72"/>
      <c r="EIM2" s="145"/>
      <c r="EIN2" s="145"/>
      <c r="EIO2" s="126"/>
      <c r="EIP2" s="126"/>
      <c r="EIQ2" s="64"/>
      <c r="EIR2" s="72"/>
      <c r="EIS2" s="145"/>
      <c r="EIT2" s="145"/>
      <c r="EIU2" s="126"/>
      <c r="EIV2" s="126"/>
      <c r="EIW2" s="64"/>
      <c r="EIX2" s="72"/>
      <c r="EIY2" s="145"/>
      <c r="EIZ2" s="145"/>
      <c r="EJA2" s="126"/>
      <c r="EJB2" s="126"/>
      <c r="EJC2" s="64"/>
      <c r="EJD2" s="72"/>
      <c r="EJE2" s="145"/>
      <c r="EJF2" s="145"/>
      <c r="EJG2" s="126"/>
      <c r="EJH2" s="126"/>
      <c r="EJI2" s="64"/>
      <c r="EJJ2" s="72"/>
      <c r="EJK2" s="145"/>
      <c r="EJL2" s="145"/>
      <c r="EJM2" s="126"/>
      <c r="EJN2" s="126"/>
      <c r="EJO2" s="64"/>
      <c r="EJP2" s="72"/>
      <c r="EJQ2" s="145"/>
      <c r="EJR2" s="145"/>
      <c r="EJS2" s="126"/>
      <c r="EJT2" s="126"/>
      <c r="EJU2" s="64"/>
      <c r="EJV2" s="72"/>
      <c r="EJW2" s="145"/>
      <c r="EJX2" s="145"/>
      <c r="EJY2" s="126"/>
      <c r="EJZ2" s="126"/>
      <c r="EKA2" s="64"/>
      <c r="EKB2" s="72"/>
      <c r="EKC2" s="145"/>
      <c r="EKD2" s="145"/>
      <c r="EKE2" s="126"/>
      <c r="EKF2" s="126"/>
      <c r="EKG2" s="64"/>
      <c r="EKH2" s="72"/>
      <c r="EKI2" s="145"/>
      <c r="EKJ2" s="145"/>
      <c r="EKK2" s="126"/>
      <c r="EKL2" s="126"/>
      <c r="EKM2" s="64"/>
      <c r="EKN2" s="72"/>
      <c r="EKO2" s="145"/>
      <c r="EKP2" s="145"/>
      <c r="EKQ2" s="126"/>
      <c r="EKR2" s="126"/>
      <c r="EKS2" s="64"/>
      <c r="EKT2" s="72"/>
      <c r="EKU2" s="145"/>
      <c r="EKV2" s="145"/>
      <c r="EKW2" s="126"/>
      <c r="EKX2" s="126"/>
      <c r="EKY2" s="64"/>
      <c r="EKZ2" s="72"/>
      <c r="ELA2" s="145"/>
      <c r="ELB2" s="145"/>
      <c r="ELC2" s="126"/>
      <c r="ELD2" s="126"/>
      <c r="ELE2" s="64"/>
      <c r="ELF2" s="72"/>
      <c r="ELG2" s="145"/>
      <c r="ELH2" s="145"/>
      <c r="ELI2" s="126"/>
      <c r="ELJ2" s="126"/>
      <c r="ELK2" s="64"/>
      <c r="ELL2" s="72"/>
      <c r="ELM2" s="145"/>
      <c r="ELN2" s="145"/>
      <c r="ELO2" s="126"/>
      <c r="ELP2" s="126"/>
      <c r="ELQ2" s="64"/>
      <c r="ELR2" s="72"/>
      <c r="ELS2" s="145"/>
      <c r="ELT2" s="145"/>
      <c r="ELU2" s="126"/>
      <c r="ELV2" s="126"/>
      <c r="ELW2" s="64"/>
      <c r="ELX2" s="72"/>
      <c r="ELY2" s="145"/>
      <c r="ELZ2" s="145"/>
      <c r="EMA2" s="126"/>
      <c r="EMB2" s="126"/>
      <c r="EMC2" s="64"/>
      <c r="EMD2" s="72"/>
      <c r="EME2" s="145"/>
      <c r="EMF2" s="145"/>
      <c r="EMG2" s="126"/>
      <c r="EMH2" s="126"/>
      <c r="EMI2" s="64"/>
      <c r="EMJ2" s="72"/>
      <c r="EMK2" s="145"/>
      <c r="EML2" s="145"/>
      <c r="EMM2" s="126"/>
      <c r="EMN2" s="126"/>
      <c r="EMO2" s="64"/>
      <c r="EMP2" s="72"/>
      <c r="EMQ2" s="145"/>
      <c r="EMR2" s="145"/>
      <c r="EMS2" s="126"/>
      <c r="EMT2" s="126"/>
      <c r="EMU2" s="64"/>
      <c r="EMV2" s="72"/>
      <c r="EMW2" s="145"/>
      <c r="EMX2" s="145"/>
      <c r="EMY2" s="126"/>
      <c r="EMZ2" s="126"/>
      <c r="ENA2" s="64"/>
      <c r="ENB2" s="72"/>
      <c r="ENC2" s="145"/>
      <c r="END2" s="145"/>
      <c r="ENE2" s="126"/>
      <c r="ENF2" s="126"/>
      <c r="ENG2" s="64"/>
      <c r="ENH2" s="72"/>
      <c r="ENI2" s="145"/>
      <c r="ENJ2" s="145"/>
      <c r="ENK2" s="126"/>
      <c r="ENL2" s="126"/>
      <c r="ENM2" s="64"/>
      <c r="ENN2" s="72"/>
      <c r="ENO2" s="145"/>
      <c r="ENP2" s="145"/>
      <c r="ENQ2" s="126"/>
      <c r="ENR2" s="126"/>
      <c r="ENS2" s="64"/>
      <c r="ENT2" s="72"/>
      <c r="ENU2" s="145"/>
      <c r="ENV2" s="145"/>
      <c r="ENW2" s="126"/>
      <c r="ENX2" s="126"/>
      <c r="ENY2" s="64"/>
      <c r="ENZ2" s="72"/>
      <c r="EOA2" s="145"/>
      <c r="EOB2" s="145"/>
      <c r="EOC2" s="126"/>
      <c r="EOD2" s="126"/>
      <c r="EOE2" s="64"/>
      <c r="EOF2" s="72"/>
      <c r="EOG2" s="145"/>
      <c r="EOH2" s="145"/>
      <c r="EOI2" s="126"/>
      <c r="EOJ2" s="126"/>
      <c r="EOK2" s="64"/>
      <c r="EOL2" s="72"/>
      <c r="EOM2" s="145"/>
      <c r="EON2" s="145"/>
      <c r="EOO2" s="126"/>
      <c r="EOP2" s="126"/>
      <c r="EOQ2" s="64"/>
      <c r="EOR2" s="72"/>
      <c r="EOS2" s="145"/>
      <c r="EOT2" s="145"/>
      <c r="EOU2" s="126"/>
      <c r="EOV2" s="126"/>
      <c r="EOW2" s="64"/>
      <c r="EOX2" s="72"/>
      <c r="EOY2" s="145"/>
      <c r="EOZ2" s="145"/>
      <c r="EPA2" s="126"/>
      <c r="EPB2" s="126"/>
      <c r="EPC2" s="64"/>
      <c r="EPD2" s="72"/>
      <c r="EPE2" s="145"/>
      <c r="EPF2" s="145"/>
      <c r="EPG2" s="126"/>
      <c r="EPH2" s="126"/>
      <c r="EPI2" s="64"/>
      <c r="EPJ2" s="72"/>
      <c r="EPK2" s="145"/>
      <c r="EPL2" s="145"/>
      <c r="EPM2" s="126"/>
      <c r="EPN2" s="126"/>
      <c r="EPO2" s="64"/>
      <c r="EPP2" s="72"/>
      <c r="EPQ2" s="145"/>
      <c r="EPR2" s="145"/>
      <c r="EPS2" s="126"/>
      <c r="EPT2" s="126"/>
      <c r="EPU2" s="64"/>
      <c r="EPV2" s="72"/>
      <c r="EPW2" s="145"/>
      <c r="EPX2" s="145"/>
      <c r="EPY2" s="126"/>
      <c r="EPZ2" s="126"/>
      <c r="EQA2" s="64"/>
      <c r="EQB2" s="72"/>
      <c r="EQC2" s="145"/>
      <c r="EQD2" s="145"/>
      <c r="EQE2" s="126"/>
      <c r="EQF2" s="126"/>
      <c r="EQG2" s="64"/>
      <c r="EQH2" s="72"/>
      <c r="EQI2" s="145"/>
      <c r="EQJ2" s="145"/>
      <c r="EQK2" s="126"/>
      <c r="EQL2" s="126"/>
      <c r="EQM2" s="64"/>
      <c r="EQN2" s="72"/>
      <c r="EQO2" s="145"/>
      <c r="EQP2" s="145"/>
      <c r="EQQ2" s="126"/>
      <c r="EQR2" s="126"/>
      <c r="EQS2" s="64"/>
      <c r="EQT2" s="72"/>
      <c r="EQU2" s="145"/>
      <c r="EQV2" s="145"/>
      <c r="EQW2" s="126"/>
      <c r="EQX2" s="126"/>
      <c r="EQY2" s="64"/>
      <c r="EQZ2" s="72"/>
      <c r="ERA2" s="145"/>
      <c r="ERB2" s="145"/>
      <c r="ERC2" s="126"/>
      <c r="ERD2" s="126"/>
      <c r="ERE2" s="64"/>
      <c r="ERF2" s="72"/>
      <c r="ERG2" s="145"/>
      <c r="ERH2" s="145"/>
      <c r="ERI2" s="126"/>
      <c r="ERJ2" s="126"/>
      <c r="ERK2" s="64"/>
      <c r="ERL2" s="72"/>
      <c r="ERM2" s="145"/>
      <c r="ERN2" s="145"/>
      <c r="ERO2" s="126"/>
      <c r="ERP2" s="126"/>
      <c r="ERQ2" s="64"/>
      <c r="ERR2" s="72"/>
      <c r="ERS2" s="145"/>
      <c r="ERT2" s="145"/>
      <c r="ERU2" s="126"/>
      <c r="ERV2" s="126"/>
      <c r="ERW2" s="64"/>
      <c r="ERX2" s="72"/>
      <c r="ERY2" s="145"/>
      <c r="ERZ2" s="145"/>
      <c r="ESA2" s="126"/>
      <c r="ESB2" s="126"/>
      <c r="ESC2" s="64"/>
      <c r="ESD2" s="72"/>
      <c r="ESE2" s="145"/>
      <c r="ESF2" s="145"/>
      <c r="ESG2" s="126"/>
      <c r="ESH2" s="126"/>
      <c r="ESI2" s="64"/>
      <c r="ESJ2" s="72"/>
      <c r="ESK2" s="145"/>
      <c r="ESL2" s="145"/>
      <c r="ESM2" s="126"/>
      <c r="ESN2" s="126"/>
      <c r="ESO2" s="64"/>
      <c r="ESP2" s="72"/>
      <c r="ESQ2" s="145"/>
      <c r="ESR2" s="145"/>
      <c r="ESS2" s="126"/>
      <c r="EST2" s="126"/>
      <c r="ESU2" s="64"/>
      <c r="ESV2" s="72"/>
      <c r="ESW2" s="145"/>
      <c r="ESX2" s="145"/>
      <c r="ESY2" s="126"/>
      <c r="ESZ2" s="126"/>
      <c r="ETA2" s="64"/>
      <c r="ETB2" s="72"/>
      <c r="ETC2" s="145"/>
      <c r="ETD2" s="145"/>
      <c r="ETE2" s="126"/>
      <c r="ETF2" s="126"/>
      <c r="ETG2" s="64"/>
      <c r="ETH2" s="72"/>
      <c r="ETI2" s="145"/>
      <c r="ETJ2" s="145"/>
      <c r="ETK2" s="126"/>
      <c r="ETL2" s="126"/>
      <c r="ETM2" s="64"/>
      <c r="ETN2" s="72"/>
      <c r="ETO2" s="145"/>
      <c r="ETP2" s="145"/>
      <c r="ETQ2" s="126"/>
      <c r="ETR2" s="126"/>
      <c r="ETS2" s="64"/>
      <c r="ETT2" s="72"/>
      <c r="ETU2" s="145"/>
      <c r="ETV2" s="145"/>
      <c r="ETW2" s="126"/>
      <c r="ETX2" s="126"/>
      <c r="ETY2" s="64"/>
      <c r="ETZ2" s="72"/>
      <c r="EUA2" s="145"/>
      <c r="EUB2" s="145"/>
      <c r="EUC2" s="126"/>
      <c r="EUD2" s="126"/>
      <c r="EUE2" s="64"/>
      <c r="EUF2" s="72"/>
      <c r="EUG2" s="145"/>
      <c r="EUH2" s="145"/>
      <c r="EUI2" s="126"/>
      <c r="EUJ2" s="126"/>
      <c r="EUK2" s="64"/>
      <c r="EUL2" s="72"/>
      <c r="EUM2" s="145"/>
      <c r="EUN2" s="145"/>
      <c r="EUO2" s="126"/>
      <c r="EUP2" s="126"/>
      <c r="EUQ2" s="64"/>
      <c r="EUR2" s="72"/>
      <c r="EUS2" s="145"/>
      <c r="EUT2" s="145"/>
      <c r="EUU2" s="126"/>
      <c r="EUV2" s="126"/>
      <c r="EUW2" s="64"/>
      <c r="EUX2" s="72"/>
      <c r="EUY2" s="145"/>
      <c r="EUZ2" s="145"/>
      <c r="EVA2" s="126"/>
      <c r="EVB2" s="126"/>
      <c r="EVC2" s="64"/>
      <c r="EVD2" s="72"/>
      <c r="EVE2" s="145"/>
      <c r="EVF2" s="145"/>
      <c r="EVG2" s="126"/>
      <c r="EVH2" s="126"/>
      <c r="EVI2" s="64"/>
      <c r="EVJ2" s="72"/>
      <c r="EVK2" s="145"/>
      <c r="EVL2" s="145"/>
      <c r="EVM2" s="126"/>
      <c r="EVN2" s="126"/>
      <c r="EVO2" s="64"/>
      <c r="EVP2" s="72"/>
      <c r="EVQ2" s="145"/>
      <c r="EVR2" s="145"/>
      <c r="EVS2" s="126"/>
      <c r="EVT2" s="126"/>
      <c r="EVU2" s="64"/>
      <c r="EVV2" s="72"/>
      <c r="EVW2" s="145"/>
      <c r="EVX2" s="145"/>
      <c r="EVY2" s="126"/>
      <c r="EVZ2" s="126"/>
      <c r="EWA2" s="64"/>
      <c r="EWB2" s="72"/>
      <c r="EWC2" s="145"/>
      <c r="EWD2" s="145"/>
      <c r="EWE2" s="126"/>
      <c r="EWF2" s="126"/>
      <c r="EWG2" s="64"/>
      <c r="EWH2" s="72"/>
      <c r="EWI2" s="145"/>
      <c r="EWJ2" s="145"/>
      <c r="EWK2" s="126"/>
      <c r="EWL2" s="126"/>
      <c r="EWM2" s="64"/>
      <c r="EWN2" s="72"/>
      <c r="EWO2" s="145"/>
      <c r="EWP2" s="145"/>
      <c r="EWQ2" s="126"/>
      <c r="EWR2" s="126"/>
      <c r="EWS2" s="64"/>
      <c r="EWT2" s="72"/>
      <c r="EWU2" s="145"/>
      <c r="EWV2" s="145"/>
      <c r="EWW2" s="126"/>
      <c r="EWX2" s="126"/>
      <c r="EWY2" s="64"/>
      <c r="EWZ2" s="72"/>
      <c r="EXA2" s="145"/>
      <c r="EXB2" s="145"/>
      <c r="EXC2" s="126"/>
      <c r="EXD2" s="126"/>
      <c r="EXE2" s="64"/>
      <c r="EXF2" s="72"/>
      <c r="EXG2" s="145"/>
      <c r="EXH2" s="145"/>
      <c r="EXI2" s="126"/>
      <c r="EXJ2" s="126"/>
      <c r="EXK2" s="64"/>
      <c r="EXL2" s="72"/>
      <c r="EXM2" s="145"/>
      <c r="EXN2" s="145"/>
      <c r="EXO2" s="126"/>
      <c r="EXP2" s="126"/>
      <c r="EXQ2" s="64"/>
      <c r="EXR2" s="72"/>
      <c r="EXS2" s="145"/>
      <c r="EXT2" s="145"/>
      <c r="EXU2" s="126"/>
      <c r="EXV2" s="126"/>
      <c r="EXW2" s="64"/>
      <c r="EXX2" s="72"/>
      <c r="EXY2" s="145"/>
      <c r="EXZ2" s="145"/>
      <c r="EYA2" s="126"/>
      <c r="EYB2" s="126"/>
      <c r="EYC2" s="64"/>
      <c r="EYD2" s="72"/>
      <c r="EYE2" s="145"/>
      <c r="EYF2" s="145"/>
      <c r="EYG2" s="126"/>
      <c r="EYH2" s="126"/>
      <c r="EYI2" s="64"/>
      <c r="EYJ2" s="72"/>
      <c r="EYK2" s="145"/>
      <c r="EYL2" s="145"/>
      <c r="EYM2" s="126"/>
      <c r="EYN2" s="126"/>
      <c r="EYO2" s="64"/>
      <c r="EYP2" s="72"/>
      <c r="EYQ2" s="145"/>
      <c r="EYR2" s="145"/>
      <c r="EYS2" s="126"/>
      <c r="EYT2" s="126"/>
      <c r="EYU2" s="64"/>
      <c r="EYV2" s="72"/>
      <c r="EYW2" s="145"/>
      <c r="EYX2" s="145"/>
      <c r="EYY2" s="126"/>
      <c r="EYZ2" s="126"/>
      <c r="EZA2" s="64"/>
      <c r="EZB2" s="72"/>
      <c r="EZC2" s="145"/>
      <c r="EZD2" s="145"/>
      <c r="EZE2" s="126"/>
      <c r="EZF2" s="126"/>
      <c r="EZG2" s="64"/>
      <c r="EZH2" s="72"/>
      <c r="EZI2" s="145"/>
      <c r="EZJ2" s="145"/>
      <c r="EZK2" s="126"/>
      <c r="EZL2" s="126"/>
      <c r="EZM2" s="64"/>
      <c r="EZN2" s="72"/>
      <c r="EZO2" s="145"/>
      <c r="EZP2" s="145"/>
      <c r="EZQ2" s="126"/>
      <c r="EZR2" s="126"/>
      <c r="EZS2" s="64"/>
      <c r="EZT2" s="72"/>
      <c r="EZU2" s="145"/>
      <c r="EZV2" s="145"/>
      <c r="EZW2" s="126"/>
      <c r="EZX2" s="126"/>
      <c r="EZY2" s="64"/>
      <c r="EZZ2" s="72"/>
      <c r="FAA2" s="145"/>
      <c r="FAB2" s="145"/>
      <c r="FAC2" s="126"/>
      <c r="FAD2" s="126"/>
      <c r="FAE2" s="64"/>
      <c r="FAF2" s="72"/>
      <c r="FAG2" s="145"/>
      <c r="FAH2" s="145"/>
      <c r="FAI2" s="126"/>
      <c r="FAJ2" s="126"/>
      <c r="FAK2" s="64"/>
      <c r="FAL2" s="72"/>
      <c r="FAM2" s="145"/>
      <c r="FAN2" s="145"/>
      <c r="FAO2" s="126"/>
      <c r="FAP2" s="126"/>
      <c r="FAQ2" s="64"/>
      <c r="FAR2" s="72"/>
      <c r="FAS2" s="145"/>
      <c r="FAT2" s="145"/>
      <c r="FAU2" s="126"/>
      <c r="FAV2" s="126"/>
      <c r="FAW2" s="64"/>
      <c r="FAX2" s="72"/>
      <c r="FAY2" s="145"/>
      <c r="FAZ2" s="145"/>
      <c r="FBA2" s="126"/>
      <c r="FBB2" s="126"/>
      <c r="FBC2" s="64"/>
      <c r="FBD2" s="72"/>
      <c r="FBE2" s="145"/>
      <c r="FBF2" s="145"/>
      <c r="FBG2" s="126"/>
      <c r="FBH2" s="126"/>
      <c r="FBI2" s="64"/>
      <c r="FBJ2" s="72"/>
      <c r="FBK2" s="145"/>
      <c r="FBL2" s="145"/>
      <c r="FBM2" s="126"/>
      <c r="FBN2" s="126"/>
      <c r="FBO2" s="64"/>
      <c r="FBP2" s="72"/>
      <c r="FBQ2" s="145"/>
      <c r="FBR2" s="145"/>
      <c r="FBS2" s="126"/>
      <c r="FBT2" s="126"/>
      <c r="FBU2" s="64"/>
      <c r="FBV2" s="72"/>
      <c r="FBW2" s="145"/>
      <c r="FBX2" s="145"/>
      <c r="FBY2" s="126"/>
      <c r="FBZ2" s="126"/>
      <c r="FCA2" s="64"/>
      <c r="FCB2" s="72"/>
      <c r="FCC2" s="145"/>
      <c r="FCD2" s="145"/>
      <c r="FCE2" s="126"/>
      <c r="FCF2" s="126"/>
      <c r="FCG2" s="64"/>
      <c r="FCH2" s="72"/>
      <c r="FCI2" s="145"/>
      <c r="FCJ2" s="145"/>
      <c r="FCK2" s="126"/>
      <c r="FCL2" s="126"/>
      <c r="FCM2" s="64"/>
      <c r="FCN2" s="72"/>
      <c r="FCO2" s="145"/>
      <c r="FCP2" s="145"/>
      <c r="FCQ2" s="126"/>
      <c r="FCR2" s="126"/>
      <c r="FCS2" s="64"/>
      <c r="FCT2" s="72"/>
      <c r="FCU2" s="145"/>
      <c r="FCV2" s="145"/>
      <c r="FCW2" s="126"/>
      <c r="FCX2" s="126"/>
      <c r="FCY2" s="64"/>
      <c r="FCZ2" s="72"/>
      <c r="FDA2" s="145"/>
      <c r="FDB2" s="145"/>
      <c r="FDC2" s="126"/>
      <c r="FDD2" s="126"/>
      <c r="FDE2" s="64"/>
      <c r="FDF2" s="72"/>
      <c r="FDG2" s="145"/>
      <c r="FDH2" s="145"/>
      <c r="FDI2" s="126"/>
      <c r="FDJ2" s="126"/>
      <c r="FDK2" s="64"/>
      <c r="FDL2" s="72"/>
      <c r="FDM2" s="145"/>
      <c r="FDN2" s="145"/>
      <c r="FDO2" s="126"/>
      <c r="FDP2" s="126"/>
      <c r="FDQ2" s="64"/>
      <c r="FDR2" s="72"/>
      <c r="FDS2" s="145"/>
      <c r="FDT2" s="145"/>
      <c r="FDU2" s="126"/>
      <c r="FDV2" s="126"/>
      <c r="FDW2" s="64"/>
      <c r="FDX2" s="72"/>
      <c r="FDY2" s="145"/>
      <c r="FDZ2" s="145"/>
      <c r="FEA2" s="126"/>
      <c r="FEB2" s="126"/>
      <c r="FEC2" s="64"/>
      <c r="FED2" s="72"/>
      <c r="FEE2" s="145"/>
      <c r="FEF2" s="145"/>
      <c r="FEG2" s="126"/>
      <c r="FEH2" s="126"/>
      <c r="FEI2" s="64"/>
      <c r="FEJ2" s="72"/>
      <c r="FEK2" s="145"/>
      <c r="FEL2" s="145"/>
      <c r="FEM2" s="126"/>
      <c r="FEN2" s="126"/>
      <c r="FEO2" s="64"/>
      <c r="FEP2" s="72"/>
      <c r="FEQ2" s="145"/>
      <c r="FER2" s="145"/>
      <c r="FES2" s="126"/>
      <c r="FET2" s="126"/>
      <c r="FEU2" s="64"/>
      <c r="FEV2" s="72"/>
      <c r="FEW2" s="145"/>
      <c r="FEX2" s="145"/>
      <c r="FEY2" s="126"/>
      <c r="FEZ2" s="126"/>
      <c r="FFA2" s="64"/>
      <c r="FFB2" s="72"/>
      <c r="FFC2" s="145"/>
      <c r="FFD2" s="145"/>
      <c r="FFE2" s="126"/>
      <c r="FFF2" s="126"/>
      <c r="FFG2" s="64"/>
      <c r="FFH2" s="72"/>
      <c r="FFI2" s="145"/>
      <c r="FFJ2" s="145"/>
      <c r="FFK2" s="126"/>
      <c r="FFL2" s="126"/>
      <c r="FFM2" s="64"/>
      <c r="FFN2" s="72"/>
      <c r="FFO2" s="145"/>
      <c r="FFP2" s="145"/>
      <c r="FFQ2" s="126"/>
      <c r="FFR2" s="126"/>
      <c r="FFS2" s="64"/>
      <c r="FFT2" s="72"/>
      <c r="FFU2" s="145"/>
      <c r="FFV2" s="145"/>
      <c r="FFW2" s="126"/>
      <c r="FFX2" s="126"/>
      <c r="FFY2" s="64"/>
      <c r="FFZ2" s="72"/>
      <c r="FGA2" s="145"/>
      <c r="FGB2" s="145"/>
      <c r="FGC2" s="126"/>
      <c r="FGD2" s="126"/>
      <c r="FGE2" s="64"/>
      <c r="FGF2" s="72"/>
      <c r="FGG2" s="145"/>
      <c r="FGH2" s="145"/>
      <c r="FGI2" s="126"/>
      <c r="FGJ2" s="126"/>
      <c r="FGK2" s="64"/>
      <c r="FGL2" s="72"/>
      <c r="FGM2" s="145"/>
      <c r="FGN2" s="145"/>
      <c r="FGO2" s="126"/>
      <c r="FGP2" s="126"/>
      <c r="FGQ2" s="64"/>
      <c r="FGR2" s="72"/>
      <c r="FGS2" s="145"/>
      <c r="FGT2" s="145"/>
      <c r="FGU2" s="126"/>
      <c r="FGV2" s="126"/>
      <c r="FGW2" s="64"/>
      <c r="FGX2" s="72"/>
      <c r="FGY2" s="145"/>
      <c r="FGZ2" s="145"/>
      <c r="FHA2" s="126"/>
      <c r="FHB2" s="126"/>
      <c r="FHC2" s="64"/>
      <c r="FHD2" s="72"/>
      <c r="FHE2" s="145"/>
      <c r="FHF2" s="145"/>
      <c r="FHG2" s="126"/>
      <c r="FHH2" s="126"/>
      <c r="FHI2" s="64"/>
      <c r="FHJ2" s="72"/>
      <c r="FHK2" s="145"/>
      <c r="FHL2" s="145"/>
      <c r="FHM2" s="126"/>
      <c r="FHN2" s="126"/>
      <c r="FHO2" s="64"/>
      <c r="FHP2" s="72"/>
      <c r="FHQ2" s="145"/>
      <c r="FHR2" s="145"/>
      <c r="FHS2" s="126"/>
      <c r="FHT2" s="126"/>
      <c r="FHU2" s="64"/>
      <c r="FHV2" s="72"/>
      <c r="FHW2" s="145"/>
      <c r="FHX2" s="145"/>
      <c r="FHY2" s="126"/>
      <c r="FHZ2" s="126"/>
      <c r="FIA2" s="64"/>
      <c r="FIB2" s="72"/>
      <c r="FIC2" s="145"/>
      <c r="FID2" s="145"/>
      <c r="FIE2" s="126"/>
      <c r="FIF2" s="126"/>
      <c r="FIG2" s="64"/>
      <c r="FIH2" s="72"/>
      <c r="FII2" s="145"/>
      <c r="FIJ2" s="145"/>
      <c r="FIK2" s="126"/>
      <c r="FIL2" s="126"/>
      <c r="FIM2" s="64"/>
      <c r="FIN2" s="72"/>
      <c r="FIO2" s="145"/>
      <c r="FIP2" s="145"/>
      <c r="FIQ2" s="126"/>
      <c r="FIR2" s="126"/>
      <c r="FIS2" s="64"/>
      <c r="FIT2" s="72"/>
      <c r="FIU2" s="145"/>
      <c r="FIV2" s="145"/>
      <c r="FIW2" s="126"/>
      <c r="FIX2" s="126"/>
      <c r="FIY2" s="64"/>
      <c r="FIZ2" s="72"/>
      <c r="FJA2" s="145"/>
      <c r="FJB2" s="145"/>
      <c r="FJC2" s="126"/>
      <c r="FJD2" s="126"/>
      <c r="FJE2" s="64"/>
      <c r="FJF2" s="72"/>
      <c r="FJG2" s="145"/>
      <c r="FJH2" s="145"/>
      <c r="FJI2" s="126"/>
      <c r="FJJ2" s="126"/>
      <c r="FJK2" s="64"/>
      <c r="FJL2" s="72"/>
      <c r="FJM2" s="145"/>
      <c r="FJN2" s="145"/>
      <c r="FJO2" s="126"/>
      <c r="FJP2" s="126"/>
      <c r="FJQ2" s="64"/>
      <c r="FJR2" s="72"/>
      <c r="FJS2" s="145"/>
      <c r="FJT2" s="145"/>
      <c r="FJU2" s="126"/>
      <c r="FJV2" s="126"/>
      <c r="FJW2" s="64"/>
      <c r="FJX2" s="72"/>
      <c r="FJY2" s="145"/>
      <c r="FJZ2" s="145"/>
      <c r="FKA2" s="126"/>
      <c r="FKB2" s="126"/>
      <c r="FKC2" s="64"/>
      <c r="FKD2" s="72"/>
      <c r="FKE2" s="145"/>
      <c r="FKF2" s="145"/>
      <c r="FKG2" s="126"/>
      <c r="FKH2" s="126"/>
      <c r="FKI2" s="64"/>
      <c r="FKJ2" s="72"/>
      <c r="FKK2" s="145"/>
      <c r="FKL2" s="145"/>
      <c r="FKM2" s="126"/>
      <c r="FKN2" s="126"/>
      <c r="FKO2" s="64"/>
      <c r="FKP2" s="72"/>
      <c r="FKQ2" s="145"/>
      <c r="FKR2" s="145"/>
      <c r="FKS2" s="126"/>
      <c r="FKT2" s="126"/>
      <c r="FKU2" s="64"/>
      <c r="FKV2" s="72"/>
      <c r="FKW2" s="145"/>
      <c r="FKX2" s="145"/>
      <c r="FKY2" s="126"/>
      <c r="FKZ2" s="126"/>
      <c r="FLA2" s="64"/>
      <c r="FLB2" s="72"/>
      <c r="FLC2" s="145"/>
      <c r="FLD2" s="145"/>
      <c r="FLE2" s="126"/>
      <c r="FLF2" s="126"/>
      <c r="FLG2" s="64"/>
      <c r="FLH2" s="72"/>
      <c r="FLI2" s="145"/>
      <c r="FLJ2" s="145"/>
      <c r="FLK2" s="126"/>
      <c r="FLL2" s="126"/>
      <c r="FLM2" s="64"/>
      <c r="FLN2" s="72"/>
      <c r="FLO2" s="145"/>
      <c r="FLP2" s="145"/>
      <c r="FLQ2" s="126"/>
      <c r="FLR2" s="126"/>
      <c r="FLS2" s="64"/>
      <c r="FLT2" s="72"/>
      <c r="FLU2" s="145"/>
      <c r="FLV2" s="145"/>
      <c r="FLW2" s="126"/>
      <c r="FLX2" s="126"/>
      <c r="FLY2" s="64"/>
      <c r="FLZ2" s="72"/>
      <c r="FMA2" s="145"/>
      <c r="FMB2" s="145"/>
      <c r="FMC2" s="126"/>
      <c r="FMD2" s="126"/>
      <c r="FME2" s="64"/>
      <c r="FMF2" s="72"/>
      <c r="FMG2" s="145"/>
      <c r="FMH2" s="145"/>
      <c r="FMI2" s="126"/>
      <c r="FMJ2" s="126"/>
      <c r="FMK2" s="64"/>
      <c r="FML2" s="72"/>
      <c r="FMM2" s="145"/>
      <c r="FMN2" s="145"/>
      <c r="FMO2" s="126"/>
      <c r="FMP2" s="126"/>
      <c r="FMQ2" s="64"/>
      <c r="FMR2" s="72"/>
      <c r="FMS2" s="145"/>
      <c r="FMT2" s="145"/>
      <c r="FMU2" s="126"/>
      <c r="FMV2" s="126"/>
      <c r="FMW2" s="64"/>
      <c r="FMX2" s="72"/>
      <c r="FMY2" s="145"/>
      <c r="FMZ2" s="145"/>
      <c r="FNA2" s="126"/>
      <c r="FNB2" s="126"/>
      <c r="FNC2" s="64"/>
      <c r="FND2" s="72"/>
      <c r="FNE2" s="145"/>
      <c r="FNF2" s="145"/>
      <c r="FNG2" s="126"/>
      <c r="FNH2" s="126"/>
      <c r="FNI2" s="64"/>
      <c r="FNJ2" s="72"/>
      <c r="FNK2" s="145"/>
      <c r="FNL2" s="145"/>
      <c r="FNM2" s="126"/>
      <c r="FNN2" s="126"/>
      <c r="FNO2" s="64"/>
      <c r="FNP2" s="72"/>
      <c r="FNQ2" s="145"/>
      <c r="FNR2" s="145"/>
      <c r="FNS2" s="126"/>
      <c r="FNT2" s="126"/>
      <c r="FNU2" s="64"/>
      <c r="FNV2" s="72"/>
      <c r="FNW2" s="145"/>
      <c r="FNX2" s="145"/>
      <c r="FNY2" s="126"/>
      <c r="FNZ2" s="126"/>
      <c r="FOA2" s="64"/>
      <c r="FOB2" s="72"/>
      <c r="FOC2" s="145"/>
      <c r="FOD2" s="145"/>
      <c r="FOE2" s="126"/>
      <c r="FOF2" s="126"/>
      <c r="FOG2" s="64"/>
      <c r="FOH2" s="72"/>
      <c r="FOI2" s="145"/>
      <c r="FOJ2" s="145"/>
      <c r="FOK2" s="126"/>
      <c r="FOL2" s="126"/>
      <c r="FOM2" s="64"/>
      <c r="FON2" s="72"/>
      <c r="FOO2" s="145"/>
      <c r="FOP2" s="145"/>
      <c r="FOQ2" s="126"/>
      <c r="FOR2" s="126"/>
      <c r="FOS2" s="64"/>
      <c r="FOT2" s="72"/>
      <c r="FOU2" s="145"/>
      <c r="FOV2" s="145"/>
      <c r="FOW2" s="126"/>
      <c r="FOX2" s="126"/>
      <c r="FOY2" s="64"/>
      <c r="FOZ2" s="72"/>
      <c r="FPA2" s="145"/>
      <c r="FPB2" s="145"/>
      <c r="FPC2" s="126"/>
      <c r="FPD2" s="126"/>
      <c r="FPE2" s="64"/>
      <c r="FPF2" s="72"/>
      <c r="FPG2" s="145"/>
      <c r="FPH2" s="145"/>
      <c r="FPI2" s="126"/>
      <c r="FPJ2" s="126"/>
      <c r="FPK2" s="64"/>
      <c r="FPL2" s="72"/>
      <c r="FPM2" s="145"/>
      <c r="FPN2" s="145"/>
      <c r="FPO2" s="126"/>
      <c r="FPP2" s="126"/>
      <c r="FPQ2" s="64"/>
      <c r="FPR2" s="72"/>
      <c r="FPS2" s="145"/>
      <c r="FPT2" s="145"/>
      <c r="FPU2" s="126"/>
      <c r="FPV2" s="126"/>
      <c r="FPW2" s="64"/>
      <c r="FPX2" s="72"/>
      <c r="FPY2" s="145"/>
      <c r="FPZ2" s="145"/>
      <c r="FQA2" s="126"/>
      <c r="FQB2" s="126"/>
      <c r="FQC2" s="64"/>
      <c r="FQD2" s="72"/>
      <c r="FQE2" s="145"/>
      <c r="FQF2" s="145"/>
      <c r="FQG2" s="126"/>
      <c r="FQH2" s="126"/>
      <c r="FQI2" s="64"/>
      <c r="FQJ2" s="72"/>
      <c r="FQK2" s="145"/>
      <c r="FQL2" s="145"/>
      <c r="FQM2" s="126"/>
      <c r="FQN2" s="126"/>
      <c r="FQO2" s="64"/>
      <c r="FQP2" s="72"/>
      <c r="FQQ2" s="145"/>
      <c r="FQR2" s="145"/>
      <c r="FQS2" s="126"/>
      <c r="FQT2" s="126"/>
      <c r="FQU2" s="64"/>
      <c r="FQV2" s="72"/>
      <c r="FQW2" s="145"/>
      <c r="FQX2" s="145"/>
      <c r="FQY2" s="126"/>
      <c r="FQZ2" s="126"/>
      <c r="FRA2" s="64"/>
      <c r="FRB2" s="72"/>
      <c r="FRC2" s="145"/>
      <c r="FRD2" s="145"/>
      <c r="FRE2" s="126"/>
      <c r="FRF2" s="126"/>
      <c r="FRG2" s="64"/>
      <c r="FRH2" s="72"/>
      <c r="FRI2" s="145"/>
      <c r="FRJ2" s="145"/>
      <c r="FRK2" s="126"/>
      <c r="FRL2" s="126"/>
      <c r="FRM2" s="64"/>
      <c r="FRN2" s="72"/>
      <c r="FRO2" s="145"/>
      <c r="FRP2" s="145"/>
      <c r="FRQ2" s="126"/>
      <c r="FRR2" s="126"/>
      <c r="FRS2" s="64"/>
      <c r="FRT2" s="72"/>
      <c r="FRU2" s="145"/>
      <c r="FRV2" s="145"/>
      <c r="FRW2" s="126"/>
      <c r="FRX2" s="126"/>
      <c r="FRY2" s="64"/>
      <c r="FRZ2" s="72"/>
      <c r="FSA2" s="145"/>
      <c r="FSB2" s="145"/>
      <c r="FSC2" s="126"/>
      <c r="FSD2" s="126"/>
      <c r="FSE2" s="64"/>
      <c r="FSF2" s="72"/>
      <c r="FSG2" s="145"/>
      <c r="FSH2" s="145"/>
      <c r="FSI2" s="126"/>
      <c r="FSJ2" s="126"/>
      <c r="FSK2" s="64"/>
      <c r="FSL2" s="72"/>
      <c r="FSM2" s="145"/>
      <c r="FSN2" s="145"/>
      <c r="FSO2" s="126"/>
      <c r="FSP2" s="126"/>
      <c r="FSQ2" s="64"/>
      <c r="FSR2" s="72"/>
      <c r="FSS2" s="145"/>
      <c r="FST2" s="145"/>
      <c r="FSU2" s="126"/>
      <c r="FSV2" s="126"/>
      <c r="FSW2" s="64"/>
      <c r="FSX2" s="72"/>
      <c r="FSY2" s="145"/>
      <c r="FSZ2" s="145"/>
      <c r="FTA2" s="126"/>
      <c r="FTB2" s="126"/>
      <c r="FTC2" s="64"/>
      <c r="FTD2" s="72"/>
      <c r="FTE2" s="145"/>
      <c r="FTF2" s="145"/>
      <c r="FTG2" s="126"/>
      <c r="FTH2" s="126"/>
      <c r="FTI2" s="64"/>
      <c r="FTJ2" s="72"/>
      <c r="FTK2" s="145"/>
      <c r="FTL2" s="145"/>
      <c r="FTM2" s="126"/>
      <c r="FTN2" s="126"/>
      <c r="FTO2" s="64"/>
      <c r="FTP2" s="72"/>
      <c r="FTQ2" s="145"/>
      <c r="FTR2" s="145"/>
      <c r="FTS2" s="126"/>
      <c r="FTT2" s="126"/>
      <c r="FTU2" s="64"/>
      <c r="FTV2" s="72"/>
      <c r="FTW2" s="145"/>
      <c r="FTX2" s="145"/>
      <c r="FTY2" s="126"/>
      <c r="FTZ2" s="126"/>
      <c r="FUA2" s="64"/>
      <c r="FUB2" s="72"/>
      <c r="FUC2" s="145"/>
      <c r="FUD2" s="145"/>
      <c r="FUE2" s="126"/>
      <c r="FUF2" s="126"/>
      <c r="FUG2" s="64"/>
      <c r="FUH2" s="72"/>
      <c r="FUI2" s="145"/>
      <c r="FUJ2" s="145"/>
      <c r="FUK2" s="126"/>
      <c r="FUL2" s="126"/>
      <c r="FUM2" s="64"/>
      <c r="FUN2" s="72"/>
      <c r="FUO2" s="145"/>
      <c r="FUP2" s="145"/>
      <c r="FUQ2" s="126"/>
      <c r="FUR2" s="126"/>
      <c r="FUS2" s="64"/>
      <c r="FUT2" s="72"/>
      <c r="FUU2" s="145"/>
      <c r="FUV2" s="145"/>
      <c r="FUW2" s="126"/>
      <c r="FUX2" s="126"/>
      <c r="FUY2" s="64"/>
      <c r="FUZ2" s="72"/>
      <c r="FVA2" s="145"/>
      <c r="FVB2" s="145"/>
      <c r="FVC2" s="126"/>
      <c r="FVD2" s="126"/>
      <c r="FVE2" s="64"/>
      <c r="FVF2" s="72"/>
      <c r="FVG2" s="145"/>
      <c r="FVH2" s="145"/>
      <c r="FVI2" s="126"/>
      <c r="FVJ2" s="126"/>
      <c r="FVK2" s="64"/>
      <c r="FVL2" s="72"/>
      <c r="FVM2" s="145"/>
      <c r="FVN2" s="145"/>
      <c r="FVO2" s="126"/>
      <c r="FVP2" s="126"/>
      <c r="FVQ2" s="64"/>
      <c r="FVR2" s="72"/>
      <c r="FVS2" s="145"/>
      <c r="FVT2" s="145"/>
      <c r="FVU2" s="126"/>
      <c r="FVV2" s="126"/>
      <c r="FVW2" s="64"/>
      <c r="FVX2" s="72"/>
      <c r="FVY2" s="145"/>
      <c r="FVZ2" s="145"/>
      <c r="FWA2" s="126"/>
      <c r="FWB2" s="126"/>
      <c r="FWC2" s="64"/>
      <c r="FWD2" s="72"/>
      <c r="FWE2" s="145"/>
      <c r="FWF2" s="145"/>
      <c r="FWG2" s="126"/>
      <c r="FWH2" s="126"/>
      <c r="FWI2" s="64"/>
      <c r="FWJ2" s="72"/>
      <c r="FWK2" s="145"/>
      <c r="FWL2" s="145"/>
      <c r="FWM2" s="126"/>
      <c r="FWN2" s="126"/>
      <c r="FWO2" s="64"/>
      <c r="FWP2" s="72"/>
      <c r="FWQ2" s="145"/>
      <c r="FWR2" s="145"/>
      <c r="FWS2" s="126"/>
      <c r="FWT2" s="126"/>
      <c r="FWU2" s="64"/>
      <c r="FWV2" s="72"/>
      <c r="FWW2" s="145"/>
      <c r="FWX2" s="145"/>
      <c r="FWY2" s="126"/>
      <c r="FWZ2" s="126"/>
      <c r="FXA2" s="64"/>
      <c r="FXB2" s="72"/>
      <c r="FXC2" s="145"/>
      <c r="FXD2" s="145"/>
      <c r="FXE2" s="126"/>
      <c r="FXF2" s="126"/>
      <c r="FXG2" s="64"/>
      <c r="FXH2" s="72"/>
      <c r="FXI2" s="145"/>
      <c r="FXJ2" s="145"/>
      <c r="FXK2" s="126"/>
      <c r="FXL2" s="126"/>
      <c r="FXM2" s="64"/>
      <c r="FXN2" s="72"/>
      <c r="FXO2" s="145"/>
      <c r="FXP2" s="145"/>
      <c r="FXQ2" s="126"/>
      <c r="FXR2" s="126"/>
      <c r="FXS2" s="64"/>
      <c r="FXT2" s="72"/>
      <c r="FXU2" s="145"/>
      <c r="FXV2" s="145"/>
      <c r="FXW2" s="126"/>
      <c r="FXX2" s="126"/>
      <c r="FXY2" s="64"/>
      <c r="FXZ2" s="72"/>
      <c r="FYA2" s="145"/>
      <c r="FYB2" s="145"/>
      <c r="FYC2" s="126"/>
      <c r="FYD2" s="126"/>
      <c r="FYE2" s="64"/>
      <c r="FYF2" s="72"/>
      <c r="FYG2" s="145"/>
      <c r="FYH2" s="145"/>
      <c r="FYI2" s="126"/>
      <c r="FYJ2" s="126"/>
      <c r="FYK2" s="64"/>
      <c r="FYL2" s="72"/>
      <c r="FYM2" s="145"/>
      <c r="FYN2" s="145"/>
      <c r="FYO2" s="126"/>
      <c r="FYP2" s="126"/>
      <c r="FYQ2" s="64"/>
      <c r="FYR2" s="72"/>
      <c r="FYS2" s="145"/>
      <c r="FYT2" s="145"/>
      <c r="FYU2" s="126"/>
      <c r="FYV2" s="126"/>
      <c r="FYW2" s="64"/>
      <c r="FYX2" s="72"/>
      <c r="FYY2" s="145"/>
      <c r="FYZ2" s="145"/>
      <c r="FZA2" s="126"/>
      <c r="FZB2" s="126"/>
      <c r="FZC2" s="64"/>
      <c r="FZD2" s="72"/>
      <c r="FZE2" s="145"/>
      <c r="FZF2" s="145"/>
      <c r="FZG2" s="126"/>
      <c r="FZH2" s="126"/>
      <c r="FZI2" s="64"/>
      <c r="FZJ2" s="72"/>
      <c r="FZK2" s="145"/>
      <c r="FZL2" s="145"/>
      <c r="FZM2" s="126"/>
      <c r="FZN2" s="126"/>
      <c r="FZO2" s="64"/>
      <c r="FZP2" s="72"/>
      <c r="FZQ2" s="145"/>
      <c r="FZR2" s="145"/>
      <c r="FZS2" s="126"/>
      <c r="FZT2" s="126"/>
      <c r="FZU2" s="64"/>
      <c r="FZV2" s="72"/>
      <c r="FZW2" s="145"/>
      <c r="FZX2" s="145"/>
      <c r="FZY2" s="126"/>
      <c r="FZZ2" s="126"/>
      <c r="GAA2" s="64"/>
      <c r="GAB2" s="72"/>
      <c r="GAC2" s="145"/>
      <c r="GAD2" s="145"/>
      <c r="GAE2" s="126"/>
      <c r="GAF2" s="126"/>
      <c r="GAG2" s="64"/>
      <c r="GAH2" s="72"/>
      <c r="GAI2" s="145"/>
      <c r="GAJ2" s="145"/>
      <c r="GAK2" s="126"/>
      <c r="GAL2" s="126"/>
      <c r="GAM2" s="64"/>
      <c r="GAN2" s="72"/>
      <c r="GAO2" s="145"/>
      <c r="GAP2" s="145"/>
      <c r="GAQ2" s="126"/>
      <c r="GAR2" s="126"/>
      <c r="GAS2" s="64"/>
      <c r="GAT2" s="72"/>
      <c r="GAU2" s="145"/>
      <c r="GAV2" s="145"/>
      <c r="GAW2" s="126"/>
      <c r="GAX2" s="126"/>
      <c r="GAY2" s="64"/>
      <c r="GAZ2" s="72"/>
      <c r="GBA2" s="145"/>
      <c r="GBB2" s="145"/>
      <c r="GBC2" s="126"/>
      <c r="GBD2" s="126"/>
      <c r="GBE2" s="64"/>
      <c r="GBF2" s="72"/>
      <c r="GBG2" s="145"/>
      <c r="GBH2" s="145"/>
      <c r="GBI2" s="126"/>
      <c r="GBJ2" s="126"/>
      <c r="GBK2" s="64"/>
      <c r="GBL2" s="72"/>
      <c r="GBM2" s="145"/>
      <c r="GBN2" s="145"/>
      <c r="GBO2" s="126"/>
      <c r="GBP2" s="126"/>
      <c r="GBQ2" s="64"/>
      <c r="GBR2" s="72"/>
      <c r="GBS2" s="145"/>
      <c r="GBT2" s="145"/>
      <c r="GBU2" s="126"/>
      <c r="GBV2" s="126"/>
      <c r="GBW2" s="64"/>
      <c r="GBX2" s="72"/>
      <c r="GBY2" s="145"/>
      <c r="GBZ2" s="145"/>
      <c r="GCA2" s="126"/>
      <c r="GCB2" s="126"/>
      <c r="GCC2" s="64"/>
      <c r="GCD2" s="72"/>
      <c r="GCE2" s="145"/>
      <c r="GCF2" s="145"/>
      <c r="GCG2" s="126"/>
      <c r="GCH2" s="126"/>
      <c r="GCI2" s="64"/>
      <c r="GCJ2" s="72"/>
      <c r="GCK2" s="145"/>
      <c r="GCL2" s="145"/>
      <c r="GCM2" s="126"/>
      <c r="GCN2" s="126"/>
      <c r="GCO2" s="64"/>
      <c r="GCP2" s="72"/>
      <c r="GCQ2" s="145"/>
      <c r="GCR2" s="145"/>
      <c r="GCS2" s="126"/>
      <c r="GCT2" s="126"/>
      <c r="GCU2" s="64"/>
      <c r="GCV2" s="72"/>
      <c r="GCW2" s="145"/>
      <c r="GCX2" s="145"/>
      <c r="GCY2" s="126"/>
      <c r="GCZ2" s="126"/>
      <c r="GDA2" s="64"/>
      <c r="GDB2" s="72"/>
      <c r="GDC2" s="145"/>
      <c r="GDD2" s="145"/>
      <c r="GDE2" s="126"/>
      <c r="GDF2" s="126"/>
      <c r="GDG2" s="64"/>
      <c r="GDH2" s="72"/>
      <c r="GDI2" s="145"/>
      <c r="GDJ2" s="145"/>
      <c r="GDK2" s="126"/>
      <c r="GDL2" s="126"/>
      <c r="GDM2" s="64"/>
      <c r="GDN2" s="72"/>
      <c r="GDO2" s="145"/>
      <c r="GDP2" s="145"/>
      <c r="GDQ2" s="126"/>
      <c r="GDR2" s="126"/>
      <c r="GDS2" s="64"/>
      <c r="GDT2" s="72"/>
      <c r="GDU2" s="145"/>
      <c r="GDV2" s="145"/>
      <c r="GDW2" s="126"/>
      <c r="GDX2" s="126"/>
      <c r="GDY2" s="64"/>
      <c r="GDZ2" s="72"/>
      <c r="GEA2" s="145"/>
      <c r="GEB2" s="145"/>
      <c r="GEC2" s="126"/>
      <c r="GED2" s="126"/>
      <c r="GEE2" s="64"/>
      <c r="GEF2" s="72"/>
      <c r="GEG2" s="145"/>
      <c r="GEH2" s="145"/>
      <c r="GEI2" s="126"/>
      <c r="GEJ2" s="126"/>
      <c r="GEK2" s="64"/>
      <c r="GEL2" s="72"/>
      <c r="GEM2" s="145"/>
      <c r="GEN2" s="145"/>
      <c r="GEO2" s="126"/>
      <c r="GEP2" s="126"/>
      <c r="GEQ2" s="64"/>
      <c r="GER2" s="72"/>
      <c r="GES2" s="145"/>
      <c r="GET2" s="145"/>
      <c r="GEU2" s="126"/>
      <c r="GEV2" s="126"/>
      <c r="GEW2" s="64"/>
      <c r="GEX2" s="72"/>
      <c r="GEY2" s="145"/>
      <c r="GEZ2" s="145"/>
      <c r="GFA2" s="126"/>
      <c r="GFB2" s="126"/>
      <c r="GFC2" s="64"/>
      <c r="GFD2" s="72"/>
      <c r="GFE2" s="145"/>
      <c r="GFF2" s="145"/>
      <c r="GFG2" s="126"/>
      <c r="GFH2" s="126"/>
      <c r="GFI2" s="64"/>
      <c r="GFJ2" s="72"/>
      <c r="GFK2" s="145"/>
      <c r="GFL2" s="145"/>
      <c r="GFM2" s="126"/>
      <c r="GFN2" s="126"/>
      <c r="GFO2" s="64"/>
      <c r="GFP2" s="72"/>
      <c r="GFQ2" s="145"/>
      <c r="GFR2" s="145"/>
      <c r="GFS2" s="126"/>
      <c r="GFT2" s="126"/>
      <c r="GFU2" s="64"/>
      <c r="GFV2" s="72"/>
      <c r="GFW2" s="145"/>
      <c r="GFX2" s="145"/>
      <c r="GFY2" s="126"/>
      <c r="GFZ2" s="126"/>
      <c r="GGA2" s="64"/>
      <c r="GGB2" s="72"/>
      <c r="GGC2" s="145"/>
      <c r="GGD2" s="145"/>
      <c r="GGE2" s="126"/>
      <c r="GGF2" s="126"/>
      <c r="GGG2" s="64"/>
      <c r="GGH2" s="72"/>
      <c r="GGI2" s="145"/>
      <c r="GGJ2" s="145"/>
      <c r="GGK2" s="126"/>
      <c r="GGL2" s="126"/>
      <c r="GGM2" s="64"/>
      <c r="GGN2" s="72"/>
      <c r="GGO2" s="145"/>
      <c r="GGP2" s="145"/>
      <c r="GGQ2" s="126"/>
      <c r="GGR2" s="126"/>
      <c r="GGS2" s="64"/>
      <c r="GGT2" s="72"/>
      <c r="GGU2" s="145"/>
      <c r="GGV2" s="145"/>
      <c r="GGW2" s="126"/>
      <c r="GGX2" s="126"/>
      <c r="GGY2" s="64"/>
      <c r="GGZ2" s="72"/>
      <c r="GHA2" s="145"/>
      <c r="GHB2" s="145"/>
      <c r="GHC2" s="126"/>
      <c r="GHD2" s="126"/>
      <c r="GHE2" s="64"/>
      <c r="GHF2" s="72"/>
      <c r="GHG2" s="145"/>
      <c r="GHH2" s="145"/>
      <c r="GHI2" s="126"/>
      <c r="GHJ2" s="126"/>
      <c r="GHK2" s="64"/>
      <c r="GHL2" s="72"/>
      <c r="GHM2" s="145"/>
      <c r="GHN2" s="145"/>
      <c r="GHO2" s="126"/>
      <c r="GHP2" s="126"/>
      <c r="GHQ2" s="64"/>
      <c r="GHR2" s="72"/>
      <c r="GHS2" s="145"/>
      <c r="GHT2" s="145"/>
      <c r="GHU2" s="126"/>
      <c r="GHV2" s="126"/>
      <c r="GHW2" s="64"/>
      <c r="GHX2" s="72"/>
      <c r="GHY2" s="145"/>
      <c r="GHZ2" s="145"/>
      <c r="GIA2" s="126"/>
      <c r="GIB2" s="126"/>
      <c r="GIC2" s="64"/>
      <c r="GID2" s="72"/>
      <c r="GIE2" s="145"/>
      <c r="GIF2" s="145"/>
      <c r="GIG2" s="126"/>
      <c r="GIH2" s="126"/>
      <c r="GII2" s="64"/>
      <c r="GIJ2" s="72"/>
      <c r="GIK2" s="145"/>
      <c r="GIL2" s="145"/>
      <c r="GIM2" s="126"/>
      <c r="GIN2" s="126"/>
      <c r="GIO2" s="64"/>
      <c r="GIP2" s="72"/>
      <c r="GIQ2" s="145"/>
      <c r="GIR2" s="145"/>
      <c r="GIS2" s="126"/>
      <c r="GIT2" s="126"/>
      <c r="GIU2" s="64"/>
      <c r="GIV2" s="72"/>
      <c r="GIW2" s="145"/>
      <c r="GIX2" s="145"/>
      <c r="GIY2" s="126"/>
      <c r="GIZ2" s="126"/>
      <c r="GJA2" s="64"/>
      <c r="GJB2" s="72"/>
      <c r="GJC2" s="145"/>
      <c r="GJD2" s="145"/>
      <c r="GJE2" s="126"/>
      <c r="GJF2" s="126"/>
      <c r="GJG2" s="64"/>
      <c r="GJH2" s="72"/>
      <c r="GJI2" s="145"/>
      <c r="GJJ2" s="145"/>
      <c r="GJK2" s="126"/>
      <c r="GJL2" s="126"/>
      <c r="GJM2" s="64"/>
      <c r="GJN2" s="72"/>
      <c r="GJO2" s="145"/>
      <c r="GJP2" s="145"/>
      <c r="GJQ2" s="126"/>
      <c r="GJR2" s="126"/>
      <c r="GJS2" s="64"/>
      <c r="GJT2" s="72"/>
      <c r="GJU2" s="145"/>
      <c r="GJV2" s="145"/>
      <c r="GJW2" s="126"/>
      <c r="GJX2" s="126"/>
      <c r="GJY2" s="64"/>
      <c r="GJZ2" s="72"/>
      <c r="GKA2" s="145"/>
      <c r="GKB2" s="145"/>
      <c r="GKC2" s="126"/>
      <c r="GKD2" s="126"/>
      <c r="GKE2" s="64"/>
      <c r="GKF2" s="72"/>
      <c r="GKG2" s="145"/>
      <c r="GKH2" s="145"/>
      <c r="GKI2" s="126"/>
      <c r="GKJ2" s="126"/>
      <c r="GKK2" s="64"/>
      <c r="GKL2" s="72"/>
      <c r="GKM2" s="145"/>
      <c r="GKN2" s="145"/>
      <c r="GKO2" s="126"/>
      <c r="GKP2" s="126"/>
      <c r="GKQ2" s="64"/>
      <c r="GKR2" s="72"/>
      <c r="GKS2" s="145"/>
      <c r="GKT2" s="145"/>
      <c r="GKU2" s="126"/>
      <c r="GKV2" s="126"/>
      <c r="GKW2" s="64"/>
      <c r="GKX2" s="72"/>
      <c r="GKY2" s="145"/>
      <c r="GKZ2" s="145"/>
      <c r="GLA2" s="126"/>
      <c r="GLB2" s="126"/>
      <c r="GLC2" s="64"/>
      <c r="GLD2" s="72"/>
      <c r="GLE2" s="145"/>
      <c r="GLF2" s="145"/>
      <c r="GLG2" s="126"/>
      <c r="GLH2" s="126"/>
      <c r="GLI2" s="64"/>
      <c r="GLJ2" s="72"/>
      <c r="GLK2" s="145"/>
      <c r="GLL2" s="145"/>
      <c r="GLM2" s="126"/>
      <c r="GLN2" s="126"/>
      <c r="GLO2" s="64"/>
      <c r="GLP2" s="72"/>
      <c r="GLQ2" s="145"/>
      <c r="GLR2" s="145"/>
      <c r="GLS2" s="126"/>
      <c r="GLT2" s="126"/>
      <c r="GLU2" s="64"/>
      <c r="GLV2" s="72"/>
      <c r="GLW2" s="145"/>
      <c r="GLX2" s="145"/>
      <c r="GLY2" s="126"/>
      <c r="GLZ2" s="126"/>
      <c r="GMA2" s="64"/>
      <c r="GMB2" s="72"/>
      <c r="GMC2" s="145"/>
      <c r="GMD2" s="145"/>
      <c r="GME2" s="126"/>
      <c r="GMF2" s="126"/>
      <c r="GMG2" s="64"/>
      <c r="GMH2" s="72"/>
      <c r="GMI2" s="145"/>
      <c r="GMJ2" s="145"/>
      <c r="GMK2" s="126"/>
      <c r="GML2" s="126"/>
      <c r="GMM2" s="64"/>
      <c r="GMN2" s="72"/>
      <c r="GMO2" s="145"/>
      <c r="GMP2" s="145"/>
      <c r="GMQ2" s="126"/>
      <c r="GMR2" s="126"/>
      <c r="GMS2" s="64"/>
      <c r="GMT2" s="72"/>
      <c r="GMU2" s="145"/>
      <c r="GMV2" s="145"/>
      <c r="GMW2" s="126"/>
      <c r="GMX2" s="126"/>
      <c r="GMY2" s="64"/>
      <c r="GMZ2" s="72"/>
      <c r="GNA2" s="145"/>
      <c r="GNB2" s="145"/>
      <c r="GNC2" s="126"/>
      <c r="GND2" s="126"/>
      <c r="GNE2" s="64"/>
      <c r="GNF2" s="72"/>
      <c r="GNG2" s="145"/>
      <c r="GNH2" s="145"/>
      <c r="GNI2" s="126"/>
      <c r="GNJ2" s="126"/>
      <c r="GNK2" s="64"/>
      <c r="GNL2" s="72"/>
      <c r="GNM2" s="145"/>
      <c r="GNN2" s="145"/>
      <c r="GNO2" s="126"/>
      <c r="GNP2" s="126"/>
      <c r="GNQ2" s="64"/>
      <c r="GNR2" s="72"/>
      <c r="GNS2" s="145"/>
      <c r="GNT2" s="145"/>
      <c r="GNU2" s="126"/>
      <c r="GNV2" s="126"/>
      <c r="GNW2" s="64"/>
      <c r="GNX2" s="72"/>
      <c r="GNY2" s="145"/>
      <c r="GNZ2" s="145"/>
      <c r="GOA2" s="126"/>
      <c r="GOB2" s="126"/>
      <c r="GOC2" s="64"/>
      <c r="GOD2" s="72"/>
      <c r="GOE2" s="145"/>
      <c r="GOF2" s="145"/>
      <c r="GOG2" s="126"/>
      <c r="GOH2" s="126"/>
      <c r="GOI2" s="64"/>
      <c r="GOJ2" s="72"/>
      <c r="GOK2" s="145"/>
      <c r="GOL2" s="145"/>
      <c r="GOM2" s="126"/>
      <c r="GON2" s="126"/>
      <c r="GOO2" s="64"/>
      <c r="GOP2" s="72"/>
      <c r="GOQ2" s="145"/>
      <c r="GOR2" s="145"/>
      <c r="GOS2" s="126"/>
      <c r="GOT2" s="126"/>
      <c r="GOU2" s="64"/>
      <c r="GOV2" s="72"/>
      <c r="GOW2" s="145"/>
      <c r="GOX2" s="145"/>
      <c r="GOY2" s="126"/>
      <c r="GOZ2" s="126"/>
      <c r="GPA2" s="64"/>
      <c r="GPB2" s="72"/>
      <c r="GPC2" s="145"/>
      <c r="GPD2" s="145"/>
      <c r="GPE2" s="126"/>
      <c r="GPF2" s="126"/>
      <c r="GPG2" s="64"/>
      <c r="GPH2" s="72"/>
      <c r="GPI2" s="145"/>
      <c r="GPJ2" s="145"/>
      <c r="GPK2" s="126"/>
      <c r="GPL2" s="126"/>
      <c r="GPM2" s="64"/>
      <c r="GPN2" s="72"/>
      <c r="GPO2" s="145"/>
      <c r="GPP2" s="145"/>
      <c r="GPQ2" s="126"/>
      <c r="GPR2" s="126"/>
      <c r="GPS2" s="64"/>
      <c r="GPT2" s="72"/>
      <c r="GPU2" s="145"/>
      <c r="GPV2" s="145"/>
      <c r="GPW2" s="126"/>
      <c r="GPX2" s="126"/>
      <c r="GPY2" s="64"/>
      <c r="GPZ2" s="72"/>
      <c r="GQA2" s="145"/>
      <c r="GQB2" s="145"/>
      <c r="GQC2" s="126"/>
      <c r="GQD2" s="126"/>
      <c r="GQE2" s="64"/>
      <c r="GQF2" s="72"/>
      <c r="GQG2" s="145"/>
      <c r="GQH2" s="145"/>
      <c r="GQI2" s="126"/>
      <c r="GQJ2" s="126"/>
      <c r="GQK2" s="64"/>
      <c r="GQL2" s="72"/>
      <c r="GQM2" s="145"/>
      <c r="GQN2" s="145"/>
      <c r="GQO2" s="126"/>
      <c r="GQP2" s="126"/>
      <c r="GQQ2" s="64"/>
      <c r="GQR2" s="72"/>
      <c r="GQS2" s="145"/>
      <c r="GQT2" s="145"/>
      <c r="GQU2" s="126"/>
      <c r="GQV2" s="126"/>
      <c r="GQW2" s="64"/>
      <c r="GQX2" s="72"/>
      <c r="GQY2" s="145"/>
      <c r="GQZ2" s="145"/>
      <c r="GRA2" s="126"/>
      <c r="GRB2" s="126"/>
      <c r="GRC2" s="64"/>
      <c r="GRD2" s="72"/>
      <c r="GRE2" s="145"/>
      <c r="GRF2" s="145"/>
      <c r="GRG2" s="126"/>
      <c r="GRH2" s="126"/>
      <c r="GRI2" s="64"/>
      <c r="GRJ2" s="72"/>
      <c r="GRK2" s="145"/>
      <c r="GRL2" s="145"/>
      <c r="GRM2" s="126"/>
      <c r="GRN2" s="126"/>
      <c r="GRO2" s="64"/>
      <c r="GRP2" s="72"/>
      <c r="GRQ2" s="145"/>
      <c r="GRR2" s="145"/>
      <c r="GRS2" s="126"/>
      <c r="GRT2" s="126"/>
      <c r="GRU2" s="64"/>
      <c r="GRV2" s="72"/>
      <c r="GRW2" s="145"/>
      <c r="GRX2" s="145"/>
      <c r="GRY2" s="126"/>
      <c r="GRZ2" s="126"/>
      <c r="GSA2" s="64"/>
      <c r="GSB2" s="72"/>
      <c r="GSC2" s="145"/>
      <c r="GSD2" s="145"/>
      <c r="GSE2" s="126"/>
      <c r="GSF2" s="126"/>
      <c r="GSG2" s="64"/>
      <c r="GSH2" s="72"/>
      <c r="GSI2" s="145"/>
      <c r="GSJ2" s="145"/>
      <c r="GSK2" s="126"/>
      <c r="GSL2" s="126"/>
      <c r="GSM2" s="64"/>
      <c r="GSN2" s="72"/>
      <c r="GSO2" s="145"/>
      <c r="GSP2" s="145"/>
      <c r="GSQ2" s="126"/>
      <c r="GSR2" s="126"/>
      <c r="GSS2" s="64"/>
      <c r="GST2" s="72"/>
      <c r="GSU2" s="145"/>
      <c r="GSV2" s="145"/>
      <c r="GSW2" s="126"/>
      <c r="GSX2" s="126"/>
      <c r="GSY2" s="64"/>
      <c r="GSZ2" s="72"/>
      <c r="GTA2" s="145"/>
      <c r="GTB2" s="145"/>
      <c r="GTC2" s="126"/>
      <c r="GTD2" s="126"/>
      <c r="GTE2" s="64"/>
      <c r="GTF2" s="72"/>
      <c r="GTG2" s="145"/>
      <c r="GTH2" s="145"/>
      <c r="GTI2" s="126"/>
      <c r="GTJ2" s="126"/>
      <c r="GTK2" s="64"/>
      <c r="GTL2" s="72"/>
      <c r="GTM2" s="145"/>
      <c r="GTN2" s="145"/>
      <c r="GTO2" s="126"/>
      <c r="GTP2" s="126"/>
      <c r="GTQ2" s="64"/>
      <c r="GTR2" s="72"/>
      <c r="GTS2" s="145"/>
      <c r="GTT2" s="145"/>
      <c r="GTU2" s="126"/>
      <c r="GTV2" s="126"/>
      <c r="GTW2" s="64"/>
      <c r="GTX2" s="72"/>
      <c r="GTY2" s="145"/>
      <c r="GTZ2" s="145"/>
      <c r="GUA2" s="126"/>
      <c r="GUB2" s="126"/>
      <c r="GUC2" s="64"/>
      <c r="GUD2" s="72"/>
      <c r="GUE2" s="145"/>
      <c r="GUF2" s="145"/>
      <c r="GUG2" s="126"/>
      <c r="GUH2" s="126"/>
      <c r="GUI2" s="64"/>
      <c r="GUJ2" s="72"/>
      <c r="GUK2" s="145"/>
      <c r="GUL2" s="145"/>
      <c r="GUM2" s="126"/>
      <c r="GUN2" s="126"/>
      <c r="GUO2" s="64"/>
      <c r="GUP2" s="72"/>
      <c r="GUQ2" s="145"/>
      <c r="GUR2" s="145"/>
      <c r="GUS2" s="126"/>
      <c r="GUT2" s="126"/>
      <c r="GUU2" s="64"/>
      <c r="GUV2" s="72"/>
      <c r="GUW2" s="145"/>
      <c r="GUX2" s="145"/>
      <c r="GUY2" s="126"/>
      <c r="GUZ2" s="126"/>
      <c r="GVA2" s="64"/>
      <c r="GVB2" s="72"/>
      <c r="GVC2" s="145"/>
      <c r="GVD2" s="145"/>
      <c r="GVE2" s="126"/>
      <c r="GVF2" s="126"/>
      <c r="GVG2" s="64"/>
      <c r="GVH2" s="72"/>
      <c r="GVI2" s="145"/>
      <c r="GVJ2" s="145"/>
      <c r="GVK2" s="126"/>
      <c r="GVL2" s="126"/>
      <c r="GVM2" s="64"/>
      <c r="GVN2" s="72"/>
      <c r="GVO2" s="145"/>
      <c r="GVP2" s="145"/>
      <c r="GVQ2" s="126"/>
      <c r="GVR2" s="126"/>
      <c r="GVS2" s="64"/>
      <c r="GVT2" s="72"/>
      <c r="GVU2" s="145"/>
      <c r="GVV2" s="145"/>
      <c r="GVW2" s="126"/>
      <c r="GVX2" s="126"/>
      <c r="GVY2" s="64"/>
      <c r="GVZ2" s="72"/>
      <c r="GWA2" s="145"/>
      <c r="GWB2" s="145"/>
      <c r="GWC2" s="126"/>
      <c r="GWD2" s="126"/>
      <c r="GWE2" s="64"/>
      <c r="GWF2" s="72"/>
      <c r="GWG2" s="145"/>
      <c r="GWH2" s="145"/>
      <c r="GWI2" s="126"/>
      <c r="GWJ2" s="126"/>
      <c r="GWK2" s="64"/>
      <c r="GWL2" s="72"/>
      <c r="GWM2" s="145"/>
      <c r="GWN2" s="145"/>
      <c r="GWO2" s="126"/>
      <c r="GWP2" s="126"/>
      <c r="GWQ2" s="64"/>
      <c r="GWR2" s="72"/>
      <c r="GWS2" s="145"/>
      <c r="GWT2" s="145"/>
      <c r="GWU2" s="126"/>
      <c r="GWV2" s="126"/>
      <c r="GWW2" s="64"/>
      <c r="GWX2" s="72"/>
      <c r="GWY2" s="145"/>
      <c r="GWZ2" s="145"/>
      <c r="GXA2" s="126"/>
      <c r="GXB2" s="126"/>
      <c r="GXC2" s="64"/>
      <c r="GXD2" s="72"/>
      <c r="GXE2" s="145"/>
      <c r="GXF2" s="145"/>
      <c r="GXG2" s="126"/>
      <c r="GXH2" s="126"/>
      <c r="GXI2" s="64"/>
      <c r="GXJ2" s="72"/>
      <c r="GXK2" s="145"/>
      <c r="GXL2" s="145"/>
      <c r="GXM2" s="126"/>
      <c r="GXN2" s="126"/>
      <c r="GXO2" s="64"/>
      <c r="GXP2" s="72"/>
      <c r="GXQ2" s="145"/>
      <c r="GXR2" s="145"/>
      <c r="GXS2" s="126"/>
      <c r="GXT2" s="126"/>
      <c r="GXU2" s="64"/>
      <c r="GXV2" s="72"/>
      <c r="GXW2" s="145"/>
      <c r="GXX2" s="145"/>
      <c r="GXY2" s="126"/>
      <c r="GXZ2" s="126"/>
      <c r="GYA2" s="64"/>
      <c r="GYB2" s="72"/>
      <c r="GYC2" s="145"/>
      <c r="GYD2" s="145"/>
      <c r="GYE2" s="126"/>
      <c r="GYF2" s="126"/>
      <c r="GYG2" s="64"/>
      <c r="GYH2" s="72"/>
      <c r="GYI2" s="145"/>
      <c r="GYJ2" s="145"/>
      <c r="GYK2" s="126"/>
      <c r="GYL2" s="126"/>
      <c r="GYM2" s="64"/>
      <c r="GYN2" s="72"/>
      <c r="GYO2" s="145"/>
      <c r="GYP2" s="145"/>
      <c r="GYQ2" s="126"/>
      <c r="GYR2" s="126"/>
      <c r="GYS2" s="64"/>
      <c r="GYT2" s="72"/>
      <c r="GYU2" s="145"/>
      <c r="GYV2" s="145"/>
      <c r="GYW2" s="126"/>
      <c r="GYX2" s="126"/>
      <c r="GYY2" s="64"/>
      <c r="GYZ2" s="72"/>
      <c r="GZA2" s="145"/>
      <c r="GZB2" s="145"/>
      <c r="GZC2" s="126"/>
      <c r="GZD2" s="126"/>
      <c r="GZE2" s="64"/>
      <c r="GZF2" s="72"/>
      <c r="GZG2" s="145"/>
      <c r="GZH2" s="145"/>
      <c r="GZI2" s="126"/>
      <c r="GZJ2" s="126"/>
      <c r="GZK2" s="64"/>
      <c r="GZL2" s="72"/>
      <c r="GZM2" s="145"/>
      <c r="GZN2" s="145"/>
      <c r="GZO2" s="126"/>
      <c r="GZP2" s="126"/>
      <c r="GZQ2" s="64"/>
      <c r="GZR2" s="72"/>
      <c r="GZS2" s="145"/>
      <c r="GZT2" s="145"/>
      <c r="GZU2" s="126"/>
      <c r="GZV2" s="126"/>
      <c r="GZW2" s="64"/>
      <c r="GZX2" s="72"/>
      <c r="GZY2" s="145"/>
      <c r="GZZ2" s="145"/>
      <c r="HAA2" s="126"/>
      <c r="HAB2" s="126"/>
      <c r="HAC2" s="64"/>
      <c r="HAD2" s="72"/>
      <c r="HAE2" s="145"/>
      <c r="HAF2" s="145"/>
      <c r="HAG2" s="126"/>
      <c r="HAH2" s="126"/>
      <c r="HAI2" s="64"/>
      <c r="HAJ2" s="72"/>
      <c r="HAK2" s="145"/>
      <c r="HAL2" s="145"/>
      <c r="HAM2" s="126"/>
      <c r="HAN2" s="126"/>
      <c r="HAO2" s="64"/>
      <c r="HAP2" s="72"/>
      <c r="HAQ2" s="145"/>
      <c r="HAR2" s="145"/>
      <c r="HAS2" s="126"/>
      <c r="HAT2" s="126"/>
      <c r="HAU2" s="64"/>
      <c r="HAV2" s="72"/>
      <c r="HAW2" s="145"/>
      <c r="HAX2" s="145"/>
      <c r="HAY2" s="126"/>
      <c r="HAZ2" s="126"/>
      <c r="HBA2" s="64"/>
      <c r="HBB2" s="72"/>
      <c r="HBC2" s="145"/>
      <c r="HBD2" s="145"/>
      <c r="HBE2" s="126"/>
      <c r="HBF2" s="126"/>
      <c r="HBG2" s="64"/>
      <c r="HBH2" s="72"/>
      <c r="HBI2" s="145"/>
      <c r="HBJ2" s="145"/>
      <c r="HBK2" s="126"/>
      <c r="HBL2" s="126"/>
      <c r="HBM2" s="64"/>
      <c r="HBN2" s="72"/>
      <c r="HBO2" s="145"/>
      <c r="HBP2" s="145"/>
      <c r="HBQ2" s="126"/>
      <c r="HBR2" s="126"/>
      <c r="HBS2" s="64"/>
      <c r="HBT2" s="72"/>
      <c r="HBU2" s="145"/>
      <c r="HBV2" s="145"/>
      <c r="HBW2" s="126"/>
      <c r="HBX2" s="126"/>
      <c r="HBY2" s="64"/>
      <c r="HBZ2" s="72"/>
      <c r="HCA2" s="145"/>
      <c r="HCB2" s="145"/>
      <c r="HCC2" s="126"/>
      <c r="HCD2" s="126"/>
      <c r="HCE2" s="64"/>
      <c r="HCF2" s="72"/>
      <c r="HCG2" s="145"/>
      <c r="HCH2" s="145"/>
      <c r="HCI2" s="126"/>
      <c r="HCJ2" s="126"/>
      <c r="HCK2" s="64"/>
      <c r="HCL2" s="72"/>
      <c r="HCM2" s="145"/>
      <c r="HCN2" s="145"/>
      <c r="HCO2" s="126"/>
      <c r="HCP2" s="126"/>
      <c r="HCQ2" s="64"/>
      <c r="HCR2" s="72"/>
      <c r="HCS2" s="145"/>
      <c r="HCT2" s="145"/>
      <c r="HCU2" s="126"/>
      <c r="HCV2" s="126"/>
      <c r="HCW2" s="64"/>
      <c r="HCX2" s="72"/>
      <c r="HCY2" s="145"/>
      <c r="HCZ2" s="145"/>
      <c r="HDA2" s="126"/>
      <c r="HDB2" s="126"/>
      <c r="HDC2" s="64"/>
      <c r="HDD2" s="72"/>
      <c r="HDE2" s="145"/>
      <c r="HDF2" s="145"/>
      <c r="HDG2" s="126"/>
      <c r="HDH2" s="126"/>
      <c r="HDI2" s="64"/>
      <c r="HDJ2" s="72"/>
      <c r="HDK2" s="145"/>
      <c r="HDL2" s="145"/>
      <c r="HDM2" s="126"/>
      <c r="HDN2" s="126"/>
      <c r="HDO2" s="64"/>
      <c r="HDP2" s="72"/>
      <c r="HDQ2" s="145"/>
      <c r="HDR2" s="145"/>
      <c r="HDS2" s="126"/>
      <c r="HDT2" s="126"/>
      <c r="HDU2" s="64"/>
      <c r="HDV2" s="72"/>
      <c r="HDW2" s="145"/>
      <c r="HDX2" s="145"/>
      <c r="HDY2" s="126"/>
      <c r="HDZ2" s="126"/>
      <c r="HEA2" s="64"/>
      <c r="HEB2" s="72"/>
      <c r="HEC2" s="145"/>
      <c r="HED2" s="145"/>
      <c r="HEE2" s="126"/>
      <c r="HEF2" s="126"/>
      <c r="HEG2" s="64"/>
      <c r="HEH2" s="72"/>
      <c r="HEI2" s="145"/>
      <c r="HEJ2" s="145"/>
      <c r="HEK2" s="126"/>
      <c r="HEL2" s="126"/>
      <c r="HEM2" s="64"/>
      <c r="HEN2" s="72"/>
      <c r="HEO2" s="145"/>
      <c r="HEP2" s="145"/>
      <c r="HEQ2" s="126"/>
      <c r="HER2" s="126"/>
      <c r="HES2" s="64"/>
      <c r="HET2" s="72"/>
      <c r="HEU2" s="145"/>
      <c r="HEV2" s="145"/>
      <c r="HEW2" s="126"/>
      <c r="HEX2" s="126"/>
      <c r="HEY2" s="64"/>
      <c r="HEZ2" s="72"/>
      <c r="HFA2" s="145"/>
      <c r="HFB2" s="145"/>
      <c r="HFC2" s="126"/>
      <c r="HFD2" s="126"/>
      <c r="HFE2" s="64"/>
      <c r="HFF2" s="72"/>
      <c r="HFG2" s="145"/>
      <c r="HFH2" s="145"/>
      <c r="HFI2" s="126"/>
      <c r="HFJ2" s="126"/>
      <c r="HFK2" s="64"/>
      <c r="HFL2" s="72"/>
      <c r="HFM2" s="145"/>
      <c r="HFN2" s="145"/>
      <c r="HFO2" s="126"/>
      <c r="HFP2" s="126"/>
      <c r="HFQ2" s="64"/>
      <c r="HFR2" s="72"/>
      <c r="HFS2" s="145"/>
      <c r="HFT2" s="145"/>
      <c r="HFU2" s="126"/>
      <c r="HFV2" s="126"/>
      <c r="HFW2" s="64"/>
      <c r="HFX2" s="72"/>
      <c r="HFY2" s="145"/>
      <c r="HFZ2" s="145"/>
      <c r="HGA2" s="126"/>
      <c r="HGB2" s="126"/>
      <c r="HGC2" s="64"/>
      <c r="HGD2" s="72"/>
      <c r="HGE2" s="145"/>
      <c r="HGF2" s="145"/>
      <c r="HGG2" s="126"/>
      <c r="HGH2" s="126"/>
      <c r="HGI2" s="64"/>
      <c r="HGJ2" s="72"/>
      <c r="HGK2" s="145"/>
      <c r="HGL2" s="145"/>
      <c r="HGM2" s="126"/>
      <c r="HGN2" s="126"/>
      <c r="HGO2" s="64"/>
      <c r="HGP2" s="72"/>
      <c r="HGQ2" s="145"/>
      <c r="HGR2" s="145"/>
      <c r="HGS2" s="126"/>
      <c r="HGT2" s="126"/>
      <c r="HGU2" s="64"/>
      <c r="HGV2" s="72"/>
      <c r="HGW2" s="145"/>
      <c r="HGX2" s="145"/>
      <c r="HGY2" s="126"/>
      <c r="HGZ2" s="126"/>
      <c r="HHA2" s="64"/>
      <c r="HHB2" s="72"/>
      <c r="HHC2" s="145"/>
      <c r="HHD2" s="145"/>
      <c r="HHE2" s="126"/>
      <c r="HHF2" s="126"/>
      <c r="HHG2" s="64"/>
      <c r="HHH2" s="72"/>
      <c r="HHI2" s="145"/>
      <c r="HHJ2" s="145"/>
      <c r="HHK2" s="126"/>
      <c r="HHL2" s="126"/>
      <c r="HHM2" s="64"/>
      <c r="HHN2" s="72"/>
      <c r="HHO2" s="145"/>
      <c r="HHP2" s="145"/>
      <c r="HHQ2" s="126"/>
      <c r="HHR2" s="126"/>
      <c r="HHS2" s="64"/>
      <c r="HHT2" s="72"/>
      <c r="HHU2" s="145"/>
      <c r="HHV2" s="145"/>
      <c r="HHW2" s="126"/>
      <c r="HHX2" s="126"/>
      <c r="HHY2" s="64"/>
      <c r="HHZ2" s="72"/>
      <c r="HIA2" s="145"/>
      <c r="HIB2" s="145"/>
      <c r="HIC2" s="126"/>
      <c r="HID2" s="126"/>
      <c r="HIE2" s="64"/>
      <c r="HIF2" s="72"/>
      <c r="HIG2" s="145"/>
      <c r="HIH2" s="145"/>
      <c r="HII2" s="126"/>
      <c r="HIJ2" s="126"/>
      <c r="HIK2" s="64"/>
      <c r="HIL2" s="72"/>
      <c r="HIM2" s="145"/>
      <c r="HIN2" s="145"/>
      <c r="HIO2" s="126"/>
      <c r="HIP2" s="126"/>
      <c r="HIQ2" s="64"/>
      <c r="HIR2" s="72"/>
      <c r="HIS2" s="145"/>
      <c r="HIT2" s="145"/>
      <c r="HIU2" s="126"/>
      <c r="HIV2" s="126"/>
      <c r="HIW2" s="64"/>
      <c r="HIX2" s="72"/>
      <c r="HIY2" s="145"/>
      <c r="HIZ2" s="145"/>
      <c r="HJA2" s="126"/>
      <c r="HJB2" s="126"/>
      <c r="HJC2" s="64"/>
      <c r="HJD2" s="72"/>
      <c r="HJE2" s="145"/>
      <c r="HJF2" s="145"/>
      <c r="HJG2" s="126"/>
      <c r="HJH2" s="126"/>
      <c r="HJI2" s="64"/>
      <c r="HJJ2" s="72"/>
      <c r="HJK2" s="145"/>
      <c r="HJL2" s="145"/>
      <c r="HJM2" s="126"/>
      <c r="HJN2" s="126"/>
      <c r="HJO2" s="64"/>
      <c r="HJP2" s="72"/>
      <c r="HJQ2" s="145"/>
      <c r="HJR2" s="145"/>
      <c r="HJS2" s="126"/>
      <c r="HJT2" s="126"/>
      <c r="HJU2" s="64"/>
      <c r="HJV2" s="72"/>
      <c r="HJW2" s="145"/>
      <c r="HJX2" s="145"/>
      <c r="HJY2" s="126"/>
      <c r="HJZ2" s="126"/>
      <c r="HKA2" s="64"/>
      <c r="HKB2" s="72"/>
      <c r="HKC2" s="145"/>
      <c r="HKD2" s="145"/>
      <c r="HKE2" s="126"/>
      <c r="HKF2" s="126"/>
      <c r="HKG2" s="64"/>
      <c r="HKH2" s="72"/>
      <c r="HKI2" s="145"/>
      <c r="HKJ2" s="145"/>
      <c r="HKK2" s="126"/>
      <c r="HKL2" s="126"/>
      <c r="HKM2" s="64"/>
      <c r="HKN2" s="72"/>
      <c r="HKO2" s="145"/>
      <c r="HKP2" s="145"/>
      <c r="HKQ2" s="126"/>
      <c r="HKR2" s="126"/>
      <c r="HKS2" s="64"/>
      <c r="HKT2" s="72"/>
      <c r="HKU2" s="145"/>
      <c r="HKV2" s="145"/>
      <c r="HKW2" s="126"/>
      <c r="HKX2" s="126"/>
      <c r="HKY2" s="64"/>
      <c r="HKZ2" s="72"/>
      <c r="HLA2" s="145"/>
      <c r="HLB2" s="145"/>
      <c r="HLC2" s="126"/>
      <c r="HLD2" s="126"/>
      <c r="HLE2" s="64"/>
      <c r="HLF2" s="72"/>
      <c r="HLG2" s="145"/>
      <c r="HLH2" s="145"/>
      <c r="HLI2" s="126"/>
      <c r="HLJ2" s="126"/>
      <c r="HLK2" s="64"/>
      <c r="HLL2" s="72"/>
      <c r="HLM2" s="145"/>
      <c r="HLN2" s="145"/>
      <c r="HLO2" s="126"/>
      <c r="HLP2" s="126"/>
      <c r="HLQ2" s="64"/>
      <c r="HLR2" s="72"/>
      <c r="HLS2" s="145"/>
      <c r="HLT2" s="145"/>
      <c r="HLU2" s="126"/>
      <c r="HLV2" s="126"/>
      <c r="HLW2" s="64"/>
      <c r="HLX2" s="72"/>
      <c r="HLY2" s="145"/>
      <c r="HLZ2" s="145"/>
      <c r="HMA2" s="126"/>
      <c r="HMB2" s="126"/>
      <c r="HMC2" s="64"/>
      <c r="HMD2" s="72"/>
      <c r="HME2" s="145"/>
      <c r="HMF2" s="145"/>
      <c r="HMG2" s="126"/>
      <c r="HMH2" s="126"/>
      <c r="HMI2" s="64"/>
      <c r="HMJ2" s="72"/>
      <c r="HMK2" s="145"/>
      <c r="HML2" s="145"/>
      <c r="HMM2" s="126"/>
      <c r="HMN2" s="126"/>
      <c r="HMO2" s="64"/>
      <c r="HMP2" s="72"/>
      <c r="HMQ2" s="145"/>
      <c r="HMR2" s="145"/>
      <c r="HMS2" s="126"/>
      <c r="HMT2" s="126"/>
      <c r="HMU2" s="64"/>
      <c r="HMV2" s="72"/>
      <c r="HMW2" s="145"/>
      <c r="HMX2" s="145"/>
      <c r="HMY2" s="126"/>
      <c r="HMZ2" s="126"/>
      <c r="HNA2" s="64"/>
      <c r="HNB2" s="72"/>
      <c r="HNC2" s="145"/>
      <c r="HND2" s="145"/>
      <c r="HNE2" s="126"/>
      <c r="HNF2" s="126"/>
      <c r="HNG2" s="64"/>
      <c r="HNH2" s="72"/>
      <c r="HNI2" s="145"/>
      <c r="HNJ2" s="145"/>
      <c r="HNK2" s="126"/>
      <c r="HNL2" s="126"/>
      <c r="HNM2" s="64"/>
      <c r="HNN2" s="72"/>
      <c r="HNO2" s="145"/>
      <c r="HNP2" s="145"/>
      <c r="HNQ2" s="126"/>
      <c r="HNR2" s="126"/>
      <c r="HNS2" s="64"/>
      <c r="HNT2" s="72"/>
      <c r="HNU2" s="145"/>
      <c r="HNV2" s="145"/>
      <c r="HNW2" s="126"/>
      <c r="HNX2" s="126"/>
      <c r="HNY2" s="64"/>
      <c r="HNZ2" s="72"/>
      <c r="HOA2" s="145"/>
      <c r="HOB2" s="145"/>
      <c r="HOC2" s="126"/>
      <c r="HOD2" s="126"/>
      <c r="HOE2" s="64"/>
      <c r="HOF2" s="72"/>
      <c r="HOG2" s="145"/>
      <c r="HOH2" s="145"/>
      <c r="HOI2" s="126"/>
      <c r="HOJ2" s="126"/>
      <c r="HOK2" s="64"/>
      <c r="HOL2" s="72"/>
      <c r="HOM2" s="145"/>
      <c r="HON2" s="145"/>
      <c r="HOO2" s="126"/>
      <c r="HOP2" s="126"/>
      <c r="HOQ2" s="64"/>
      <c r="HOR2" s="72"/>
      <c r="HOS2" s="145"/>
      <c r="HOT2" s="145"/>
      <c r="HOU2" s="126"/>
      <c r="HOV2" s="126"/>
      <c r="HOW2" s="64"/>
      <c r="HOX2" s="72"/>
      <c r="HOY2" s="145"/>
      <c r="HOZ2" s="145"/>
      <c r="HPA2" s="126"/>
      <c r="HPB2" s="126"/>
      <c r="HPC2" s="64"/>
      <c r="HPD2" s="72"/>
      <c r="HPE2" s="145"/>
      <c r="HPF2" s="145"/>
      <c r="HPG2" s="126"/>
      <c r="HPH2" s="126"/>
      <c r="HPI2" s="64"/>
      <c r="HPJ2" s="72"/>
      <c r="HPK2" s="145"/>
      <c r="HPL2" s="145"/>
      <c r="HPM2" s="126"/>
      <c r="HPN2" s="126"/>
      <c r="HPO2" s="64"/>
      <c r="HPP2" s="72"/>
      <c r="HPQ2" s="145"/>
      <c r="HPR2" s="145"/>
      <c r="HPS2" s="126"/>
      <c r="HPT2" s="126"/>
      <c r="HPU2" s="64"/>
      <c r="HPV2" s="72"/>
      <c r="HPW2" s="145"/>
      <c r="HPX2" s="145"/>
      <c r="HPY2" s="126"/>
      <c r="HPZ2" s="126"/>
      <c r="HQA2" s="64"/>
      <c r="HQB2" s="72"/>
      <c r="HQC2" s="145"/>
      <c r="HQD2" s="145"/>
      <c r="HQE2" s="126"/>
      <c r="HQF2" s="126"/>
      <c r="HQG2" s="64"/>
      <c r="HQH2" s="72"/>
      <c r="HQI2" s="145"/>
      <c r="HQJ2" s="145"/>
      <c r="HQK2" s="126"/>
      <c r="HQL2" s="126"/>
      <c r="HQM2" s="64"/>
      <c r="HQN2" s="72"/>
      <c r="HQO2" s="145"/>
      <c r="HQP2" s="145"/>
      <c r="HQQ2" s="126"/>
      <c r="HQR2" s="126"/>
      <c r="HQS2" s="64"/>
      <c r="HQT2" s="72"/>
      <c r="HQU2" s="145"/>
      <c r="HQV2" s="145"/>
      <c r="HQW2" s="126"/>
      <c r="HQX2" s="126"/>
      <c r="HQY2" s="64"/>
      <c r="HQZ2" s="72"/>
      <c r="HRA2" s="145"/>
      <c r="HRB2" s="145"/>
      <c r="HRC2" s="126"/>
      <c r="HRD2" s="126"/>
      <c r="HRE2" s="64"/>
      <c r="HRF2" s="72"/>
      <c r="HRG2" s="145"/>
      <c r="HRH2" s="145"/>
      <c r="HRI2" s="126"/>
      <c r="HRJ2" s="126"/>
      <c r="HRK2" s="64"/>
      <c r="HRL2" s="72"/>
      <c r="HRM2" s="145"/>
      <c r="HRN2" s="145"/>
      <c r="HRO2" s="126"/>
      <c r="HRP2" s="126"/>
      <c r="HRQ2" s="64"/>
      <c r="HRR2" s="72"/>
      <c r="HRS2" s="145"/>
      <c r="HRT2" s="145"/>
      <c r="HRU2" s="126"/>
      <c r="HRV2" s="126"/>
      <c r="HRW2" s="64"/>
      <c r="HRX2" s="72"/>
      <c r="HRY2" s="145"/>
      <c r="HRZ2" s="145"/>
      <c r="HSA2" s="126"/>
      <c r="HSB2" s="126"/>
      <c r="HSC2" s="64"/>
      <c r="HSD2" s="72"/>
      <c r="HSE2" s="145"/>
      <c r="HSF2" s="145"/>
      <c r="HSG2" s="126"/>
      <c r="HSH2" s="126"/>
      <c r="HSI2" s="64"/>
      <c r="HSJ2" s="72"/>
      <c r="HSK2" s="145"/>
      <c r="HSL2" s="145"/>
      <c r="HSM2" s="126"/>
      <c r="HSN2" s="126"/>
      <c r="HSO2" s="64"/>
      <c r="HSP2" s="72"/>
      <c r="HSQ2" s="145"/>
      <c r="HSR2" s="145"/>
      <c r="HSS2" s="126"/>
      <c r="HST2" s="126"/>
      <c r="HSU2" s="64"/>
      <c r="HSV2" s="72"/>
      <c r="HSW2" s="145"/>
      <c r="HSX2" s="145"/>
      <c r="HSY2" s="126"/>
      <c r="HSZ2" s="126"/>
      <c r="HTA2" s="64"/>
      <c r="HTB2" s="72"/>
      <c r="HTC2" s="145"/>
      <c r="HTD2" s="145"/>
      <c r="HTE2" s="126"/>
      <c r="HTF2" s="126"/>
      <c r="HTG2" s="64"/>
      <c r="HTH2" s="72"/>
      <c r="HTI2" s="145"/>
      <c r="HTJ2" s="145"/>
      <c r="HTK2" s="126"/>
      <c r="HTL2" s="126"/>
      <c r="HTM2" s="64"/>
      <c r="HTN2" s="72"/>
      <c r="HTO2" s="145"/>
      <c r="HTP2" s="145"/>
      <c r="HTQ2" s="126"/>
      <c r="HTR2" s="126"/>
      <c r="HTS2" s="64"/>
      <c r="HTT2" s="72"/>
      <c r="HTU2" s="145"/>
      <c r="HTV2" s="145"/>
      <c r="HTW2" s="126"/>
      <c r="HTX2" s="126"/>
      <c r="HTY2" s="64"/>
      <c r="HTZ2" s="72"/>
      <c r="HUA2" s="145"/>
      <c r="HUB2" s="145"/>
      <c r="HUC2" s="126"/>
      <c r="HUD2" s="126"/>
      <c r="HUE2" s="64"/>
      <c r="HUF2" s="72"/>
      <c r="HUG2" s="145"/>
      <c r="HUH2" s="145"/>
      <c r="HUI2" s="126"/>
      <c r="HUJ2" s="126"/>
      <c r="HUK2" s="64"/>
      <c r="HUL2" s="72"/>
      <c r="HUM2" s="145"/>
      <c r="HUN2" s="145"/>
      <c r="HUO2" s="126"/>
      <c r="HUP2" s="126"/>
      <c r="HUQ2" s="64"/>
      <c r="HUR2" s="72"/>
      <c r="HUS2" s="145"/>
      <c r="HUT2" s="145"/>
      <c r="HUU2" s="126"/>
      <c r="HUV2" s="126"/>
      <c r="HUW2" s="64"/>
      <c r="HUX2" s="72"/>
      <c r="HUY2" s="145"/>
      <c r="HUZ2" s="145"/>
      <c r="HVA2" s="126"/>
      <c r="HVB2" s="126"/>
      <c r="HVC2" s="64"/>
      <c r="HVD2" s="72"/>
      <c r="HVE2" s="145"/>
      <c r="HVF2" s="145"/>
      <c r="HVG2" s="126"/>
      <c r="HVH2" s="126"/>
      <c r="HVI2" s="64"/>
      <c r="HVJ2" s="72"/>
      <c r="HVK2" s="145"/>
      <c r="HVL2" s="145"/>
      <c r="HVM2" s="126"/>
      <c r="HVN2" s="126"/>
      <c r="HVO2" s="64"/>
      <c r="HVP2" s="72"/>
      <c r="HVQ2" s="145"/>
      <c r="HVR2" s="145"/>
      <c r="HVS2" s="126"/>
      <c r="HVT2" s="126"/>
      <c r="HVU2" s="64"/>
      <c r="HVV2" s="72"/>
      <c r="HVW2" s="145"/>
      <c r="HVX2" s="145"/>
      <c r="HVY2" s="126"/>
      <c r="HVZ2" s="126"/>
      <c r="HWA2" s="64"/>
      <c r="HWB2" s="72"/>
      <c r="HWC2" s="145"/>
      <c r="HWD2" s="145"/>
      <c r="HWE2" s="126"/>
      <c r="HWF2" s="126"/>
      <c r="HWG2" s="64"/>
      <c r="HWH2" s="72"/>
      <c r="HWI2" s="145"/>
      <c r="HWJ2" s="145"/>
      <c r="HWK2" s="126"/>
      <c r="HWL2" s="126"/>
      <c r="HWM2" s="64"/>
      <c r="HWN2" s="72"/>
      <c r="HWO2" s="145"/>
      <c r="HWP2" s="145"/>
      <c r="HWQ2" s="126"/>
      <c r="HWR2" s="126"/>
      <c r="HWS2" s="64"/>
      <c r="HWT2" s="72"/>
      <c r="HWU2" s="145"/>
      <c r="HWV2" s="145"/>
      <c r="HWW2" s="126"/>
      <c r="HWX2" s="126"/>
      <c r="HWY2" s="64"/>
      <c r="HWZ2" s="72"/>
      <c r="HXA2" s="145"/>
      <c r="HXB2" s="145"/>
      <c r="HXC2" s="126"/>
      <c r="HXD2" s="126"/>
      <c r="HXE2" s="64"/>
      <c r="HXF2" s="72"/>
      <c r="HXG2" s="145"/>
      <c r="HXH2" s="145"/>
      <c r="HXI2" s="126"/>
      <c r="HXJ2" s="126"/>
      <c r="HXK2" s="64"/>
      <c r="HXL2" s="72"/>
      <c r="HXM2" s="145"/>
      <c r="HXN2" s="145"/>
      <c r="HXO2" s="126"/>
      <c r="HXP2" s="126"/>
      <c r="HXQ2" s="64"/>
      <c r="HXR2" s="72"/>
      <c r="HXS2" s="145"/>
      <c r="HXT2" s="145"/>
      <c r="HXU2" s="126"/>
      <c r="HXV2" s="126"/>
      <c r="HXW2" s="64"/>
      <c r="HXX2" s="72"/>
      <c r="HXY2" s="145"/>
      <c r="HXZ2" s="145"/>
      <c r="HYA2" s="126"/>
      <c r="HYB2" s="126"/>
      <c r="HYC2" s="64"/>
      <c r="HYD2" s="72"/>
      <c r="HYE2" s="145"/>
      <c r="HYF2" s="145"/>
      <c r="HYG2" s="126"/>
      <c r="HYH2" s="126"/>
      <c r="HYI2" s="64"/>
      <c r="HYJ2" s="72"/>
      <c r="HYK2" s="145"/>
      <c r="HYL2" s="145"/>
      <c r="HYM2" s="126"/>
      <c r="HYN2" s="126"/>
      <c r="HYO2" s="64"/>
      <c r="HYP2" s="72"/>
      <c r="HYQ2" s="145"/>
      <c r="HYR2" s="145"/>
      <c r="HYS2" s="126"/>
      <c r="HYT2" s="126"/>
      <c r="HYU2" s="64"/>
      <c r="HYV2" s="72"/>
      <c r="HYW2" s="145"/>
      <c r="HYX2" s="145"/>
      <c r="HYY2" s="126"/>
      <c r="HYZ2" s="126"/>
      <c r="HZA2" s="64"/>
      <c r="HZB2" s="72"/>
      <c r="HZC2" s="145"/>
      <c r="HZD2" s="145"/>
      <c r="HZE2" s="126"/>
      <c r="HZF2" s="126"/>
      <c r="HZG2" s="64"/>
      <c r="HZH2" s="72"/>
      <c r="HZI2" s="145"/>
      <c r="HZJ2" s="145"/>
      <c r="HZK2" s="126"/>
      <c r="HZL2" s="126"/>
      <c r="HZM2" s="64"/>
      <c r="HZN2" s="72"/>
      <c r="HZO2" s="145"/>
      <c r="HZP2" s="145"/>
      <c r="HZQ2" s="126"/>
      <c r="HZR2" s="126"/>
      <c r="HZS2" s="64"/>
      <c r="HZT2" s="72"/>
      <c r="HZU2" s="145"/>
      <c r="HZV2" s="145"/>
      <c r="HZW2" s="126"/>
      <c r="HZX2" s="126"/>
      <c r="HZY2" s="64"/>
      <c r="HZZ2" s="72"/>
      <c r="IAA2" s="145"/>
      <c r="IAB2" s="145"/>
      <c r="IAC2" s="126"/>
      <c r="IAD2" s="126"/>
      <c r="IAE2" s="64"/>
      <c r="IAF2" s="72"/>
      <c r="IAG2" s="145"/>
      <c r="IAH2" s="145"/>
      <c r="IAI2" s="126"/>
      <c r="IAJ2" s="126"/>
      <c r="IAK2" s="64"/>
      <c r="IAL2" s="72"/>
      <c r="IAM2" s="145"/>
      <c r="IAN2" s="145"/>
      <c r="IAO2" s="126"/>
      <c r="IAP2" s="126"/>
      <c r="IAQ2" s="64"/>
      <c r="IAR2" s="72"/>
      <c r="IAS2" s="145"/>
      <c r="IAT2" s="145"/>
      <c r="IAU2" s="126"/>
      <c r="IAV2" s="126"/>
      <c r="IAW2" s="64"/>
      <c r="IAX2" s="72"/>
      <c r="IAY2" s="145"/>
      <c r="IAZ2" s="145"/>
      <c r="IBA2" s="126"/>
      <c r="IBB2" s="126"/>
      <c r="IBC2" s="64"/>
      <c r="IBD2" s="72"/>
      <c r="IBE2" s="145"/>
      <c r="IBF2" s="145"/>
      <c r="IBG2" s="126"/>
      <c r="IBH2" s="126"/>
      <c r="IBI2" s="64"/>
      <c r="IBJ2" s="72"/>
      <c r="IBK2" s="145"/>
      <c r="IBL2" s="145"/>
      <c r="IBM2" s="126"/>
      <c r="IBN2" s="126"/>
      <c r="IBO2" s="64"/>
      <c r="IBP2" s="72"/>
      <c r="IBQ2" s="145"/>
      <c r="IBR2" s="145"/>
      <c r="IBS2" s="126"/>
      <c r="IBT2" s="126"/>
      <c r="IBU2" s="64"/>
      <c r="IBV2" s="72"/>
      <c r="IBW2" s="145"/>
      <c r="IBX2" s="145"/>
      <c r="IBY2" s="126"/>
      <c r="IBZ2" s="126"/>
      <c r="ICA2" s="64"/>
      <c r="ICB2" s="72"/>
      <c r="ICC2" s="145"/>
      <c r="ICD2" s="145"/>
      <c r="ICE2" s="126"/>
      <c r="ICF2" s="126"/>
      <c r="ICG2" s="64"/>
      <c r="ICH2" s="72"/>
      <c r="ICI2" s="145"/>
      <c r="ICJ2" s="145"/>
      <c r="ICK2" s="126"/>
      <c r="ICL2" s="126"/>
      <c r="ICM2" s="64"/>
      <c r="ICN2" s="72"/>
      <c r="ICO2" s="145"/>
      <c r="ICP2" s="145"/>
      <c r="ICQ2" s="126"/>
      <c r="ICR2" s="126"/>
      <c r="ICS2" s="64"/>
      <c r="ICT2" s="72"/>
      <c r="ICU2" s="145"/>
      <c r="ICV2" s="145"/>
      <c r="ICW2" s="126"/>
      <c r="ICX2" s="126"/>
      <c r="ICY2" s="64"/>
      <c r="ICZ2" s="72"/>
      <c r="IDA2" s="145"/>
      <c r="IDB2" s="145"/>
      <c r="IDC2" s="126"/>
      <c r="IDD2" s="126"/>
      <c r="IDE2" s="64"/>
      <c r="IDF2" s="72"/>
      <c r="IDG2" s="145"/>
      <c r="IDH2" s="145"/>
      <c r="IDI2" s="126"/>
      <c r="IDJ2" s="126"/>
      <c r="IDK2" s="64"/>
      <c r="IDL2" s="72"/>
      <c r="IDM2" s="145"/>
      <c r="IDN2" s="145"/>
      <c r="IDO2" s="126"/>
      <c r="IDP2" s="126"/>
      <c r="IDQ2" s="64"/>
      <c r="IDR2" s="72"/>
      <c r="IDS2" s="145"/>
      <c r="IDT2" s="145"/>
      <c r="IDU2" s="126"/>
      <c r="IDV2" s="126"/>
      <c r="IDW2" s="64"/>
      <c r="IDX2" s="72"/>
      <c r="IDY2" s="145"/>
      <c r="IDZ2" s="145"/>
      <c r="IEA2" s="126"/>
      <c r="IEB2" s="126"/>
      <c r="IEC2" s="64"/>
      <c r="IED2" s="72"/>
      <c r="IEE2" s="145"/>
      <c r="IEF2" s="145"/>
      <c r="IEG2" s="126"/>
      <c r="IEH2" s="126"/>
      <c r="IEI2" s="64"/>
      <c r="IEJ2" s="72"/>
      <c r="IEK2" s="145"/>
      <c r="IEL2" s="145"/>
      <c r="IEM2" s="126"/>
      <c r="IEN2" s="126"/>
      <c r="IEO2" s="64"/>
      <c r="IEP2" s="72"/>
      <c r="IEQ2" s="145"/>
      <c r="IER2" s="145"/>
      <c r="IES2" s="126"/>
      <c r="IET2" s="126"/>
      <c r="IEU2" s="64"/>
      <c r="IEV2" s="72"/>
      <c r="IEW2" s="145"/>
      <c r="IEX2" s="145"/>
      <c r="IEY2" s="126"/>
      <c r="IEZ2" s="126"/>
      <c r="IFA2" s="64"/>
      <c r="IFB2" s="72"/>
      <c r="IFC2" s="145"/>
      <c r="IFD2" s="145"/>
      <c r="IFE2" s="126"/>
      <c r="IFF2" s="126"/>
      <c r="IFG2" s="64"/>
      <c r="IFH2" s="72"/>
      <c r="IFI2" s="145"/>
      <c r="IFJ2" s="145"/>
      <c r="IFK2" s="126"/>
      <c r="IFL2" s="126"/>
      <c r="IFM2" s="64"/>
      <c r="IFN2" s="72"/>
      <c r="IFO2" s="145"/>
      <c r="IFP2" s="145"/>
      <c r="IFQ2" s="126"/>
      <c r="IFR2" s="126"/>
      <c r="IFS2" s="64"/>
      <c r="IFT2" s="72"/>
      <c r="IFU2" s="145"/>
      <c r="IFV2" s="145"/>
      <c r="IFW2" s="126"/>
      <c r="IFX2" s="126"/>
      <c r="IFY2" s="64"/>
      <c r="IFZ2" s="72"/>
      <c r="IGA2" s="145"/>
      <c r="IGB2" s="145"/>
      <c r="IGC2" s="126"/>
      <c r="IGD2" s="126"/>
      <c r="IGE2" s="64"/>
      <c r="IGF2" s="72"/>
      <c r="IGG2" s="145"/>
      <c r="IGH2" s="145"/>
      <c r="IGI2" s="126"/>
      <c r="IGJ2" s="126"/>
      <c r="IGK2" s="64"/>
      <c r="IGL2" s="72"/>
      <c r="IGM2" s="145"/>
      <c r="IGN2" s="145"/>
      <c r="IGO2" s="126"/>
      <c r="IGP2" s="126"/>
      <c r="IGQ2" s="64"/>
      <c r="IGR2" s="72"/>
      <c r="IGS2" s="145"/>
      <c r="IGT2" s="145"/>
      <c r="IGU2" s="126"/>
      <c r="IGV2" s="126"/>
      <c r="IGW2" s="64"/>
      <c r="IGX2" s="72"/>
      <c r="IGY2" s="145"/>
      <c r="IGZ2" s="145"/>
      <c r="IHA2" s="126"/>
      <c r="IHB2" s="126"/>
      <c r="IHC2" s="64"/>
      <c r="IHD2" s="72"/>
      <c r="IHE2" s="145"/>
      <c r="IHF2" s="145"/>
      <c r="IHG2" s="126"/>
      <c r="IHH2" s="126"/>
      <c r="IHI2" s="64"/>
      <c r="IHJ2" s="72"/>
      <c r="IHK2" s="145"/>
      <c r="IHL2" s="145"/>
      <c r="IHM2" s="126"/>
      <c r="IHN2" s="126"/>
      <c r="IHO2" s="64"/>
      <c r="IHP2" s="72"/>
      <c r="IHQ2" s="145"/>
      <c r="IHR2" s="145"/>
      <c r="IHS2" s="126"/>
      <c r="IHT2" s="126"/>
      <c r="IHU2" s="64"/>
      <c r="IHV2" s="72"/>
      <c r="IHW2" s="145"/>
      <c r="IHX2" s="145"/>
      <c r="IHY2" s="126"/>
      <c r="IHZ2" s="126"/>
      <c r="IIA2" s="64"/>
      <c r="IIB2" s="72"/>
      <c r="IIC2" s="145"/>
      <c r="IID2" s="145"/>
      <c r="IIE2" s="126"/>
      <c r="IIF2" s="126"/>
      <c r="IIG2" s="64"/>
      <c r="IIH2" s="72"/>
      <c r="III2" s="145"/>
      <c r="IIJ2" s="145"/>
      <c r="IIK2" s="126"/>
      <c r="IIL2" s="126"/>
      <c r="IIM2" s="64"/>
      <c r="IIN2" s="72"/>
      <c r="IIO2" s="145"/>
      <c r="IIP2" s="145"/>
      <c r="IIQ2" s="126"/>
      <c r="IIR2" s="126"/>
      <c r="IIS2" s="64"/>
      <c r="IIT2" s="72"/>
      <c r="IIU2" s="145"/>
      <c r="IIV2" s="145"/>
      <c r="IIW2" s="126"/>
      <c r="IIX2" s="126"/>
      <c r="IIY2" s="64"/>
      <c r="IIZ2" s="72"/>
      <c r="IJA2" s="145"/>
      <c r="IJB2" s="145"/>
      <c r="IJC2" s="126"/>
      <c r="IJD2" s="126"/>
      <c r="IJE2" s="64"/>
      <c r="IJF2" s="72"/>
      <c r="IJG2" s="145"/>
      <c r="IJH2" s="145"/>
      <c r="IJI2" s="126"/>
      <c r="IJJ2" s="126"/>
      <c r="IJK2" s="64"/>
      <c r="IJL2" s="72"/>
      <c r="IJM2" s="145"/>
      <c r="IJN2" s="145"/>
      <c r="IJO2" s="126"/>
      <c r="IJP2" s="126"/>
      <c r="IJQ2" s="64"/>
      <c r="IJR2" s="72"/>
      <c r="IJS2" s="145"/>
      <c r="IJT2" s="145"/>
      <c r="IJU2" s="126"/>
      <c r="IJV2" s="126"/>
      <c r="IJW2" s="64"/>
      <c r="IJX2" s="72"/>
      <c r="IJY2" s="145"/>
      <c r="IJZ2" s="145"/>
      <c r="IKA2" s="126"/>
      <c r="IKB2" s="126"/>
      <c r="IKC2" s="64"/>
      <c r="IKD2" s="72"/>
      <c r="IKE2" s="145"/>
      <c r="IKF2" s="145"/>
      <c r="IKG2" s="126"/>
      <c r="IKH2" s="126"/>
      <c r="IKI2" s="64"/>
      <c r="IKJ2" s="72"/>
      <c r="IKK2" s="145"/>
      <c r="IKL2" s="145"/>
      <c r="IKM2" s="126"/>
      <c r="IKN2" s="126"/>
      <c r="IKO2" s="64"/>
      <c r="IKP2" s="72"/>
      <c r="IKQ2" s="145"/>
      <c r="IKR2" s="145"/>
      <c r="IKS2" s="126"/>
      <c r="IKT2" s="126"/>
      <c r="IKU2" s="64"/>
      <c r="IKV2" s="72"/>
      <c r="IKW2" s="145"/>
      <c r="IKX2" s="145"/>
      <c r="IKY2" s="126"/>
      <c r="IKZ2" s="126"/>
      <c r="ILA2" s="64"/>
      <c r="ILB2" s="72"/>
      <c r="ILC2" s="145"/>
      <c r="ILD2" s="145"/>
      <c r="ILE2" s="126"/>
      <c r="ILF2" s="126"/>
      <c r="ILG2" s="64"/>
      <c r="ILH2" s="72"/>
      <c r="ILI2" s="145"/>
      <c r="ILJ2" s="145"/>
      <c r="ILK2" s="126"/>
      <c r="ILL2" s="126"/>
      <c r="ILM2" s="64"/>
      <c r="ILN2" s="72"/>
      <c r="ILO2" s="145"/>
      <c r="ILP2" s="145"/>
      <c r="ILQ2" s="126"/>
      <c r="ILR2" s="126"/>
      <c r="ILS2" s="64"/>
      <c r="ILT2" s="72"/>
      <c r="ILU2" s="145"/>
      <c r="ILV2" s="145"/>
      <c r="ILW2" s="126"/>
      <c r="ILX2" s="126"/>
      <c r="ILY2" s="64"/>
      <c r="ILZ2" s="72"/>
      <c r="IMA2" s="145"/>
      <c r="IMB2" s="145"/>
      <c r="IMC2" s="126"/>
      <c r="IMD2" s="126"/>
      <c r="IME2" s="64"/>
      <c r="IMF2" s="72"/>
      <c r="IMG2" s="145"/>
      <c r="IMH2" s="145"/>
      <c r="IMI2" s="126"/>
      <c r="IMJ2" s="126"/>
      <c r="IMK2" s="64"/>
      <c r="IML2" s="72"/>
      <c r="IMM2" s="145"/>
      <c r="IMN2" s="145"/>
      <c r="IMO2" s="126"/>
      <c r="IMP2" s="126"/>
      <c r="IMQ2" s="64"/>
      <c r="IMR2" s="72"/>
      <c r="IMS2" s="145"/>
      <c r="IMT2" s="145"/>
      <c r="IMU2" s="126"/>
      <c r="IMV2" s="126"/>
      <c r="IMW2" s="64"/>
      <c r="IMX2" s="72"/>
      <c r="IMY2" s="145"/>
      <c r="IMZ2" s="145"/>
      <c r="INA2" s="126"/>
      <c r="INB2" s="126"/>
      <c r="INC2" s="64"/>
      <c r="IND2" s="72"/>
      <c r="INE2" s="145"/>
      <c r="INF2" s="145"/>
      <c r="ING2" s="126"/>
      <c r="INH2" s="126"/>
      <c r="INI2" s="64"/>
      <c r="INJ2" s="72"/>
      <c r="INK2" s="145"/>
      <c r="INL2" s="145"/>
      <c r="INM2" s="126"/>
      <c r="INN2" s="126"/>
      <c r="INO2" s="64"/>
      <c r="INP2" s="72"/>
      <c r="INQ2" s="145"/>
      <c r="INR2" s="145"/>
      <c r="INS2" s="126"/>
      <c r="INT2" s="126"/>
      <c r="INU2" s="64"/>
      <c r="INV2" s="72"/>
      <c r="INW2" s="145"/>
      <c r="INX2" s="145"/>
      <c r="INY2" s="126"/>
      <c r="INZ2" s="126"/>
      <c r="IOA2" s="64"/>
      <c r="IOB2" s="72"/>
      <c r="IOC2" s="145"/>
      <c r="IOD2" s="145"/>
      <c r="IOE2" s="126"/>
      <c r="IOF2" s="126"/>
      <c r="IOG2" s="64"/>
      <c r="IOH2" s="72"/>
      <c r="IOI2" s="145"/>
      <c r="IOJ2" s="145"/>
      <c r="IOK2" s="126"/>
      <c r="IOL2" s="126"/>
      <c r="IOM2" s="64"/>
      <c r="ION2" s="72"/>
      <c r="IOO2" s="145"/>
      <c r="IOP2" s="145"/>
      <c r="IOQ2" s="126"/>
      <c r="IOR2" s="126"/>
      <c r="IOS2" s="64"/>
      <c r="IOT2" s="72"/>
      <c r="IOU2" s="145"/>
      <c r="IOV2" s="145"/>
      <c r="IOW2" s="126"/>
      <c r="IOX2" s="126"/>
      <c r="IOY2" s="64"/>
      <c r="IOZ2" s="72"/>
      <c r="IPA2" s="145"/>
      <c r="IPB2" s="145"/>
      <c r="IPC2" s="126"/>
      <c r="IPD2" s="126"/>
      <c r="IPE2" s="64"/>
      <c r="IPF2" s="72"/>
      <c r="IPG2" s="145"/>
      <c r="IPH2" s="145"/>
      <c r="IPI2" s="126"/>
      <c r="IPJ2" s="126"/>
      <c r="IPK2" s="64"/>
      <c r="IPL2" s="72"/>
      <c r="IPM2" s="145"/>
      <c r="IPN2" s="145"/>
      <c r="IPO2" s="126"/>
      <c r="IPP2" s="126"/>
      <c r="IPQ2" s="64"/>
      <c r="IPR2" s="72"/>
      <c r="IPS2" s="145"/>
      <c r="IPT2" s="145"/>
      <c r="IPU2" s="126"/>
      <c r="IPV2" s="126"/>
      <c r="IPW2" s="64"/>
      <c r="IPX2" s="72"/>
      <c r="IPY2" s="145"/>
      <c r="IPZ2" s="145"/>
      <c r="IQA2" s="126"/>
      <c r="IQB2" s="126"/>
      <c r="IQC2" s="64"/>
      <c r="IQD2" s="72"/>
      <c r="IQE2" s="145"/>
      <c r="IQF2" s="145"/>
      <c r="IQG2" s="126"/>
      <c r="IQH2" s="126"/>
      <c r="IQI2" s="64"/>
      <c r="IQJ2" s="72"/>
      <c r="IQK2" s="145"/>
      <c r="IQL2" s="145"/>
      <c r="IQM2" s="126"/>
      <c r="IQN2" s="126"/>
      <c r="IQO2" s="64"/>
      <c r="IQP2" s="72"/>
      <c r="IQQ2" s="145"/>
      <c r="IQR2" s="145"/>
      <c r="IQS2" s="126"/>
      <c r="IQT2" s="126"/>
      <c r="IQU2" s="64"/>
      <c r="IQV2" s="72"/>
      <c r="IQW2" s="145"/>
      <c r="IQX2" s="145"/>
      <c r="IQY2" s="126"/>
      <c r="IQZ2" s="126"/>
      <c r="IRA2" s="64"/>
      <c r="IRB2" s="72"/>
      <c r="IRC2" s="145"/>
      <c r="IRD2" s="145"/>
      <c r="IRE2" s="126"/>
      <c r="IRF2" s="126"/>
      <c r="IRG2" s="64"/>
      <c r="IRH2" s="72"/>
      <c r="IRI2" s="145"/>
      <c r="IRJ2" s="145"/>
      <c r="IRK2" s="126"/>
      <c r="IRL2" s="126"/>
      <c r="IRM2" s="64"/>
      <c r="IRN2" s="72"/>
      <c r="IRO2" s="145"/>
      <c r="IRP2" s="145"/>
      <c r="IRQ2" s="126"/>
      <c r="IRR2" s="126"/>
      <c r="IRS2" s="64"/>
      <c r="IRT2" s="72"/>
      <c r="IRU2" s="145"/>
      <c r="IRV2" s="145"/>
      <c r="IRW2" s="126"/>
      <c r="IRX2" s="126"/>
      <c r="IRY2" s="64"/>
      <c r="IRZ2" s="72"/>
      <c r="ISA2" s="145"/>
      <c r="ISB2" s="145"/>
      <c r="ISC2" s="126"/>
      <c r="ISD2" s="126"/>
      <c r="ISE2" s="64"/>
      <c r="ISF2" s="72"/>
      <c r="ISG2" s="145"/>
      <c r="ISH2" s="145"/>
      <c r="ISI2" s="126"/>
      <c r="ISJ2" s="126"/>
      <c r="ISK2" s="64"/>
      <c r="ISL2" s="72"/>
      <c r="ISM2" s="145"/>
      <c r="ISN2" s="145"/>
      <c r="ISO2" s="126"/>
      <c r="ISP2" s="126"/>
      <c r="ISQ2" s="64"/>
      <c r="ISR2" s="72"/>
      <c r="ISS2" s="145"/>
      <c r="IST2" s="145"/>
      <c r="ISU2" s="126"/>
      <c r="ISV2" s="126"/>
      <c r="ISW2" s="64"/>
      <c r="ISX2" s="72"/>
      <c r="ISY2" s="145"/>
      <c r="ISZ2" s="145"/>
      <c r="ITA2" s="126"/>
      <c r="ITB2" s="126"/>
      <c r="ITC2" s="64"/>
      <c r="ITD2" s="72"/>
      <c r="ITE2" s="145"/>
      <c r="ITF2" s="145"/>
      <c r="ITG2" s="126"/>
      <c r="ITH2" s="126"/>
      <c r="ITI2" s="64"/>
      <c r="ITJ2" s="72"/>
      <c r="ITK2" s="145"/>
      <c r="ITL2" s="145"/>
      <c r="ITM2" s="126"/>
      <c r="ITN2" s="126"/>
      <c r="ITO2" s="64"/>
      <c r="ITP2" s="72"/>
      <c r="ITQ2" s="145"/>
      <c r="ITR2" s="145"/>
      <c r="ITS2" s="126"/>
      <c r="ITT2" s="126"/>
      <c r="ITU2" s="64"/>
      <c r="ITV2" s="72"/>
      <c r="ITW2" s="145"/>
      <c r="ITX2" s="145"/>
      <c r="ITY2" s="126"/>
      <c r="ITZ2" s="126"/>
      <c r="IUA2" s="64"/>
      <c r="IUB2" s="72"/>
      <c r="IUC2" s="145"/>
      <c r="IUD2" s="145"/>
      <c r="IUE2" s="126"/>
      <c r="IUF2" s="126"/>
      <c r="IUG2" s="64"/>
      <c r="IUH2" s="72"/>
      <c r="IUI2" s="145"/>
      <c r="IUJ2" s="145"/>
      <c r="IUK2" s="126"/>
      <c r="IUL2" s="126"/>
      <c r="IUM2" s="64"/>
      <c r="IUN2" s="72"/>
      <c r="IUO2" s="145"/>
      <c r="IUP2" s="145"/>
      <c r="IUQ2" s="126"/>
      <c r="IUR2" s="126"/>
      <c r="IUS2" s="64"/>
      <c r="IUT2" s="72"/>
      <c r="IUU2" s="145"/>
      <c r="IUV2" s="145"/>
      <c r="IUW2" s="126"/>
      <c r="IUX2" s="126"/>
      <c r="IUY2" s="64"/>
      <c r="IUZ2" s="72"/>
      <c r="IVA2" s="145"/>
      <c r="IVB2" s="145"/>
      <c r="IVC2" s="126"/>
      <c r="IVD2" s="126"/>
      <c r="IVE2" s="64"/>
      <c r="IVF2" s="72"/>
      <c r="IVG2" s="145"/>
      <c r="IVH2" s="145"/>
      <c r="IVI2" s="126"/>
      <c r="IVJ2" s="126"/>
      <c r="IVK2" s="64"/>
      <c r="IVL2" s="72"/>
      <c r="IVM2" s="145"/>
      <c r="IVN2" s="145"/>
      <c r="IVO2" s="126"/>
      <c r="IVP2" s="126"/>
      <c r="IVQ2" s="64"/>
      <c r="IVR2" s="72"/>
      <c r="IVS2" s="145"/>
      <c r="IVT2" s="145"/>
      <c r="IVU2" s="126"/>
      <c r="IVV2" s="126"/>
      <c r="IVW2" s="64"/>
      <c r="IVX2" s="72"/>
      <c r="IVY2" s="145"/>
      <c r="IVZ2" s="145"/>
      <c r="IWA2" s="126"/>
      <c r="IWB2" s="126"/>
      <c r="IWC2" s="64"/>
      <c r="IWD2" s="72"/>
      <c r="IWE2" s="145"/>
      <c r="IWF2" s="145"/>
      <c r="IWG2" s="126"/>
      <c r="IWH2" s="126"/>
      <c r="IWI2" s="64"/>
      <c r="IWJ2" s="72"/>
      <c r="IWK2" s="145"/>
      <c r="IWL2" s="145"/>
      <c r="IWM2" s="126"/>
      <c r="IWN2" s="126"/>
      <c r="IWO2" s="64"/>
      <c r="IWP2" s="72"/>
      <c r="IWQ2" s="145"/>
      <c r="IWR2" s="145"/>
      <c r="IWS2" s="126"/>
      <c r="IWT2" s="126"/>
      <c r="IWU2" s="64"/>
      <c r="IWV2" s="72"/>
      <c r="IWW2" s="145"/>
      <c r="IWX2" s="145"/>
      <c r="IWY2" s="126"/>
      <c r="IWZ2" s="126"/>
      <c r="IXA2" s="64"/>
      <c r="IXB2" s="72"/>
      <c r="IXC2" s="145"/>
      <c r="IXD2" s="145"/>
      <c r="IXE2" s="126"/>
      <c r="IXF2" s="126"/>
      <c r="IXG2" s="64"/>
      <c r="IXH2" s="72"/>
      <c r="IXI2" s="145"/>
      <c r="IXJ2" s="145"/>
      <c r="IXK2" s="126"/>
      <c r="IXL2" s="126"/>
      <c r="IXM2" s="64"/>
      <c r="IXN2" s="72"/>
      <c r="IXO2" s="145"/>
      <c r="IXP2" s="145"/>
      <c r="IXQ2" s="126"/>
      <c r="IXR2" s="126"/>
      <c r="IXS2" s="64"/>
      <c r="IXT2" s="72"/>
      <c r="IXU2" s="145"/>
      <c r="IXV2" s="145"/>
      <c r="IXW2" s="126"/>
      <c r="IXX2" s="126"/>
      <c r="IXY2" s="64"/>
      <c r="IXZ2" s="72"/>
      <c r="IYA2" s="145"/>
      <c r="IYB2" s="145"/>
      <c r="IYC2" s="126"/>
      <c r="IYD2" s="126"/>
      <c r="IYE2" s="64"/>
      <c r="IYF2" s="72"/>
      <c r="IYG2" s="145"/>
      <c r="IYH2" s="145"/>
      <c r="IYI2" s="126"/>
      <c r="IYJ2" s="126"/>
      <c r="IYK2" s="64"/>
      <c r="IYL2" s="72"/>
      <c r="IYM2" s="145"/>
      <c r="IYN2" s="145"/>
      <c r="IYO2" s="126"/>
      <c r="IYP2" s="126"/>
      <c r="IYQ2" s="64"/>
      <c r="IYR2" s="72"/>
      <c r="IYS2" s="145"/>
      <c r="IYT2" s="145"/>
      <c r="IYU2" s="126"/>
      <c r="IYV2" s="126"/>
      <c r="IYW2" s="64"/>
      <c r="IYX2" s="72"/>
      <c r="IYY2" s="145"/>
      <c r="IYZ2" s="145"/>
      <c r="IZA2" s="126"/>
      <c r="IZB2" s="126"/>
      <c r="IZC2" s="64"/>
      <c r="IZD2" s="72"/>
      <c r="IZE2" s="145"/>
      <c r="IZF2" s="145"/>
      <c r="IZG2" s="126"/>
      <c r="IZH2" s="126"/>
      <c r="IZI2" s="64"/>
      <c r="IZJ2" s="72"/>
      <c r="IZK2" s="145"/>
      <c r="IZL2" s="145"/>
      <c r="IZM2" s="126"/>
      <c r="IZN2" s="126"/>
      <c r="IZO2" s="64"/>
      <c r="IZP2" s="72"/>
      <c r="IZQ2" s="145"/>
      <c r="IZR2" s="145"/>
      <c r="IZS2" s="126"/>
      <c r="IZT2" s="126"/>
      <c r="IZU2" s="64"/>
      <c r="IZV2" s="72"/>
      <c r="IZW2" s="145"/>
      <c r="IZX2" s="145"/>
      <c r="IZY2" s="126"/>
      <c r="IZZ2" s="126"/>
      <c r="JAA2" s="64"/>
      <c r="JAB2" s="72"/>
      <c r="JAC2" s="145"/>
      <c r="JAD2" s="145"/>
      <c r="JAE2" s="126"/>
      <c r="JAF2" s="126"/>
      <c r="JAG2" s="64"/>
      <c r="JAH2" s="72"/>
      <c r="JAI2" s="145"/>
      <c r="JAJ2" s="145"/>
      <c r="JAK2" s="126"/>
      <c r="JAL2" s="126"/>
      <c r="JAM2" s="64"/>
      <c r="JAN2" s="72"/>
      <c r="JAO2" s="145"/>
      <c r="JAP2" s="145"/>
      <c r="JAQ2" s="126"/>
      <c r="JAR2" s="126"/>
      <c r="JAS2" s="64"/>
      <c r="JAT2" s="72"/>
      <c r="JAU2" s="145"/>
      <c r="JAV2" s="145"/>
      <c r="JAW2" s="126"/>
      <c r="JAX2" s="126"/>
      <c r="JAY2" s="64"/>
      <c r="JAZ2" s="72"/>
      <c r="JBA2" s="145"/>
      <c r="JBB2" s="145"/>
      <c r="JBC2" s="126"/>
      <c r="JBD2" s="126"/>
      <c r="JBE2" s="64"/>
      <c r="JBF2" s="72"/>
      <c r="JBG2" s="145"/>
      <c r="JBH2" s="145"/>
      <c r="JBI2" s="126"/>
      <c r="JBJ2" s="126"/>
      <c r="JBK2" s="64"/>
      <c r="JBL2" s="72"/>
      <c r="JBM2" s="145"/>
      <c r="JBN2" s="145"/>
      <c r="JBO2" s="126"/>
      <c r="JBP2" s="126"/>
      <c r="JBQ2" s="64"/>
      <c r="JBR2" s="72"/>
      <c r="JBS2" s="145"/>
      <c r="JBT2" s="145"/>
      <c r="JBU2" s="126"/>
      <c r="JBV2" s="126"/>
      <c r="JBW2" s="64"/>
      <c r="JBX2" s="72"/>
      <c r="JBY2" s="145"/>
      <c r="JBZ2" s="145"/>
      <c r="JCA2" s="126"/>
      <c r="JCB2" s="126"/>
      <c r="JCC2" s="64"/>
      <c r="JCD2" s="72"/>
      <c r="JCE2" s="145"/>
      <c r="JCF2" s="145"/>
      <c r="JCG2" s="126"/>
      <c r="JCH2" s="126"/>
      <c r="JCI2" s="64"/>
      <c r="JCJ2" s="72"/>
      <c r="JCK2" s="145"/>
      <c r="JCL2" s="145"/>
      <c r="JCM2" s="126"/>
      <c r="JCN2" s="126"/>
      <c r="JCO2" s="64"/>
      <c r="JCP2" s="72"/>
      <c r="JCQ2" s="145"/>
      <c r="JCR2" s="145"/>
      <c r="JCS2" s="126"/>
      <c r="JCT2" s="126"/>
      <c r="JCU2" s="64"/>
      <c r="JCV2" s="72"/>
      <c r="JCW2" s="145"/>
      <c r="JCX2" s="145"/>
      <c r="JCY2" s="126"/>
      <c r="JCZ2" s="126"/>
      <c r="JDA2" s="64"/>
      <c r="JDB2" s="72"/>
      <c r="JDC2" s="145"/>
      <c r="JDD2" s="145"/>
      <c r="JDE2" s="126"/>
      <c r="JDF2" s="126"/>
      <c r="JDG2" s="64"/>
      <c r="JDH2" s="72"/>
      <c r="JDI2" s="145"/>
      <c r="JDJ2" s="145"/>
      <c r="JDK2" s="126"/>
      <c r="JDL2" s="126"/>
      <c r="JDM2" s="64"/>
      <c r="JDN2" s="72"/>
      <c r="JDO2" s="145"/>
      <c r="JDP2" s="145"/>
      <c r="JDQ2" s="126"/>
      <c r="JDR2" s="126"/>
      <c r="JDS2" s="64"/>
      <c r="JDT2" s="72"/>
      <c r="JDU2" s="145"/>
      <c r="JDV2" s="145"/>
      <c r="JDW2" s="126"/>
      <c r="JDX2" s="126"/>
      <c r="JDY2" s="64"/>
      <c r="JDZ2" s="72"/>
      <c r="JEA2" s="145"/>
      <c r="JEB2" s="145"/>
      <c r="JEC2" s="126"/>
      <c r="JED2" s="126"/>
      <c r="JEE2" s="64"/>
      <c r="JEF2" s="72"/>
      <c r="JEG2" s="145"/>
      <c r="JEH2" s="145"/>
      <c r="JEI2" s="126"/>
      <c r="JEJ2" s="126"/>
      <c r="JEK2" s="64"/>
      <c r="JEL2" s="72"/>
      <c r="JEM2" s="145"/>
      <c r="JEN2" s="145"/>
      <c r="JEO2" s="126"/>
      <c r="JEP2" s="126"/>
      <c r="JEQ2" s="64"/>
      <c r="JER2" s="72"/>
      <c r="JES2" s="145"/>
      <c r="JET2" s="145"/>
      <c r="JEU2" s="126"/>
      <c r="JEV2" s="126"/>
      <c r="JEW2" s="64"/>
      <c r="JEX2" s="72"/>
      <c r="JEY2" s="145"/>
      <c r="JEZ2" s="145"/>
      <c r="JFA2" s="126"/>
      <c r="JFB2" s="126"/>
      <c r="JFC2" s="64"/>
      <c r="JFD2" s="72"/>
      <c r="JFE2" s="145"/>
      <c r="JFF2" s="145"/>
      <c r="JFG2" s="126"/>
      <c r="JFH2" s="126"/>
      <c r="JFI2" s="64"/>
      <c r="JFJ2" s="72"/>
      <c r="JFK2" s="145"/>
      <c r="JFL2" s="145"/>
      <c r="JFM2" s="126"/>
      <c r="JFN2" s="126"/>
      <c r="JFO2" s="64"/>
      <c r="JFP2" s="72"/>
      <c r="JFQ2" s="145"/>
      <c r="JFR2" s="145"/>
      <c r="JFS2" s="126"/>
      <c r="JFT2" s="126"/>
      <c r="JFU2" s="64"/>
      <c r="JFV2" s="72"/>
      <c r="JFW2" s="145"/>
      <c r="JFX2" s="145"/>
      <c r="JFY2" s="126"/>
      <c r="JFZ2" s="126"/>
      <c r="JGA2" s="64"/>
      <c r="JGB2" s="72"/>
      <c r="JGC2" s="145"/>
      <c r="JGD2" s="145"/>
      <c r="JGE2" s="126"/>
      <c r="JGF2" s="126"/>
      <c r="JGG2" s="64"/>
      <c r="JGH2" s="72"/>
      <c r="JGI2" s="145"/>
      <c r="JGJ2" s="145"/>
      <c r="JGK2" s="126"/>
      <c r="JGL2" s="126"/>
      <c r="JGM2" s="64"/>
      <c r="JGN2" s="72"/>
      <c r="JGO2" s="145"/>
      <c r="JGP2" s="145"/>
      <c r="JGQ2" s="126"/>
      <c r="JGR2" s="126"/>
      <c r="JGS2" s="64"/>
      <c r="JGT2" s="72"/>
      <c r="JGU2" s="145"/>
      <c r="JGV2" s="145"/>
      <c r="JGW2" s="126"/>
      <c r="JGX2" s="126"/>
      <c r="JGY2" s="64"/>
      <c r="JGZ2" s="72"/>
      <c r="JHA2" s="145"/>
      <c r="JHB2" s="145"/>
      <c r="JHC2" s="126"/>
      <c r="JHD2" s="126"/>
      <c r="JHE2" s="64"/>
      <c r="JHF2" s="72"/>
      <c r="JHG2" s="145"/>
      <c r="JHH2" s="145"/>
      <c r="JHI2" s="126"/>
      <c r="JHJ2" s="126"/>
      <c r="JHK2" s="64"/>
      <c r="JHL2" s="72"/>
      <c r="JHM2" s="145"/>
      <c r="JHN2" s="145"/>
      <c r="JHO2" s="126"/>
      <c r="JHP2" s="126"/>
      <c r="JHQ2" s="64"/>
      <c r="JHR2" s="72"/>
      <c r="JHS2" s="145"/>
      <c r="JHT2" s="145"/>
      <c r="JHU2" s="126"/>
      <c r="JHV2" s="126"/>
      <c r="JHW2" s="64"/>
      <c r="JHX2" s="72"/>
      <c r="JHY2" s="145"/>
      <c r="JHZ2" s="145"/>
      <c r="JIA2" s="126"/>
      <c r="JIB2" s="126"/>
      <c r="JIC2" s="64"/>
      <c r="JID2" s="72"/>
      <c r="JIE2" s="145"/>
      <c r="JIF2" s="145"/>
      <c r="JIG2" s="126"/>
      <c r="JIH2" s="126"/>
      <c r="JII2" s="64"/>
      <c r="JIJ2" s="72"/>
      <c r="JIK2" s="145"/>
      <c r="JIL2" s="145"/>
      <c r="JIM2" s="126"/>
      <c r="JIN2" s="126"/>
      <c r="JIO2" s="64"/>
      <c r="JIP2" s="72"/>
      <c r="JIQ2" s="145"/>
      <c r="JIR2" s="145"/>
      <c r="JIS2" s="126"/>
      <c r="JIT2" s="126"/>
      <c r="JIU2" s="64"/>
      <c r="JIV2" s="72"/>
      <c r="JIW2" s="145"/>
      <c r="JIX2" s="145"/>
      <c r="JIY2" s="126"/>
      <c r="JIZ2" s="126"/>
      <c r="JJA2" s="64"/>
      <c r="JJB2" s="72"/>
      <c r="JJC2" s="145"/>
      <c r="JJD2" s="145"/>
      <c r="JJE2" s="126"/>
      <c r="JJF2" s="126"/>
      <c r="JJG2" s="64"/>
      <c r="JJH2" s="72"/>
      <c r="JJI2" s="145"/>
      <c r="JJJ2" s="145"/>
      <c r="JJK2" s="126"/>
      <c r="JJL2" s="126"/>
      <c r="JJM2" s="64"/>
      <c r="JJN2" s="72"/>
      <c r="JJO2" s="145"/>
      <c r="JJP2" s="145"/>
      <c r="JJQ2" s="126"/>
      <c r="JJR2" s="126"/>
      <c r="JJS2" s="64"/>
      <c r="JJT2" s="72"/>
      <c r="JJU2" s="145"/>
      <c r="JJV2" s="145"/>
      <c r="JJW2" s="126"/>
      <c r="JJX2" s="126"/>
      <c r="JJY2" s="64"/>
      <c r="JJZ2" s="72"/>
      <c r="JKA2" s="145"/>
      <c r="JKB2" s="145"/>
      <c r="JKC2" s="126"/>
      <c r="JKD2" s="126"/>
      <c r="JKE2" s="64"/>
      <c r="JKF2" s="72"/>
      <c r="JKG2" s="145"/>
      <c r="JKH2" s="145"/>
      <c r="JKI2" s="126"/>
      <c r="JKJ2" s="126"/>
      <c r="JKK2" s="64"/>
      <c r="JKL2" s="72"/>
      <c r="JKM2" s="145"/>
      <c r="JKN2" s="145"/>
      <c r="JKO2" s="126"/>
      <c r="JKP2" s="126"/>
      <c r="JKQ2" s="64"/>
      <c r="JKR2" s="72"/>
      <c r="JKS2" s="145"/>
      <c r="JKT2" s="145"/>
      <c r="JKU2" s="126"/>
      <c r="JKV2" s="126"/>
      <c r="JKW2" s="64"/>
      <c r="JKX2" s="72"/>
      <c r="JKY2" s="145"/>
      <c r="JKZ2" s="145"/>
      <c r="JLA2" s="126"/>
      <c r="JLB2" s="126"/>
      <c r="JLC2" s="64"/>
      <c r="JLD2" s="72"/>
      <c r="JLE2" s="145"/>
      <c r="JLF2" s="145"/>
      <c r="JLG2" s="126"/>
      <c r="JLH2" s="126"/>
      <c r="JLI2" s="64"/>
      <c r="JLJ2" s="72"/>
      <c r="JLK2" s="145"/>
      <c r="JLL2" s="145"/>
      <c r="JLM2" s="126"/>
      <c r="JLN2" s="126"/>
      <c r="JLO2" s="64"/>
      <c r="JLP2" s="72"/>
      <c r="JLQ2" s="145"/>
      <c r="JLR2" s="145"/>
      <c r="JLS2" s="126"/>
      <c r="JLT2" s="126"/>
      <c r="JLU2" s="64"/>
      <c r="JLV2" s="72"/>
      <c r="JLW2" s="145"/>
      <c r="JLX2" s="145"/>
      <c r="JLY2" s="126"/>
      <c r="JLZ2" s="126"/>
      <c r="JMA2" s="64"/>
      <c r="JMB2" s="72"/>
      <c r="JMC2" s="145"/>
      <c r="JMD2" s="145"/>
      <c r="JME2" s="126"/>
      <c r="JMF2" s="126"/>
      <c r="JMG2" s="64"/>
      <c r="JMH2" s="72"/>
      <c r="JMI2" s="145"/>
      <c r="JMJ2" s="145"/>
      <c r="JMK2" s="126"/>
      <c r="JML2" s="126"/>
      <c r="JMM2" s="64"/>
      <c r="JMN2" s="72"/>
      <c r="JMO2" s="145"/>
      <c r="JMP2" s="145"/>
      <c r="JMQ2" s="126"/>
      <c r="JMR2" s="126"/>
      <c r="JMS2" s="64"/>
      <c r="JMT2" s="72"/>
      <c r="JMU2" s="145"/>
      <c r="JMV2" s="145"/>
      <c r="JMW2" s="126"/>
      <c r="JMX2" s="126"/>
      <c r="JMY2" s="64"/>
      <c r="JMZ2" s="72"/>
      <c r="JNA2" s="145"/>
      <c r="JNB2" s="145"/>
      <c r="JNC2" s="126"/>
      <c r="JND2" s="126"/>
      <c r="JNE2" s="64"/>
      <c r="JNF2" s="72"/>
      <c r="JNG2" s="145"/>
      <c r="JNH2" s="145"/>
      <c r="JNI2" s="126"/>
      <c r="JNJ2" s="126"/>
      <c r="JNK2" s="64"/>
      <c r="JNL2" s="72"/>
      <c r="JNM2" s="145"/>
      <c r="JNN2" s="145"/>
      <c r="JNO2" s="126"/>
      <c r="JNP2" s="126"/>
      <c r="JNQ2" s="64"/>
      <c r="JNR2" s="72"/>
      <c r="JNS2" s="145"/>
      <c r="JNT2" s="145"/>
      <c r="JNU2" s="126"/>
      <c r="JNV2" s="126"/>
      <c r="JNW2" s="64"/>
      <c r="JNX2" s="72"/>
      <c r="JNY2" s="145"/>
      <c r="JNZ2" s="145"/>
      <c r="JOA2" s="126"/>
      <c r="JOB2" s="126"/>
      <c r="JOC2" s="64"/>
      <c r="JOD2" s="72"/>
      <c r="JOE2" s="145"/>
      <c r="JOF2" s="145"/>
      <c r="JOG2" s="126"/>
      <c r="JOH2" s="126"/>
      <c r="JOI2" s="64"/>
      <c r="JOJ2" s="72"/>
      <c r="JOK2" s="145"/>
      <c r="JOL2" s="145"/>
      <c r="JOM2" s="126"/>
      <c r="JON2" s="126"/>
      <c r="JOO2" s="64"/>
      <c r="JOP2" s="72"/>
      <c r="JOQ2" s="145"/>
      <c r="JOR2" s="145"/>
      <c r="JOS2" s="126"/>
      <c r="JOT2" s="126"/>
      <c r="JOU2" s="64"/>
      <c r="JOV2" s="72"/>
      <c r="JOW2" s="145"/>
      <c r="JOX2" s="145"/>
      <c r="JOY2" s="126"/>
      <c r="JOZ2" s="126"/>
      <c r="JPA2" s="64"/>
      <c r="JPB2" s="72"/>
      <c r="JPC2" s="145"/>
      <c r="JPD2" s="145"/>
      <c r="JPE2" s="126"/>
      <c r="JPF2" s="126"/>
      <c r="JPG2" s="64"/>
      <c r="JPH2" s="72"/>
      <c r="JPI2" s="145"/>
      <c r="JPJ2" s="145"/>
      <c r="JPK2" s="126"/>
      <c r="JPL2" s="126"/>
      <c r="JPM2" s="64"/>
      <c r="JPN2" s="72"/>
      <c r="JPO2" s="145"/>
      <c r="JPP2" s="145"/>
      <c r="JPQ2" s="126"/>
      <c r="JPR2" s="126"/>
      <c r="JPS2" s="64"/>
      <c r="JPT2" s="72"/>
      <c r="JPU2" s="145"/>
      <c r="JPV2" s="145"/>
      <c r="JPW2" s="126"/>
      <c r="JPX2" s="126"/>
      <c r="JPY2" s="64"/>
      <c r="JPZ2" s="72"/>
      <c r="JQA2" s="145"/>
      <c r="JQB2" s="145"/>
      <c r="JQC2" s="126"/>
      <c r="JQD2" s="126"/>
      <c r="JQE2" s="64"/>
      <c r="JQF2" s="72"/>
      <c r="JQG2" s="145"/>
      <c r="JQH2" s="145"/>
      <c r="JQI2" s="126"/>
      <c r="JQJ2" s="126"/>
      <c r="JQK2" s="64"/>
      <c r="JQL2" s="72"/>
      <c r="JQM2" s="145"/>
      <c r="JQN2" s="145"/>
      <c r="JQO2" s="126"/>
      <c r="JQP2" s="126"/>
      <c r="JQQ2" s="64"/>
      <c r="JQR2" s="72"/>
      <c r="JQS2" s="145"/>
      <c r="JQT2" s="145"/>
      <c r="JQU2" s="126"/>
      <c r="JQV2" s="126"/>
      <c r="JQW2" s="64"/>
      <c r="JQX2" s="72"/>
      <c r="JQY2" s="145"/>
      <c r="JQZ2" s="145"/>
      <c r="JRA2" s="126"/>
      <c r="JRB2" s="126"/>
      <c r="JRC2" s="64"/>
      <c r="JRD2" s="72"/>
      <c r="JRE2" s="145"/>
      <c r="JRF2" s="145"/>
      <c r="JRG2" s="126"/>
      <c r="JRH2" s="126"/>
      <c r="JRI2" s="64"/>
      <c r="JRJ2" s="72"/>
      <c r="JRK2" s="145"/>
      <c r="JRL2" s="145"/>
      <c r="JRM2" s="126"/>
      <c r="JRN2" s="126"/>
      <c r="JRO2" s="64"/>
      <c r="JRP2" s="72"/>
      <c r="JRQ2" s="145"/>
      <c r="JRR2" s="145"/>
      <c r="JRS2" s="126"/>
      <c r="JRT2" s="126"/>
      <c r="JRU2" s="64"/>
      <c r="JRV2" s="72"/>
      <c r="JRW2" s="145"/>
      <c r="JRX2" s="145"/>
      <c r="JRY2" s="126"/>
      <c r="JRZ2" s="126"/>
      <c r="JSA2" s="64"/>
      <c r="JSB2" s="72"/>
      <c r="JSC2" s="145"/>
      <c r="JSD2" s="145"/>
      <c r="JSE2" s="126"/>
      <c r="JSF2" s="126"/>
      <c r="JSG2" s="64"/>
      <c r="JSH2" s="72"/>
      <c r="JSI2" s="145"/>
      <c r="JSJ2" s="145"/>
      <c r="JSK2" s="126"/>
      <c r="JSL2" s="126"/>
      <c r="JSM2" s="64"/>
      <c r="JSN2" s="72"/>
      <c r="JSO2" s="145"/>
      <c r="JSP2" s="145"/>
      <c r="JSQ2" s="126"/>
      <c r="JSR2" s="126"/>
      <c r="JSS2" s="64"/>
      <c r="JST2" s="72"/>
      <c r="JSU2" s="145"/>
      <c r="JSV2" s="145"/>
      <c r="JSW2" s="126"/>
      <c r="JSX2" s="126"/>
      <c r="JSY2" s="64"/>
      <c r="JSZ2" s="72"/>
      <c r="JTA2" s="145"/>
      <c r="JTB2" s="145"/>
      <c r="JTC2" s="126"/>
      <c r="JTD2" s="126"/>
      <c r="JTE2" s="64"/>
      <c r="JTF2" s="72"/>
      <c r="JTG2" s="145"/>
      <c r="JTH2" s="145"/>
      <c r="JTI2" s="126"/>
      <c r="JTJ2" s="126"/>
      <c r="JTK2" s="64"/>
      <c r="JTL2" s="72"/>
      <c r="JTM2" s="145"/>
      <c r="JTN2" s="145"/>
      <c r="JTO2" s="126"/>
      <c r="JTP2" s="126"/>
      <c r="JTQ2" s="64"/>
      <c r="JTR2" s="72"/>
      <c r="JTS2" s="145"/>
      <c r="JTT2" s="145"/>
      <c r="JTU2" s="126"/>
      <c r="JTV2" s="126"/>
      <c r="JTW2" s="64"/>
      <c r="JTX2" s="72"/>
      <c r="JTY2" s="145"/>
      <c r="JTZ2" s="145"/>
      <c r="JUA2" s="126"/>
      <c r="JUB2" s="126"/>
      <c r="JUC2" s="64"/>
      <c r="JUD2" s="72"/>
      <c r="JUE2" s="145"/>
      <c r="JUF2" s="145"/>
      <c r="JUG2" s="126"/>
      <c r="JUH2" s="126"/>
      <c r="JUI2" s="64"/>
      <c r="JUJ2" s="72"/>
      <c r="JUK2" s="145"/>
      <c r="JUL2" s="145"/>
      <c r="JUM2" s="126"/>
      <c r="JUN2" s="126"/>
      <c r="JUO2" s="64"/>
      <c r="JUP2" s="72"/>
      <c r="JUQ2" s="145"/>
      <c r="JUR2" s="145"/>
      <c r="JUS2" s="126"/>
      <c r="JUT2" s="126"/>
      <c r="JUU2" s="64"/>
      <c r="JUV2" s="72"/>
      <c r="JUW2" s="145"/>
      <c r="JUX2" s="145"/>
      <c r="JUY2" s="126"/>
      <c r="JUZ2" s="126"/>
      <c r="JVA2" s="64"/>
      <c r="JVB2" s="72"/>
      <c r="JVC2" s="145"/>
      <c r="JVD2" s="145"/>
      <c r="JVE2" s="126"/>
      <c r="JVF2" s="126"/>
      <c r="JVG2" s="64"/>
      <c r="JVH2" s="72"/>
      <c r="JVI2" s="145"/>
      <c r="JVJ2" s="145"/>
      <c r="JVK2" s="126"/>
      <c r="JVL2" s="126"/>
      <c r="JVM2" s="64"/>
      <c r="JVN2" s="72"/>
      <c r="JVO2" s="145"/>
      <c r="JVP2" s="145"/>
      <c r="JVQ2" s="126"/>
      <c r="JVR2" s="126"/>
      <c r="JVS2" s="64"/>
      <c r="JVT2" s="72"/>
      <c r="JVU2" s="145"/>
      <c r="JVV2" s="145"/>
      <c r="JVW2" s="126"/>
      <c r="JVX2" s="126"/>
      <c r="JVY2" s="64"/>
      <c r="JVZ2" s="72"/>
      <c r="JWA2" s="145"/>
      <c r="JWB2" s="145"/>
      <c r="JWC2" s="126"/>
      <c r="JWD2" s="126"/>
      <c r="JWE2" s="64"/>
      <c r="JWF2" s="72"/>
      <c r="JWG2" s="145"/>
      <c r="JWH2" s="145"/>
      <c r="JWI2" s="126"/>
      <c r="JWJ2" s="126"/>
      <c r="JWK2" s="64"/>
      <c r="JWL2" s="72"/>
      <c r="JWM2" s="145"/>
      <c r="JWN2" s="145"/>
      <c r="JWO2" s="126"/>
      <c r="JWP2" s="126"/>
      <c r="JWQ2" s="64"/>
      <c r="JWR2" s="72"/>
      <c r="JWS2" s="145"/>
      <c r="JWT2" s="145"/>
      <c r="JWU2" s="126"/>
      <c r="JWV2" s="126"/>
      <c r="JWW2" s="64"/>
      <c r="JWX2" s="72"/>
      <c r="JWY2" s="145"/>
      <c r="JWZ2" s="145"/>
      <c r="JXA2" s="126"/>
      <c r="JXB2" s="126"/>
      <c r="JXC2" s="64"/>
      <c r="JXD2" s="72"/>
      <c r="JXE2" s="145"/>
      <c r="JXF2" s="145"/>
      <c r="JXG2" s="126"/>
      <c r="JXH2" s="126"/>
      <c r="JXI2" s="64"/>
      <c r="JXJ2" s="72"/>
      <c r="JXK2" s="145"/>
      <c r="JXL2" s="145"/>
      <c r="JXM2" s="126"/>
      <c r="JXN2" s="126"/>
      <c r="JXO2" s="64"/>
      <c r="JXP2" s="72"/>
      <c r="JXQ2" s="145"/>
      <c r="JXR2" s="145"/>
      <c r="JXS2" s="126"/>
      <c r="JXT2" s="126"/>
      <c r="JXU2" s="64"/>
      <c r="JXV2" s="72"/>
      <c r="JXW2" s="145"/>
      <c r="JXX2" s="145"/>
      <c r="JXY2" s="126"/>
      <c r="JXZ2" s="126"/>
      <c r="JYA2" s="64"/>
      <c r="JYB2" s="72"/>
      <c r="JYC2" s="145"/>
      <c r="JYD2" s="145"/>
      <c r="JYE2" s="126"/>
      <c r="JYF2" s="126"/>
      <c r="JYG2" s="64"/>
      <c r="JYH2" s="72"/>
      <c r="JYI2" s="145"/>
      <c r="JYJ2" s="145"/>
      <c r="JYK2" s="126"/>
      <c r="JYL2" s="126"/>
      <c r="JYM2" s="64"/>
      <c r="JYN2" s="72"/>
      <c r="JYO2" s="145"/>
      <c r="JYP2" s="145"/>
      <c r="JYQ2" s="126"/>
      <c r="JYR2" s="126"/>
      <c r="JYS2" s="64"/>
      <c r="JYT2" s="72"/>
      <c r="JYU2" s="145"/>
      <c r="JYV2" s="145"/>
      <c r="JYW2" s="126"/>
      <c r="JYX2" s="126"/>
      <c r="JYY2" s="64"/>
      <c r="JYZ2" s="72"/>
      <c r="JZA2" s="145"/>
      <c r="JZB2" s="145"/>
      <c r="JZC2" s="126"/>
      <c r="JZD2" s="126"/>
      <c r="JZE2" s="64"/>
      <c r="JZF2" s="72"/>
      <c r="JZG2" s="145"/>
      <c r="JZH2" s="145"/>
      <c r="JZI2" s="126"/>
      <c r="JZJ2" s="126"/>
      <c r="JZK2" s="64"/>
      <c r="JZL2" s="72"/>
      <c r="JZM2" s="145"/>
      <c r="JZN2" s="145"/>
      <c r="JZO2" s="126"/>
      <c r="JZP2" s="126"/>
      <c r="JZQ2" s="64"/>
      <c r="JZR2" s="72"/>
      <c r="JZS2" s="145"/>
      <c r="JZT2" s="145"/>
      <c r="JZU2" s="126"/>
      <c r="JZV2" s="126"/>
      <c r="JZW2" s="64"/>
      <c r="JZX2" s="72"/>
      <c r="JZY2" s="145"/>
      <c r="JZZ2" s="145"/>
      <c r="KAA2" s="126"/>
      <c r="KAB2" s="126"/>
      <c r="KAC2" s="64"/>
      <c r="KAD2" s="72"/>
      <c r="KAE2" s="145"/>
      <c r="KAF2" s="145"/>
      <c r="KAG2" s="126"/>
      <c r="KAH2" s="126"/>
      <c r="KAI2" s="64"/>
      <c r="KAJ2" s="72"/>
      <c r="KAK2" s="145"/>
      <c r="KAL2" s="145"/>
      <c r="KAM2" s="126"/>
      <c r="KAN2" s="126"/>
      <c r="KAO2" s="64"/>
      <c r="KAP2" s="72"/>
      <c r="KAQ2" s="145"/>
      <c r="KAR2" s="145"/>
      <c r="KAS2" s="126"/>
      <c r="KAT2" s="126"/>
      <c r="KAU2" s="64"/>
      <c r="KAV2" s="72"/>
      <c r="KAW2" s="145"/>
      <c r="KAX2" s="145"/>
      <c r="KAY2" s="126"/>
      <c r="KAZ2" s="126"/>
      <c r="KBA2" s="64"/>
      <c r="KBB2" s="72"/>
      <c r="KBC2" s="145"/>
      <c r="KBD2" s="145"/>
      <c r="KBE2" s="126"/>
      <c r="KBF2" s="126"/>
      <c r="KBG2" s="64"/>
      <c r="KBH2" s="72"/>
      <c r="KBI2" s="145"/>
      <c r="KBJ2" s="145"/>
      <c r="KBK2" s="126"/>
      <c r="KBL2" s="126"/>
      <c r="KBM2" s="64"/>
      <c r="KBN2" s="72"/>
      <c r="KBO2" s="145"/>
      <c r="KBP2" s="145"/>
      <c r="KBQ2" s="126"/>
      <c r="KBR2" s="126"/>
      <c r="KBS2" s="64"/>
      <c r="KBT2" s="72"/>
      <c r="KBU2" s="145"/>
      <c r="KBV2" s="145"/>
      <c r="KBW2" s="126"/>
      <c r="KBX2" s="126"/>
      <c r="KBY2" s="64"/>
      <c r="KBZ2" s="72"/>
      <c r="KCA2" s="145"/>
      <c r="KCB2" s="145"/>
      <c r="KCC2" s="126"/>
      <c r="KCD2" s="126"/>
      <c r="KCE2" s="64"/>
      <c r="KCF2" s="72"/>
      <c r="KCG2" s="145"/>
      <c r="KCH2" s="145"/>
      <c r="KCI2" s="126"/>
      <c r="KCJ2" s="126"/>
      <c r="KCK2" s="64"/>
      <c r="KCL2" s="72"/>
      <c r="KCM2" s="145"/>
      <c r="KCN2" s="145"/>
      <c r="KCO2" s="126"/>
      <c r="KCP2" s="126"/>
      <c r="KCQ2" s="64"/>
      <c r="KCR2" s="72"/>
      <c r="KCS2" s="145"/>
      <c r="KCT2" s="145"/>
      <c r="KCU2" s="126"/>
      <c r="KCV2" s="126"/>
      <c r="KCW2" s="64"/>
      <c r="KCX2" s="72"/>
      <c r="KCY2" s="145"/>
      <c r="KCZ2" s="145"/>
      <c r="KDA2" s="126"/>
      <c r="KDB2" s="126"/>
      <c r="KDC2" s="64"/>
      <c r="KDD2" s="72"/>
      <c r="KDE2" s="145"/>
      <c r="KDF2" s="145"/>
      <c r="KDG2" s="126"/>
      <c r="KDH2" s="126"/>
      <c r="KDI2" s="64"/>
      <c r="KDJ2" s="72"/>
      <c r="KDK2" s="145"/>
      <c r="KDL2" s="145"/>
      <c r="KDM2" s="126"/>
      <c r="KDN2" s="126"/>
      <c r="KDO2" s="64"/>
      <c r="KDP2" s="72"/>
      <c r="KDQ2" s="145"/>
      <c r="KDR2" s="145"/>
      <c r="KDS2" s="126"/>
      <c r="KDT2" s="126"/>
      <c r="KDU2" s="64"/>
      <c r="KDV2" s="72"/>
      <c r="KDW2" s="145"/>
      <c r="KDX2" s="145"/>
      <c r="KDY2" s="126"/>
      <c r="KDZ2" s="126"/>
      <c r="KEA2" s="64"/>
      <c r="KEB2" s="72"/>
      <c r="KEC2" s="145"/>
      <c r="KED2" s="145"/>
      <c r="KEE2" s="126"/>
      <c r="KEF2" s="126"/>
      <c r="KEG2" s="64"/>
      <c r="KEH2" s="72"/>
      <c r="KEI2" s="145"/>
      <c r="KEJ2" s="145"/>
      <c r="KEK2" s="126"/>
      <c r="KEL2" s="126"/>
      <c r="KEM2" s="64"/>
      <c r="KEN2" s="72"/>
      <c r="KEO2" s="145"/>
      <c r="KEP2" s="145"/>
      <c r="KEQ2" s="126"/>
      <c r="KER2" s="126"/>
      <c r="KES2" s="64"/>
      <c r="KET2" s="72"/>
      <c r="KEU2" s="145"/>
      <c r="KEV2" s="145"/>
      <c r="KEW2" s="126"/>
      <c r="KEX2" s="126"/>
      <c r="KEY2" s="64"/>
      <c r="KEZ2" s="72"/>
      <c r="KFA2" s="145"/>
      <c r="KFB2" s="145"/>
      <c r="KFC2" s="126"/>
      <c r="KFD2" s="126"/>
      <c r="KFE2" s="64"/>
      <c r="KFF2" s="72"/>
      <c r="KFG2" s="145"/>
      <c r="KFH2" s="145"/>
      <c r="KFI2" s="126"/>
      <c r="KFJ2" s="126"/>
      <c r="KFK2" s="64"/>
      <c r="KFL2" s="72"/>
      <c r="KFM2" s="145"/>
      <c r="KFN2" s="145"/>
      <c r="KFO2" s="126"/>
      <c r="KFP2" s="126"/>
      <c r="KFQ2" s="64"/>
      <c r="KFR2" s="72"/>
      <c r="KFS2" s="145"/>
      <c r="KFT2" s="145"/>
      <c r="KFU2" s="126"/>
      <c r="KFV2" s="126"/>
      <c r="KFW2" s="64"/>
      <c r="KFX2" s="72"/>
      <c r="KFY2" s="145"/>
      <c r="KFZ2" s="145"/>
      <c r="KGA2" s="126"/>
      <c r="KGB2" s="126"/>
      <c r="KGC2" s="64"/>
      <c r="KGD2" s="72"/>
      <c r="KGE2" s="145"/>
      <c r="KGF2" s="145"/>
      <c r="KGG2" s="126"/>
      <c r="KGH2" s="126"/>
      <c r="KGI2" s="64"/>
      <c r="KGJ2" s="72"/>
      <c r="KGK2" s="145"/>
      <c r="KGL2" s="145"/>
      <c r="KGM2" s="126"/>
      <c r="KGN2" s="126"/>
      <c r="KGO2" s="64"/>
      <c r="KGP2" s="72"/>
      <c r="KGQ2" s="145"/>
      <c r="KGR2" s="145"/>
      <c r="KGS2" s="126"/>
      <c r="KGT2" s="126"/>
      <c r="KGU2" s="64"/>
      <c r="KGV2" s="72"/>
      <c r="KGW2" s="145"/>
      <c r="KGX2" s="145"/>
      <c r="KGY2" s="126"/>
      <c r="KGZ2" s="126"/>
      <c r="KHA2" s="64"/>
      <c r="KHB2" s="72"/>
      <c r="KHC2" s="145"/>
      <c r="KHD2" s="145"/>
      <c r="KHE2" s="126"/>
      <c r="KHF2" s="126"/>
      <c r="KHG2" s="64"/>
      <c r="KHH2" s="72"/>
      <c r="KHI2" s="145"/>
      <c r="KHJ2" s="145"/>
      <c r="KHK2" s="126"/>
      <c r="KHL2" s="126"/>
      <c r="KHM2" s="64"/>
      <c r="KHN2" s="72"/>
      <c r="KHO2" s="145"/>
      <c r="KHP2" s="145"/>
      <c r="KHQ2" s="126"/>
      <c r="KHR2" s="126"/>
      <c r="KHS2" s="64"/>
      <c r="KHT2" s="72"/>
      <c r="KHU2" s="145"/>
      <c r="KHV2" s="145"/>
      <c r="KHW2" s="126"/>
      <c r="KHX2" s="126"/>
      <c r="KHY2" s="64"/>
      <c r="KHZ2" s="72"/>
      <c r="KIA2" s="145"/>
      <c r="KIB2" s="145"/>
      <c r="KIC2" s="126"/>
      <c r="KID2" s="126"/>
      <c r="KIE2" s="64"/>
      <c r="KIF2" s="72"/>
      <c r="KIG2" s="145"/>
      <c r="KIH2" s="145"/>
      <c r="KII2" s="126"/>
      <c r="KIJ2" s="126"/>
      <c r="KIK2" s="64"/>
      <c r="KIL2" s="72"/>
      <c r="KIM2" s="145"/>
      <c r="KIN2" s="145"/>
      <c r="KIO2" s="126"/>
      <c r="KIP2" s="126"/>
      <c r="KIQ2" s="64"/>
      <c r="KIR2" s="72"/>
      <c r="KIS2" s="145"/>
      <c r="KIT2" s="145"/>
      <c r="KIU2" s="126"/>
      <c r="KIV2" s="126"/>
      <c r="KIW2" s="64"/>
      <c r="KIX2" s="72"/>
      <c r="KIY2" s="145"/>
      <c r="KIZ2" s="145"/>
      <c r="KJA2" s="126"/>
      <c r="KJB2" s="126"/>
      <c r="KJC2" s="64"/>
      <c r="KJD2" s="72"/>
      <c r="KJE2" s="145"/>
      <c r="KJF2" s="145"/>
      <c r="KJG2" s="126"/>
      <c r="KJH2" s="126"/>
      <c r="KJI2" s="64"/>
      <c r="KJJ2" s="72"/>
      <c r="KJK2" s="145"/>
      <c r="KJL2" s="145"/>
      <c r="KJM2" s="126"/>
      <c r="KJN2" s="126"/>
      <c r="KJO2" s="64"/>
      <c r="KJP2" s="72"/>
      <c r="KJQ2" s="145"/>
      <c r="KJR2" s="145"/>
      <c r="KJS2" s="126"/>
      <c r="KJT2" s="126"/>
      <c r="KJU2" s="64"/>
      <c r="KJV2" s="72"/>
      <c r="KJW2" s="145"/>
      <c r="KJX2" s="145"/>
      <c r="KJY2" s="126"/>
      <c r="KJZ2" s="126"/>
      <c r="KKA2" s="64"/>
      <c r="KKB2" s="72"/>
      <c r="KKC2" s="145"/>
      <c r="KKD2" s="145"/>
      <c r="KKE2" s="126"/>
      <c r="KKF2" s="126"/>
      <c r="KKG2" s="64"/>
      <c r="KKH2" s="72"/>
      <c r="KKI2" s="145"/>
      <c r="KKJ2" s="145"/>
      <c r="KKK2" s="126"/>
      <c r="KKL2" s="126"/>
      <c r="KKM2" s="64"/>
      <c r="KKN2" s="72"/>
      <c r="KKO2" s="145"/>
      <c r="KKP2" s="145"/>
      <c r="KKQ2" s="126"/>
      <c r="KKR2" s="126"/>
      <c r="KKS2" s="64"/>
      <c r="KKT2" s="72"/>
      <c r="KKU2" s="145"/>
      <c r="KKV2" s="145"/>
      <c r="KKW2" s="126"/>
      <c r="KKX2" s="126"/>
      <c r="KKY2" s="64"/>
      <c r="KKZ2" s="72"/>
      <c r="KLA2" s="145"/>
      <c r="KLB2" s="145"/>
      <c r="KLC2" s="126"/>
      <c r="KLD2" s="126"/>
      <c r="KLE2" s="64"/>
      <c r="KLF2" s="72"/>
      <c r="KLG2" s="145"/>
      <c r="KLH2" s="145"/>
      <c r="KLI2" s="126"/>
      <c r="KLJ2" s="126"/>
      <c r="KLK2" s="64"/>
      <c r="KLL2" s="72"/>
      <c r="KLM2" s="145"/>
      <c r="KLN2" s="145"/>
      <c r="KLO2" s="126"/>
      <c r="KLP2" s="126"/>
      <c r="KLQ2" s="64"/>
      <c r="KLR2" s="72"/>
      <c r="KLS2" s="145"/>
      <c r="KLT2" s="145"/>
      <c r="KLU2" s="126"/>
      <c r="KLV2" s="126"/>
      <c r="KLW2" s="64"/>
      <c r="KLX2" s="72"/>
      <c r="KLY2" s="145"/>
      <c r="KLZ2" s="145"/>
      <c r="KMA2" s="126"/>
      <c r="KMB2" s="126"/>
      <c r="KMC2" s="64"/>
      <c r="KMD2" s="72"/>
      <c r="KME2" s="145"/>
      <c r="KMF2" s="145"/>
      <c r="KMG2" s="126"/>
      <c r="KMH2" s="126"/>
      <c r="KMI2" s="64"/>
      <c r="KMJ2" s="72"/>
      <c r="KMK2" s="145"/>
      <c r="KML2" s="145"/>
      <c r="KMM2" s="126"/>
      <c r="KMN2" s="126"/>
      <c r="KMO2" s="64"/>
      <c r="KMP2" s="72"/>
      <c r="KMQ2" s="145"/>
      <c r="KMR2" s="145"/>
      <c r="KMS2" s="126"/>
      <c r="KMT2" s="126"/>
      <c r="KMU2" s="64"/>
      <c r="KMV2" s="72"/>
      <c r="KMW2" s="145"/>
      <c r="KMX2" s="145"/>
      <c r="KMY2" s="126"/>
      <c r="KMZ2" s="126"/>
      <c r="KNA2" s="64"/>
      <c r="KNB2" s="72"/>
      <c r="KNC2" s="145"/>
      <c r="KND2" s="145"/>
      <c r="KNE2" s="126"/>
      <c r="KNF2" s="126"/>
      <c r="KNG2" s="64"/>
      <c r="KNH2" s="72"/>
      <c r="KNI2" s="145"/>
      <c r="KNJ2" s="145"/>
      <c r="KNK2" s="126"/>
      <c r="KNL2" s="126"/>
      <c r="KNM2" s="64"/>
      <c r="KNN2" s="72"/>
      <c r="KNO2" s="145"/>
      <c r="KNP2" s="145"/>
      <c r="KNQ2" s="126"/>
      <c r="KNR2" s="126"/>
      <c r="KNS2" s="64"/>
      <c r="KNT2" s="72"/>
      <c r="KNU2" s="145"/>
      <c r="KNV2" s="145"/>
      <c r="KNW2" s="126"/>
      <c r="KNX2" s="126"/>
      <c r="KNY2" s="64"/>
      <c r="KNZ2" s="72"/>
      <c r="KOA2" s="145"/>
      <c r="KOB2" s="145"/>
      <c r="KOC2" s="126"/>
      <c r="KOD2" s="126"/>
      <c r="KOE2" s="64"/>
      <c r="KOF2" s="72"/>
      <c r="KOG2" s="145"/>
      <c r="KOH2" s="145"/>
      <c r="KOI2" s="126"/>
      <c r="KOJ2" s="126"/>
      <c r="KOK2" s="64"/>
      <c r="KOL2" s="72"/>
      <c r="KOM2" s="145"/>
      <c r="KON2" s="145"/>
      <c r="KOO2" s="126"/>
      <c r="KOP2" s="126"/>
      <c r="KOQ2" s="64"/>
      <c r="KOR2" s="72"/>
      <c r="KOS2" s="145"/>
      <c r="KOT2" s="145"/>
      <c r="KOU2" s="126"/>
      <c r="KOV2" s="126"/>
      <c r="KOW2" s="64"/>
      <c r="KOX2" s="72"/>
      <c r="KOY2" s="145"/>
      <c r="KOZ2" s="145"/>
      <c r="KPA2" s="126"/>
      <c r="KPB2" s="126"/>
      <c r="KPC2" s="64"/>
      <c r="KPD2" s="72"/>
      <c r="KPE2" s="145"/>
      <c r="KPF2" s="145"/>
      <c r="KPG2" s="126"/>
      <c r="KPH2" s="126"/>
      <c r="KPI2" s="64"/>
      <c r="KPJ2" s="72"/>
      <c r="KPK2" s="145"/>
      <c r="KPL2" s="145"/>
      <c r="KPM2" s="126"/>
      <c r="KPN2" s="126"/>
      <c r="KPO2" s="64"/>
      <c r="KPP2" s="72"/>
      <c r="KPQ2" s="145"/>
      <c r="KPR2" s="145"/>
      <c r="KPS2" s="126"/>
      <c r="KPT2" s="126"/>
      <c r="KPU2" s="64"/>
      <c r="KPV2" s="72"/>
      <c r="KPW2" s="145"/>
      <c r="KPX2" s="145"/>
      <c r="KPY2" s="126"/>
      <c r="KPZ2" s="126"/>
      <c r="KQA2" s="64"/>
      <c r="KQB2" s="72"/>
      <c r="KQC2" s="145"/>
      <c r="KQD2" s="145"/>
      <c r="KQE2" s="126"/>
      <c r="KQF2" s="126"/>
      <c r="KQG2" s="64"/>
      <c r="KQH2" s="72"/>
      <c r="KQI2" s="145"/>
      <c r="KQJ2" s="145"/>
      <c r="KQK2" s="126"/>
      <c r="KQL2" s="126"/>
      <c r="KQM2" s="64"/>
      <c r="KQN2" s="72"/>
      <c r="KQO2" s="145"/>
      <c r="KQP2" s="145"/>
      <c r="KQQ2" s="126"/>
      <c r="KQR2" s="126"/>
      <c r="KQS2" s="64"/>
      <c r="KQT2" s="72"/>
      <c r="KQU2" s="145"/>
      <c r="KQV2" s="145"/>
      <c r="KQW2" s="126"/>
      <c r="KQX2" s="126"/>
      <c r="KQY2" s="64"/>
      <c r="KQZ2" s="72"/>
      <c r="KRA2" s="145"/>
      <c r="KRB2" s="145"/>
      <c r="KRC2" s="126"/>
      <c r="KRD2" s="126"/>
      <c r="KRE2" s="64"/>
      <c r="KRF2" s="72"/>
      <c r="KRG2" s="145"/>
      <c r="KRH2" s="145"/>
      <c r="KRI2" s="126"/>
      <c r="KRJ2" s="126"/>
      <c r="KRK2" s="64"/>
      <c r="KRL2" s="72"/>
      <c r="KRM2" s="145"/>
      <c r="KRN2" s="145"/>
      <c r="KRO2" s="126"/>
      <c r="KRP2" s="126"/>
      <c r="KRQ2" s="64"/>
      <c r="KRR2" s="72"/>
      <c r="KRS2" s="145"/>
      <c r="KRT2" s="145"/>
      <c r="KRU2" s="126"/>
      <c r="KRV2" s="126"/>
      <c r="KRW2" s="64"/>
      <c r="KRX2" s="72"/>
      <c r="KRY2" s="145"/>
      <c r="KRZ2" s="145"/>
      <c r="KSA2" s="126"/>
      <c r="KSB2" s="126"/>
      <c r="KSC2" s="64"/>
      <c r="KSD2" s="72"/>
      <c r="KSE2" s="145"/>
      <c r="KSF2" s="145"/>
      <c r="KSG2" s="126"/>
      <c r="KSH2" s="126"/>
      <c r="KSI2" s="64"/>
      <c r="KSJ2" s="72"/>
      <c r="KSK2" s="145"/>
      <c r="KSL2" s="145"/>
      <c r="KSM2" s="126"/>
      <c r="KSN2" s="126"/>
      <c r="KSO2" s="64"/>
      <c r="KSP2" s="72"/>
      <c r="KSQ2" s="145"/>
      <c r="KSR2" s="145"/>
      <c r="KSS2" s="126"/>
      <c r="KST2" s="126"/>
      <c r="KSU2" s="64"/>
      <c r="KSV2" s="72"/>
      <c r="KSW2" s="145"/>
      <c r="KSX2" s="145"/>
      <c r="KSY2" s="126"/>
      <c r="KSZ2" s="126"/>
      <c r="KTA2" s="64"/>
      <c r="KTB2" s="72"/>
      <c r="KTC2" s="145"/>
      <c r="KTD2" s="145"/>
      <c r="KTE2" s="126"/>
      <c r="KTF2" s="126"/>
      <c r="KTG2" s="64"/>
      <c r="KTH2" s="72"/>
      <c r="KTI2" s="145"/>
      <c r="KTJ2" s="145"/>
      <c r="KTK2" s="126"/>
      <c r="KTL2" s="126"/>
      <c r="KTM2" s="64"/>
      <c r="KTN2" s="72"/>
      <c r="KTO2" s="145"/>
      <c r="KTP2" s="145"/>
      <c r="KTQ2" s="126"/>
      <c r="KTR2" s="126"/>
      <c r="KTS2" s="64"/>
      <c r="KTT2" s="72"/>
      <c r="KTU2" s="145"/>
      <c r="KTV2" s="145"/>
      <c r="KTW2" s="126"/>
      <c r="KTX2" s="126"/>
      <c r="KTY2" s="64"/>
      <c r="KTZ2" s="72"/>
      <c r="KUA2" s="145"/>
      <c r="KUB2" s="145"/>
      <c r="KUC2" s="126"/>
      <c r="KUD2" s="126"/>
      <c r="KUE2" s="64"/>
      <c r="KUF2" s="72"/>
      <c r="KUG2" s="145"/>
      <c r="KUH2" s="145"/>
      <c r="KUI2" s="126"/>
      <c r="KUJ2" s="126"/>
      <c r="KUK2" s="64"/>
      <c r="KUL2" s="72"/>
      <c r="KUM2" s="145"/>
      <c r="KUN2" s="145"/>
      <c r="KUO2" s="126"/>
      <c r="KUP2" s="126"/>
      <c r="KUQ2" s="64"/>
      <c r="KUR2" s="72"/>
      <c r="KUS2" s="145"/>
      <c r="KUT2" s="145"/>
      <c r="KUU2" s="126"/>
      <c r="KUV2" s="126"/>
      <c r="KUW2" s="64"/>
      <c r="KUX2" s="72"/>
      <c r="KUY2" s="145"/>
      <c r="KUZ2" s="145"/>
      <c r="KVA2" s="126"/>
      <c r="KVB2" s="126"/>
      <c r="KVC2" s="64"/>
      <c r="KVD2" s="72"/>
      <c r="KVE2" s="145"/>
      <c r="KVF2" s="145"/>
      <c r="KVG2" s="126"/>
      <c r="KVH2" s="126"/>
      <c r="KVI2" s="64"/>
      <c r="KVJ2" s="72"/>
      <c r="KVK2" s="145"/>
      <c r="KVL2" s="145"/>
      <c r="KVM2" s="126"/>
      <c r="KVN2" s="126"/>
      <c r="KVO2" s="64"/>
      <c r="KVP2" s="72"/>
      <c r="KVQ2" s="145"/>
      <c r="KVR2" s="145"/>
      <c r="KVS2" s="126"/>
      <c r="KVT2" s="126"/>
      <c r="KVU2" s="64"/>
      <c r="KVV2" s="72"/>
      <c r="KVW2" s="145"/>
      <c r="KVX2" s="145"/>
      <c r="KVY2" s="126"/>
      <c r="KVZ2" s="126"/>
      <c r="KWA2" s="64"/>
      <c r="KWB2" s="72"/>
      <c r="KWC2" s="145"/>
      <c r="KWD2" s="145"/>
      <c r="KWE2" s="126"/>
      <c r="KWF2" s="126"/>
      <c r="KWG2" s="64"/>
      <c r="KWH2" s="72"/>
      <c r="KWI2" s="145"/>
      <c r="KWJ2" s="145"/>
      <c r="KWK2" s="126"/>
      <c r="KWL2" s="126"/>
      <c r="KWM2" s="64"/>
      <c r="KWN2" s="72"/>
      <c r="KWO2" s="145"/>
      <c r="KWP2" s="145"/>
      <c r="KWQ2" s="126"/>
      <c r="KWR2" s="126"/>
      <c r="KWS2" s="64"/>
      <c r="KWT2" s="72"/>
      <c r="KWU2" s="145"/>
      <c r="KWV2" s="145"/>
      <c r="KWW2" s="126"/>
      <c r="KWX2" s="126"/>
      <c r="KWY2" s="64"/>
      <c r="KWZ2" s="72"/>
      <c r="KXA2" s="145"/>
      <c r="KXB2" s="145"/>
      <c r="KXC2" s="126"/>
      <c r="KXD2" s="126"/>
      <c r="KXE2" s="64"/>
      <c r="KXF2" s="72"/>
      <c r="KXG2" s="145"/>
      <c r="KXH2" s="145"/>
      <c r="KXI2" s="126"/>
      <c r="KXJ2" s="126"/>
      <c r="KXK2" s="64"/>
      <c r="KXL2" s="72"/>
      <c r="KXM2" s="145"/>
      <c r="KXN2" s="145"/>
      <c r="KXO2" s="126"/>
      <c r="KXP2" s="126"/>
      <c r="KXQ2" s="64"/>
      <c r="KXR2" s="72"/>
      <c r="KXS2" s="145"/>
      <c r="KXT2" s="145"/>
      <c r="KXU2" s="126"/>
      <c r="KXV2" s="126"/>
      <c r="KXW2" s="64"/>
      <c r="KXX2" s="72"/>
      <c r="KXY2" s="145"/>
      <c r="KXZ2" s="145"/>
      <c r="KYA2" s="126"/>
      <c r="KYB2" s="126"/>
      <c r="KYC2" s="64"/>
      <c r="KYD2" s="72"/>
      <c r="KYE2" s="145"/>
      <c r="KYF2" s="145"/>
      <c r="KYG2" s="126"/>
      <c r="KYH2" s="126"/>
      <c r="KYI2" s="64"/>
      <c r="KYJ2" s="72"/>
      <c r="KYK2" s="145"/>
      <c r="KYL2" s="145"/>
      <c r="KYM2" s="126"/>
      <c r="KYN2" s="126"/>
      <c r="KYO2" s="64"/>
      <c r="KYP2" s="72"/>
      <c r="KYQ2" s="145"/>
      <c r="KYR2" s="145"/>
      <c r="KYS2" s="126"/>
      <c r="KYT2" s="126"/>
      <c r="KYU2" s="64"/>
      <c r="KYV2" s="72"/>
      <c r="KYW2" s="145"/>
      <c r="KYX2" s="145"/>
      <c r="KYY2" s="126"/>
      <c r="KYZ2" s="126"/>
      <c r="KZA2" s="64"/>
      <c r="KZB2" s="72"/>
      <c r="KZC2" s="145"/>
      <c r="KZD2" s="145"/>
      <c r="KZE2" s="126"/>
      <c r="KZF2" s="126"/>
      <c r="KZG2" s="64"/>
      <c r="KZH2" s="72"/>
      <c r="KZI2" s="145"/>
      <c r="KZJ2" s="145"/>
      <c r="KZK2" s="126"/>
      <c r="KZL2" s="126"/>
      <c r="KZM2" s="64"/>
      <c r="KZN2" s="72"/>
      <c r="KZO2" s="145"/>
      <c r="KZP2" s="145"/>
      <c r="KZQ2" s="126"/>
      <c r="KZR2" s="126"/>
      <c r="KZS2" s="64"/>
      <c r="KZT2" s="72"/>
      <c r="KZU2" s="145"/>
      <c r="KZV2" s="145"/>
      <c r="KZW2" s="126"/>
      <c r="KZX2" s="126"/>
      <c r="KZY2" s="64"/>
      <c r="KZZ2" s="72"/>
      <c r="LAA2" s="145"/>
      <c r="LAB2" s="145"/>
      <c r="LAC2" s="126"/>
      <c r="LAD2" s="126"/>
      <c r="LAE2" s="64"/>
      <c r="LAF2" s="72"/>
      <c r="LAG2" s="145"/>
      <c r="LAH2" s="145"/>
      <c r="LAI2" s="126"/>
      <c r="LAJ2" s="126"/>
      <c r="LAK2" s="64"/>
      <c r="LAL2" s="72"/>
      <c r="LAM2" s="145"/>
      <c r="LAN2" s="145"/>
      <c r="LAO2" s="126"/>
      <c r="LAP2" s="126"/>
      <c r="LAQ2" s="64"/>
      <c r="LAR2" s="72"/>
      <c r="LAS2" s="145"/>
      <c r="LAT2" s="145"/>
      <c r="LAU2" s="126"/>
      <c r="LAV2" s="126"/>
      <c r="LAW2" s="64"/>
      <c r="LAX2" s="72"/>
      <c r="LAY2" s="145"/>
      <c r="LAZ2" s="145"/>
      <c r="LBA2" s="126"/>
      <c r="LBB2" s="126"/>
      <c r="LBC2" s="64"/>
      <c r="LBD2" s="72"/>
      <c r="LBE2" s="145"/>
      <c r="LBF2" s="145"/>
      <c r="LBG2" s="126"/>
      <c r="LBH2" s="126"/>
      <c r="LBI2" s="64"/>
      <c r="LBJ2" s="72"/>
      <c r="LBK2" s="145"/>
      <c r="LBL2" s="145"/>
      <c r="LBM2" s="126"/>
      <c r="LBN2" s="126"/>
      <c r="LBO2" s="64"/>
      <c r="LBP2" s="72"/>
      <c r="LBQ2" s="145"/>
      <c r="LBR2" s="145"/>
      <c r="LBS2" s="126"/>
      <c r="LBT2" s="126"/>
      <c r="LBU2" s="64"/>
      <c r="LBV2" s="72"/>
      <c r="LBW2" s="145"/>
      <c r="LBX2" s="145"/>
      <c r="LBY2" s="126"/>
      <c r="LBZ2" s="126"/>
      <c r="LCA2" s="64"/>
      <c r="LCB2" s="72"/>
      <c r="LCC2" s="145"/>
      <c r="LCD2" s="145"/>
      <c r="LCE2" s="126"/>
      <c r="LCF2" s="126"/>
      <c r="LCG2" s="64"/>
      <c r="LCH2" s="72"/>
      <c r="LCI2" s="145"/>
      <c r="LCJ2" s="145"/>
      <c r="LCK2" s="126"/>
      <c r="LCL2" s="126"/>
      <c r="LCM2" s="64"/>
      <c r="LCN2" s="72"/>
      <c r="LCO2" s="145"/>
      <c r="LCP2" s="145"/>
      <c r="LCQ2" s="126"/>
      <c r="LCR2" s="126"/>
      <c r="LCS2" s="64"/>
      <c r="LCT2" s="72"/>
      <c r="LCU2" s="145"/>
      <c r="LCV2" s="145"/>
      <c r="LCW2" s="126"/>
      <c r="LCX2" s="126"/>
      <c r="LCY2" s="64"/>
      <c r="LCZ2" s="72"/>
      <c r="LDA2" s="145"/>
      <c r="LDB2" s="145"/>
      <c r="LDC2" s="126"/>
      <c r="LDD2" s="126"/>
      <c r="LDE2" s="64"/>
      <c r="LDF2" s="72"/>
      <c r="LDG2" s="145"/>
      <c r="LDH2" s="145"/>
      <c r="LDI2" s="126"/>
      <c r="LDJ2" s="126"/>
      <c r="LDK2" s="64"/>
      <c r="LDL2" s="72"/>
      <c r="LDM2" s="145"/>
      <c r="LDN2" s="145"/>
      <c r="LDO2" s="126"/>
      <c r="LDP2" s="126"/>
      <c r="LDQ2" s="64"/>
      <c r="LDR2" s="72"/>
      <c r="LDS2" s="145"/>
      <c r="LDT2" s="145"/>
      <c r="LDU2" s="126"/>
      <c r="LDV2" s="126"/>
      <c r="LDW2" s="64"/>
      <c r="LDX2" s="72"/>
      <c r="LDY2" s="145"/>
      <c r="LDZ2" s="145"/>
      <c r="LEA2" s="126"/>
      <c r="LEB2" s="126"/>
      <c r="LEC2" s="64"/>
      <c r="LED2" s="72"/>
      <c r="LEE2" s="145"/>
      <c r="LEF2" s="145"/>
      <c r="LEG2" s="126"/>
      <c r="LEH2" s="126"/>
      <c r="LEI2" s="64"/>
      <c r="LEJ2" s="72"/>
      <c r="LEK2" s="145"/>
      <c r="LEL2" s="145"/>
      <c r="LEM2" s="126"/>
      <c r="LEN2" s="126"/>
      <c r="LEO2" s="64"/>
      <c r="LEP2" s="72"/>
      <c r="LEQ2" s="145"/>
      <c r="LER2" s="145"/>
      <c r="LES2" s="126"/>
      <c r="LET2" s="126"/>
      <c r="LEU2" s="64"/>
      <c r="LEV2" s="72"/>
      <c r="LEW2" s="145"/>
      <c r="LEX2" s="145"/>
      <c r="LEY2" s="126"/>
      <c r="LEZ2" s="126"/>
      <c r="LFA2" s="64"/>
      <c r="LFB2" s="72"/>
      <c r="LFC2" s="145"/>
      <c r="LFD2" s="145"/>
      <c r="LFE2" s="126"/>
      <c r="LFF2" s="126"/>
      <c r="LFG2" s="64"/>
      <c r="LFH2" s="72"/>
      <c r="LFI2" s="145"/>
      <c r="LFJ2" s="145"/>
      <c r="LFK2" s="126"/>
      <c r="LFL2" s="126"/>
      <c r="LFM2" s="64"/>
      <c r="LFN2" s="72"/>
      <c r="LFO2" s="145"/>
      <c r="LFP2" s="145"/>
      <c r="LFQ2" s="126"/>
      <c r="LFR2" s="126"/>
      <c r="LFS2" s="64"/>
      <c r="LFT2" s="72"/>
      <c r="LFU2" s="145"/>
      <c r="LFV2" s="145"/>
      <c r="LFW2" s="126"/>
      <c r="LFX2" s="126"/>
      <c r="LFY2" s="64"/>
      <c r="LFZ2" s="72"/>
      <c r="LGA2" s="145"/>
      <c r="LGB2" s="145"/>
      <c r="LGC2" s="126"/>
      <c r="LGD2" s="126"/>
      <c r="LGE2" s="64"/>
      <c r="LGF2" s="72"/>
      <c r="LGG2" s="145"/>
      <c r="LGH2" s="145"/>
      <c r="LGI2" s="126"/>
      <c r="LGJ2" s="126"/>
      <c r="LGK2" s="64"/>
      <c r="LGL2" s="72"/>
      <c r="LGM2" s="145"/>
      <c r="LGN2" s="145"/>
      <c r="LGO2" s="126"/>
      <c r="LGP2" s="126"/>
      <c r="LGQ2" s="64"/>
      <c r="LGR2" s="72"/>
      <c r="LGS2" s="145"/>
      <c r="LGT2" s="145"/>
      <c r="LGU2" s="126"/>
      <c r="LGV2" s="126"/>
      <c r="LGW2" s="64"/>
      <c r="LGX2" s="72"/>
      <c r="LGY2" s="145"/>
      <c r="LGZ2" s="145"/>
      <c r="LHA2" s="126"/>
      <c r="LHB2" s="126"/>
      <c r="LHC2" s="64"/>
      <c r="LHD2" s="72"/>
      <c r="LHE2" s="145"/>
      <c r="LHF2" s="145"/>
      <c r="LHG2" s="126"/>
      <c r="LHH2" s="126"/>
      <c r="LHI2" s="64"/>
      <c r="LHJ2" s="72"/>
      <c r="LHK2" s="145"/>
      <c r="LHL2" s="145"/>
      <c r="LHM2" s="126"/>
      <c r="LHN2" s="126"/>
      <c r="LHO2" s="64"/>
      <c r="LHP2" s="72"/>
      <c r="LHQ2" s="145"/>
      <c r="LHR2" s="145"/>
      <c r="LHS2" s="126"/>
      <c r="LHT2" s="126"/>
      <c r="LHU2" s="64"/>
      <c r="LHV2" s="72"/>
      <c r="LHW2" s="145"/>
      <c r="LHX2" s="145"/>
      <c r="LHY2" s="126"/>
      <c r="LHZ2" s="126"/>
      <c r="LIA2" s="64"/>
      <c r="LIB2" s="72"/>
      <c r="LIC2" s="145"/>
      <c r="LID2" s="145"/>
      <c r="LIE2" s="126"/>
      <c r="LIF2" s="126"/>
      <c r="LIG2" s="64"/>
      <c r="LIH2" s="72"/>
      <c r="LII2" s="145"/>
      <c r="LIJ2" s="145"/>
      <c r="LIK2" s="126"/>
      <c r="LIL2" s="126"/>
      <c r="LIM2" s="64"/>
      <c r="LIN2" s="72"/>
      <c r="LIO2" s="145"/>
      <c r="LIP2" s="145"/>
      <c r="LIQ2" s="126"/>
      <c r="LIR2" s="126"/>
      <c r="LIS2" s="64"/>
      <c r="LIT2" s="72"/>
      <c r="LIU2" s="145"/>
      <c r="LIV2" s="145"/>
      <c r="LIW2" s="126"/>
      <c r="LIX2" s="126"/>
      <c r="LIY2" s="64"/>
      <c r="LIZ2" s="72"/>
      <c r="LJA2" s="145"/>
      <c r="LJB2" s="145"/>
      <c r="LJC2" s="126"/>
      <c r="LJD2" s="126"/>
      <c r="LJE2" s="64"/>
      <c r="LJF2" s="72"/>
      <c r="LJG2" s="145"/>
      <c r="LJH2" s="145"/>
      <c r="LJI2" s="126"/>
      <c r="LJJ2" s="126"/>
      <c r="LJK2" s="64"/>
      <c r="LJL2" s="72"/>
      <c r="LJM2" s="145"/>
      <c r="LJN2" s="145"/>
      <c r="LJO2" s="126"/>
      <c r="LJP2" s="126"/>
      <c r="LJQ2" s="64"/>
      <c r="LJR2" s="72"/>
      <c r="LJS2" s="145"/>
      <c r="LJT2" s="145"/>
      <c r="LJU2" s="126"/>
      <c r="LJV2" s="126"/>
      <c r="LJW2" s="64"/>
      <c r="LJX2" s="72"/>
      <c r="LJY2" s="145"/>
      <c r="LJZ2" s="145"/>
      <c r="LKA2" s="126"/>
      <c r="LKB2" s="126"/>
      <c r="LKC2" s="64"/>
      <c r="LKD2" s="72"/>
      <c r="LKE2" s="145"/>
      <c r="LKF2" s="145"/>
      <c r="LKG2" s="126"/>
      <c r="LKH2" s="126"/>
      <c r="LKI2" s="64"/>
      <c r="LKJ2" s="72"/>
      <c r="LKK2" s="145"/>
      <c r="LKL2" s="145"/>
      <c r="LKM2" s="126"/>
      <c r="LKN2" s="126"/>
      <c r="LKO2" s="64"/>
      <c r="LKP2" s="72"/>
      <c r="LKQ2" s="145"/>
      <c r="LKR2" s="145"/>
      <c r="LKS2" s="126"/>
      <c r="LKT2" s="126"/>
      <c r="LKU2" s="64"/>
      <c r="LKV2" s="72"/>
      <c r="LKW2" s="145"/>
      <c r="LKX2" s="145"/>
      <c r="LKY2" s="126"/>
      <c r="LKZ2" s="126"/>
      <c r="LLA2" s="64"/>
      <c r="LLB2" s="72"/>
      <c r="LLC2" s="145"/>
      <c r="LLD2" s="145"/>
      <c r="LLE2" s="126"/>
      <c r="LLF2" s="126"/>
      <c r="LLG2" s="64"/>
      <c r="LLH2" s="72"/>
      <c r="LLI2" s="145"/>
      <c r="LLJ2" s="145"/>
      <c r="LLK2" s="126"/>
      <c r="LLL2" s="126"/>
      <c r="LLM2" s="64"/>
      <c r="LLN2" s="72"/>
      <c r="LLO2" s="145"/>
      <c r="LLP2" s="145"/>
      <c r="LLQ2" s="126"/>
      <c r="LLR2" s="126"/>
      <c r="LLS2" s="64"/>
      <c r="LLT2" s="72"/>
      <c r="LLU2" s="145"/>
      <c r="LLV2" s="145"/>
      <c r="LLW2" s="126"/>
      <c r="LLX2" s="126"/>
      <c r="LLY2" s="64"/>
      <c r="LLZ2" s="72"/>
      <c r="LMA2" s="145"/>
      <c r="LMB2" s="145"/>
      <c r="LMC2" s="126"/>
      <c r="LMD2" s="126"/>
      <c r="LME2" s="64"/>
      <c r="LMF2" s="72"/>
      <c r="LMG2" s="145"/>
      <c r="LMH2" s="145"/>
      <c r="LMI2" s="126"/>
      <c r="LMJ2" s="126"/>
      <c r="LMK2" s="64"/>
      <c r="LML2" s="72"/>
      <c r="LMM2" s="145"/>
      <c r="LMN2" s="145"/>
      <c r="LMO2" s="126"/>
      <c r="LMP2" s="126"/>
      <c r="LMQ2" s="64"/>
      <c r="LMR2" s="72"/>
      <c r="LMS2" s="145"/>
      <c r="LMT2" s="145"/>
      <c r="LMU2" s="126"/>
      <c r="LMV2" s="126"/>
      <c r="LMW2" s="64"/>
      <c r="LMX2" s="72"/>
      <c r="LMY2" s="145"/>
      <c r="LMZ2" s="145"/>
      <c r="LNA2" s="126"/>
      <c r="LNB2" s="126"/>
      <c r="LNC2" s="64"/>
      <c r="LND2" s="72"/>
      <c r="LNE2" s="145"/>
      <c r="LNF2" s="145"/>
      <c r="LNG2" s="126"/>
      <c r="LNH2" s="126"/>
      <c r="LNI2" s="64"/>
      <c r="LNJ2" s="72"/>
      <c r="LNK2" s="145"/>
      <c r="LNL2" s="145"/>
      <c r="LNM2" s="126"/>
      <c r="LNN2" s="126"/>
      <c r="LNO2" s="64"/>
      <c r="LNP2" s="72"/>
      <c r="LNQ2" s="145"/>
      <c r="LNR2" s="145"/>
      <c r="LNS2" s="126"/>
      <c r="LNT2" s="126"/>
      <c r="LNU2" s="64"/>
      <c r="LNV2" s="72"/>
      <c r="LNW2" s="145"/>
      <c r="LNX2" s="145"/>
      <c r="LNY2" s="126"/>
      <c r="LNZ2" s="126"/>
      <c r="LOA2" s="64"/>
      <c r="LOB2" s="72"/>
      <c r="LOC2" s="145"/>
      <c r="LOD2" s="145"/>
      <c r="LOE2" s="126"/>
      <c r="LOF2" s="126"/>
      <c r="LOG2" s="64"/>
      <c r="LOH2" s="72"/>
      <c r="LOI2" s="145"/>
      <c r="LOJ2" s="145"/>
      <c r="LOK2" s="126"/>
      <c r="LOL2" s="126"/>
      <c r="LOM2" s="64"/>
      <c r="LON2" s="72"/>
      <c r="LOO2" s="145"/>
      <c r="LOP2" s="145"/>
      <c r="LOQ2" s="126"/>
      <c r="LOR2" s="126"/>
      <c r="LOS2" s="64"/>
      <c r="LOT2" s="72"/>
      <c r="LOU2" s="145"/>
      <c r="LOV2" s="145"/>
      <c r="LOW2" s="126"/>
      <c r="LOX2" s="126"/>
      <c r="LOY2" s="64"/>
      <c r="LOZ2" s="72"/>
      <c r="LPA2" s="145"/>
      <c r="LPB2" s="145"/>
      <c r="LPC2" s="126"/>
      <c r="LPD2" s="126"/>
      <c r="LPE2" s="64"/>
      <c r="LPF2" s="72"/>
      <c r="LPG2" s="145"/>
      <c r="LPH2" s="145"/>
      <c r="LPI2" s="126"/>
      <c r="LPJ2" s="126"/>
      <c r="LPK2" s="64"/>
      <c r="LPL2" s="72"/>
      <c r="LPM2" s="145"/>
      <c r="LPN2" s="145"/>
      <c r="LPO2" s="126"/>
      <c r="LPP2" s="126"/>
      <c r="LPQ2" s="64"/>
      <c r="LPR2" s="72"/>
      <c r="LPS2" s="145"/>
      <c r="LPT2" s="145"/>
      <c r="LPU2" s="126"/>
      <c r="LPV2" s="126"/>
      <c r="LPW2" s="64"/>
      <c r="LPX2" s="72"/>
      <c r="LPY2" s="145"/>
      <c r="LPZ2" s="145"/>
      <c r="LQA2" s="126"/>
      <c r="LQB2" s="126"/>
      <c r="LQC2" s="64"/>
      <c r="LQD2" s="72"/>
      <c r="LQE2" s="145"/>
      <c r="LQF2" s="145"/>
      <c r="LQG2" s="126"/>
      <c r="LQH2" s="126"/>
      <c r="LQI2" s="64"/>
      <c r="LQJ2" s="72"/>
      <c r="LQK2" s="145"/>
      <c r="LQL2" s="145"/>
      <c r="LQM2" s="126"/>
      <c r="LQN2" s="126"/>
      <c r="LQO2" s="64"/>
      <c r="LQP2" s="72"/>
      <c r="LQQ2" s="145"/>
      <c r="LQR2" s="145"/>
      <c r="LQS2" s="126"/>
      <c r="LQT2" s="126"/>
      <c r="LQU2" s="64"/>
      <c r="LQV2" s="72"/>
      <c r="LQW2" s="145"/>
      <c r="LQX2" s="145"/>
      <c r="LQY2" s="126"/>
      <c r="LQZ2" s="126"/>
      <c r="LRA2" s="64"/>
      <c r="LRB2" s="72"/>
      <c r="LRC2" s="145"/>
      <c r="LRD2" s="145"/>
      <c r="LRE2" s="126"/>
      <c r="LRF2" s="126"/>
      <c r="LRG2" s="64"/>
      <c r="LRH2" s="72"/>
      <c r="LRI2" s="145"/>
      <c r="LRJ2" s="145"/>
      <c r="LRK2" s="126"/>
      <c r="LRL2" s="126"/>
      <c r="LRM2" s="64"/>
      <c r="LRN2" s="72"/>
      <c r="LRO2" s="145"/>
      <c r="LRP2" s="145"/>
      <c r="LRQ2" s="126"/>
      <c r="LRR2" s="126"/>
      <c r="LRS2" s="64"/>
      <c r="LRT2" s="72"/>
      <c r="LRU2" s="145"/>
      <c r="LRV2" s="145"/>
      <c r="LRW2" s="126"/>
      <c r="LRX2" s="126"/>
      <c r="LRY2" s="64"/>
      <c r="LRZ2" s="72"/>
      <c r="LSA2" s="145"/>
      <c r="LSB2" s="145"/>
      <c r="LSC2" s="126"/>
      <c r="LSD2" s="126"/>
      <c r="LSE2" s="64"/>
      <c r="LSF2" s="72"/>
      <c r="LSG2" s="145"/>
      <c r="LSH2" s="145"/>
      <c r="LSI2" s="126"/>
      <c r="LSJ2" s="126"/>
      <c r="LSK2" s="64"/>
      <c r="LSL2" s="72"/>
      <c r="LSM2" s="145"/>
      <c r="LSN2" s="145"/>
      <c r="LSO2" s="126"/>
      <c r="LSP2" s="126"/>
      <c r="LSQ2" s="64"/>
      <c r="LSR2" s="72"/>
      <c r="LSS2" s="145"/>
      <c r="LST2" s="145"/>
      <c r="LSU2" s="126"/>
      <c r="LSV2" s="126"/>
      <c r="LSW2" s="64"/>
      <c r="LSX2" s="72"/>
      <c r="LSY2" s="145"/>
      <c r="LSZ2" s="145"/>
      <c r="LTA2" s="126"/>
      <c r="LTB2" s="126"/>
      <c r="LTC2" s="64"/>
      <c r="LTD2" s="72"/>
      <c r="LTE2" s="145"/>
      <c r="LTF2" s="145"/>
      <c r="LTG2" s="126"/>
      <c r="LTH2" s="126"/>
      <c r="LTI2" s="64"/>
      <c r="LTJ2" s="72"/>
      <c r="LTK2" s="145"/>
      <c r="LTL2" s="145"/>
      <c r="LTM2" s="126"/>
      <c r="LTN2" s="126"/>
      <c r="LTO2" s="64"/>
      <c r="LTP2" s="72"/>
      <c r="LTQ2" s="145"/>
      <c r="LTR2" s="145"/>
      <c r="LTS2" s="126"/>
      <c r="LTT2" s="126"/>
      <c r="LTU2" s="64"/>
      <c r="LTV2" s="72"/>
      <c r="LTW2" s="145"/>
      <c r="LTX2" s="145"/>
      <c r="LTY2" s="126"/>
      <c r="LTZ2" s="126"/>
      <c r="LUA2" s="64"/>
      <c r="LUB2" s="72"/>
      <c r="LUC2" s="145"/>
      <c r="LUD2" s="145"/>
      <c r="LUE2" s="126"/>
      <c r="LUF2" s="126"/>
      <c r="LUG2" s="64"/>
      <c r="LUH2" s="72"/>
      <c r="LUI2" s="145"/>
      <c r="LUJ2" s="145"/>
      <c r="LUK2" s="126"/>
      <c r="LUL2" s="126"/>
      <c r="LUM2" s="64"/>
      <c r="LUN2" s="72"/>
      <c r="LUO2" s="145"/>
      <c r="LUP2" s="145"/>
      <c r="LUQ2" s="126"/>
      <c r="LUR2" s="126"/>
      <c r="LUS2" s="64"/>
      <c r="LUT2" s="72"/>
      <c r="LUU2" s="145"/>
      <c r="LUV2" s="145"/>
      <c r="LUW2" s="126"/>
      <c r="LUX2" s="126"/>
      <c r="LUY2" s="64"/>
      <c r="LUZ2" s="72"/>
      <c r="LVA2" s="145"/>
      <c r="LVB2" s="145"/>
      <c r="LVC2" s="126"/>
      <c r="LVD2" s="126"/>
      <c r="LVE2" s="64"/>
      <c r="LVF2" s="72"/>
      <c r="LVG2" s="145"/>
      <c r="LVH2" s="145"/>
      <c r="LVI2" s="126"/>
      <c r="LVJ2" s="126"/>
      <c r="LVK2" s="64"/>
      <c r="LVL2" s="72"/>
      <c r="LVM2" s="145"/>
      <c r="LVN2" s="145"/>
      <c r="LVO2" s="126"/>
      <c r="LVP2" s="126"/>
      <c r="LVQ2" s="64"/>
      <c r="LVR2" s="72"/>
      <c r="LVS2" s="145"/>
      <c r="LVT2" s="145"/>
      <c r="LVU2" s="126"/>
      <c r="LVV2" s="126"/>
      <c r="LVW2" s="64"/>
      <c r="LVX2" s="72"/>
      <c r="LVY2" s="145"/>
      <c r="LVZ2" s="145"/>
      <c r="LWA2" s="126"/>
      <c r="LWB2" s="126"/>
      <c r="LWC2" s="64"/>
      <c r="LWD2" s="72"/>
      <c r="LWE2" s="145"/>
      <c r="LWF2" s="145"/>
      <c r="LWG2" s="126"/>
      <c r="LWH2" s="126"/>
      <c r="LWI2" s="64"/>
      <c r="LWJ2" s="72"/>
      <c r="LWK2" s="145"/>
      <c r="LWL2" s="145"/>
      <c r="LWM2" s="126"/>
      <c r="LWN2" s="126"/>
      <c r="LWO2" s="64"/>
      <c r="LWP2" s="72"/>
      <c r="LWQ2" s="145"/>
      <c r="LWR2" s="145"/>
      <c r="LWS2" s="126"/>
      <c r="LWT2" s="126"/>
      <c r="LWU2" s="64"/>
      <c r="LWV2" s="72"/>
      <c r="LWW2" s="145"/>
      <c r="LWX2" s="145"/>
      <c r="LWY2" s="126"/>
      <c r="LWZ2" s="126"/>
      <c r="LXA2" s="64"/>
      <c r="LXB2" s="72"/>
      <c r="LXC2" s="145"/>
      <c r="LXD2" s="145"/>
      <c r="LXE2" s="126"/>
      <c r="LXF2" s="126"/>
      <c r="LXG2" s="64"/>
      <c r="LXH2" s="72"/>
      <c r="LXI2" s="145"/>
      <c r="LXJ2" s="145"/>
      <c r="LXK2" s="126"/>
      <c r="LXL2" s="126"/>
      <c r="LXM2" s="64"/>
      <c r="LXN2" s="72"/>
      <c r="LXO2" s="145"/>
      <c r="LXP2" s="145"/>
      <c r="LXQ2" s="126"/>
      <c r="LXR2" s="126"/>
      <c r="LXS2" s="64"/>
      <c r="LXT2" s="72"/>
      <c r="LXU2" s="145"/>
      <c r="LXV2" s="145"/>
      <c r="LXW2" s="126"/>
      <c r="LXX2" s="126"/>
      <c r="LXY2" s="64"/>
      <c r="LXZ2" s="72"/>
      <c r="LYA2" s="145"/>
      <c r="LYB2" s="145"/>
      <c r="LYC2" s="126"/>
      <c r="LYD2" s="126"/>
      <c r="LYE2" s="64"/>
      <c r="LYF2" s="72"/>
      <c r="LYG2" s="145"/>
      <c r="LYH2" s="145"/>
      <c r="LYI2" s="126"/>
      <c r="LYJ2" s="126"/>
      <c r="LYK2" s="64"/>
      <c r="LYL2" s="72"/>
      <c r="LYM2" s="145"/>
      <c r="LYN2" s="145"/>
      <c r="LYO2" s="126"/>
      <c r="LYP2" s="126"/>
      <c r="LYQ2" s="64"/>
      <c r="LYR2" s="72"/>
      <c r="LYS2" s="145"/>
      <c r="LYT2" s="145"/>
      <c r="LYU2" s="126"/>
      <c r="LYV2" s="126"/>
      <c r="LYW2" s="64"/>
      <c r="LYX2" s="72"/>
      <c r="LYY2" s="145"/>
      <c r="LYZ2" s="145"/>
      <c r="LZA2" s="126"/>
      <c r="LZB2" s="126"/>
      <c r="LZC2" s="64"/>
      <c r="LZD2" s="72"/>
      <c r="LZE2" s="145"/>
      <c r="LZF2" s="145"/>
      <c r="LZG2" s="126"/>
      <c r="LZH2" s="126"/>
      <c r="LZI2" s="64"/>
      <c r="LZJ2" s="72"/>
      <c r="LZK2" s="145"/>
      <c r="LZL2" s="145"/>
      <c r="LZM2" s="126"/>
      <c r="LZN2" s="126"/>
      <c r="LZO2" s="64"/>
      <c r="LZP2" s="72"/>
      <c r="LZQ2" s="145"/>
      <c r="LZR2" s="145"/>
      <c r="LZS2" s="126"/>
      <c r="LZT2" s="126"/>
      <c r="LZU2" s="64"/>
      <c r="LZV2" s="72"/>
      <c r="LZW2" s="145"/>
      <c r="LZX2" s="145"/>
      <c r="LZY2" s="126"/>
      <c r="LZZ2" s="126"/>
      <c r="MAA2" s="64"/>
      <c r="MAB2" s="72"/>
      <c r="MAC2" s="145"/>
      <c r="MAD2" s="145"/>
      <c r="MAE2" s="126"/>
      <c r="MAF2" s="126"/>
      <c r="MAG2" s="64"/>
      <c r="MAH2" s="72"/>
      <c r="MAI2" s="145"/>
      <c r="MAJ2" s="145"/>
      <c r="MAK2" s="126"/>
      <c r="MAL2" s="126"/>
      <c r="MAM2" s="64"/>
      <c r="MAN2" s="72"/>
      <c r="MAO2" s="145"/>
      <c r="MAP2" s="145"/>
      <c r="MAQ2" s="126"/>
      <c r="MAR2" s="126"/>
      <c r="MAS2" s="64"/>
      <c r="MAT2" s="72"/>
      <c r="MAU2" s="145"/>
      <c r="MAV2" s="145"/>
      <c r="MAW2" s="126"/>
      <c r="MAX2" s="126"/>
      <c r="MAY2" s="64"/>
      <c r="MAZ2" s="72"/>
      <c r="MBA2" s="145"/>
      <c r="MBB2" s="145"/>
      <c r="MBC2" s="126"/>
      <c r="MBD2" s="126"/>
      <c r="MBE2" s="64"/>
      <c r="MBF2" s="72"/>
      <c r="MBG2" s="145"/>
      <c r="MBH2" s="145"/>
      <c r="MBI2" s="126"/>
      <c r="MBJ2" s="126"/>
      <c r="MBK2" s="64"/>
      <c r="MBL2" s="72"/>
      <c r="MBM2" s="145"/>
      <c r="MBN2" s="145"/>
      <c r="MBO2" s="126"/>
      <c r="MBP2" s="126"/>
      <c r="MBQ2" s="64"/>
      <c r="MBR2" s="72"/>
      <c r="MBS2" s="145"/>
      <c r="MBT2" s="145"/>
      <c r="MBU2" s="126"/>
      <c r="MBV2" s="126"/>
      <c r="MBW2" s="64"/>
      <c r="MBX2" s="72"/>
      <c r="MBY2" s="145"/>
      <c r="MBZ2" s="145"/>
      <c r="MCA2" s="126"/>
      <c r="MCB2" s="126"/>
      <c r="MCC2" s="64"/>
      <c r="MCD2" s="72"/>
      <c r="MCE2" s="145"/>
      <c r="MCF2" s="145"/>
      <c r="MCG2" s="126"/>
      <c r="MCH2" s="126"/>
      <c r="MCI2" s="64"/>
      <c r="MCJ2" s="72"/>
      <c r="MCK2" s="145"/>
      <c r="MCL2" s="145"/>
      <c r="MCM2" s="126"/>
      <c r="MCN2" s="126"/>
      <c r="MCO2" s="64"/>
      <c r="MCP2" s="72"/>
      <c r="MCQ2" s="145"/>
      <c r="MCR2" s="145"/>
      <c r="MCS2" s="126"/>
      <c r="MCT2" s="126"/>
      <c r="MCU2" s="64"/>
      <c r="MCV2" s="72"/>
      <c r="MCW2" s="145"/>
      <c r="MCX2" s="145"/>
      <c r="MCY2" s="126"/>
      <c r="MCZ2" s="126"/>
      <c r="MDA2" s="64"/>
      <c r="MDB2" s="72"/>
      <c r="MDC2" s="145"/>
      <c r="MDD2" s="145"/>
      <c r="MDE2" s="126"/>
      <c r="MDF2" s="126"/>
      <c r="MDG2" s="64"/>
      <c r="MDH2" s="72"/>
      <c r="MDI2" s="145"/>
      <c r="MDJ2" s="145"/>
      <c r="MDK2" s="126"/>
      <c r="MDL2" s="126"/>
      <c r="MDM2" s="64"/>
      <c r="MDN2" s="72"/>
      <c r="MDO2" s="145"/>
      <c r="MDP2" s="145"/>
      <c r="MDQ2" s="126"/>
      <c r="MDR2" s="126"/>
      <c r="MDS2" s="64"/>
      <c r="MDT2" s="72"/>
      <c r="MDU2" s="145"/>
      <c r="MDV2" s="145"/>
      <c r="MDW2" s="126"/>
      <c r="MDX2" s="126"/>
      <c r="MDY2" s="64"/>
      <c r="MDZ2" s="72"/>
      <c r="MEA2" s="145"/>
      <c r="MEB2" s="145"/>
      <c r="MEC2" s="126"/>
      <c r="MED2" s="126"/>
      <c r="MEE2" s="64"/>
      <c r="MEF2" s="72"/>
      <c r="MEG2" s="145"/>
      <c r="MEH2" s="145"/>
      <c r="MEI2" s="126"/>
      <c r="MEJ2" s="126"/>
      <c r="MEK2" s="64"/>
      <c r="MEL2" s="72"/>
      <c r="MEM2" s="145"/>
      <c r="MEN2" s="145"/>
      <c r="MEO2" s="126"/>
      <c r="MEP2" s="126"/>
      <c r="MEQ2" s="64"/>
      <c r="MER2" s="72"/>
      <c r="MES2" s="145"/>
      <c r="MET2" s="145"/>
      <c r="MEU2" s="126"/>
      <c r="MEV2" s="126"/>
      <c r="MEW2" s="64"/>
      <c r="MEX2" s="72"/>
      <c r="MEY2" s="145"/>
      <c r="MEZ2" s="145"/>
      <c r="MFA2" s="126"/>
      <c r="MFB2" s="126"/>
      <c r="MFC2" s="64"/>
      <c r="MFD2" s="72"/>
      <c r="MFE2" s="145"/>
      <c r="MFF2" s="145"/>
      <c r="MFG2" s="126"/>
      <c r="MFH2" s="126"/>
      <c r="MFI2" s="64"/>
      <c r="MFJ2" s="72"/>
      <c r="MFK2" s="145"/>
      <c r="MFL2" s="145"/>
      <c r="MFM2" s="126"/>
      <c r="MFN2" s="126"/>
      <c r="MFO2" s="64"/>
      <c r="MFP2" s="72"/>
      <c r="MFQ2" s="145"/>
      <c r="MFR2" s="145"/>
      <c r="MFS2" s="126"/>
      <c r="MFT2" s="126"/>
      <c r="MFU2" s="64"/>
      <c r="MFV2" s="72"/>
      <c r="MFW2" s="145"/>
      <c r="MFX2" s="145"/>
      <c r="MFY2" s="126"/>
      <c r="MFZ2" s="126"/>
      <c r="MGA2" s="64"/>
      <c r="MGB2" s="72"/>
      <c r="MGC2" s="145"/>
      <c r="MGD2" s="145"/>
      <c r="MGE2" s="126"/>
      <c r="MGF2" s="126"/>
      <c r="MGG2" s="64"/>
      <c r="MGH2" s="72"/>
      <c r="MGI2" s="145"/>
      <c r="MGJ2" s="145"/>
      <c r="MGK2" s="126"/>
      <c r="MGL2" s="126"/>
      <c r="MGM2" s="64"/>
      <c r="MGN2" s="72"/>
      <c r="MGO2" s="145"/>
      <c r="MGP2" s="145"/>
      <c r="MGQ2" s="126"/>
      <c r="MGR2" s="126"/>
      <c r="MGS2" s="64"/>
      <c r="MGT2" s="72"/>
      <c r="MGU2" s="145"/>
      <c r="MGV2" s="145"/>
      <c r="MGW2" s="126"/>
      <c r="MGX2" s="126"/>
      <c r="MGY2" s="64"/>
      <c r="MGZ2" s="72"/>
      <c r="MHA2" s="145"/>
      <c r="MHB2" s="145"/>
      <c r="MHC2" s="126"/>
      <c r="MHD2" s="126"/>
      <c r="MHE2" s="64"/>
      <c r="MHF2" s="72"/>
      <c r="MHG2" s="145"/>
      <c r="MHH2" s="145"/>
      <c r="MHI2" s="126"/>
      <c r="MHJ2" s="126"/>
      <c r="MHK2" s="64"/>
      <c r="MHL2" s="72"/>
      <c r="MHM2" s="145"/>
      <c r="MHN2" s="145"/>
      <c r="MHO2" s="126"/>
      <c r="MHP2" s="126"/>
      <c r="MHQ2" s="64"/>
      <c r="MHR2" s="72"/>
      <c r="MHS2" s="145"/>
      <c r="MHT2" s="145"/>
      <c r="MHU2" s="126"/>
      <c r="MHV2" s="126"/>
      <c r="MHW2" s="64"/>
      <c r="MHX2" s="72"/>
      <c r="MHY2" s="145"/>
      <c r="MHZ2" s="145"/>
      <c r="MIA2" s="126"/>
      <c r="MIB2" s="126"/>
      <c r="MIC2" s="64"/>
      <c r="MID2" s="72"/>
      <c r="MIE2" s="145"/>
      <c r="MIF2" s="145"/>
      <c r="MIG2" s="126"/>
      <c r="MIH2" s="126"/>
      <c r="MII2" s="64"/>
      <c r="MIJ2" s="72"/>
      <c r="MIK2" s="145"/>
      <c r="MIL2" s="145"/>
      <c r="MIM2" s="126"/>
      <c r="MIN2" s="126"/>
      <c r="MIO2" s="64"/>
      <c r="MIP2" s="72"/>
      <c r="MIQ2" s="145"/>
      <c r="MIR2" s="145"/>
      <c r="MIS2" s="126"/>
      <c r="MIT2" s="126"/>
      <c r="MIU2" s="64"/>
      <c r="MIV2" s="72"/>
      <c r="MIW2" s="145"/>
      <c r="MIX2" s="145"/>
      <c r="MIY2" s="126"/>
      <c r="MIZ2" s="126"/>
      <c r="MJA2" s="64"/>
      <c r="MJB2" s="72"/>
      <c r="MJC2" s="145"/>
      <c r="MJD2" s="145"/>
      <c r="MJE2" s="126"/>
      <c r="MJF2" s="126"/>
      <c r="MJG2" s="64"/>
      <c r="MJH2" s="72"/>
      <c r="MJI2" s="145"/>
      <c r="MJJ2" s="145"/>
      <c r="MJK2" s="126"/>
      <c r="MJL2" s="126"/>
      <c r="MJM2" s="64"/>
      <c r="MJN2" s="72"/>
      <c r="MJO2" s="145"/>
      <c r="MJP2" s="145"/>
      <c r="MJQ2" s="126"/>
      <c r="MJR2" s="126"/>
      <c r="MJS2" s="64"/>
      <c r="MJT2" s="72"/>
      <c r="MJU2" s="145"/>
      <c r="MJV2" s="145"/>
      <c r="MJW2" s="126"/>
      <c r="MJX2" s="126"/>
      <c r="MJY2" s="64"/>
      <c r="MJZ2" s="72"/>
      <c r="MKA2" s="145"/>
      <c r="MKB2" s="145"/>
      <c r="MKC2" s="126"/>
      <c r="MKD2" s="126"/>
      <c r="MKE2" s="64"/>
      <c r="MKF2" s="72"/>
      <c r="MKG2" s="145"/>
      <c r="MKH2" s="145"/>
      <c r="MKI2" s="126"/>
      <c r="MKJ2" s="126"/>
      <c r="MKK2" s="64"/>
      <c r="MKL2" s="72"/>
      <c r="MKM2" s="145"/>
      <c r="MKN2" s="145"/>
      <c r="MKO2" s="126"/>
      <c r="MKP2" s="126"/>
      <c r="MKQ2" s="64"/>
      <c r="MKR2" s="72"/>
      <c r="MKS2" s="145"/>
      <c r="MKT2" s="145"/>
      <c r="MKU2" s="126"/>
      <c r="MKV2" s="126"/>
      <c r="MKW2" s="64"/>
      <c r="MKX2" s="72"/>
      <c r="MKY2" s="145"/>
      <c r="MKZ2" s="145"/>
      <c r="MLA2" s="126"/>
      <c r="MLB2" s="126"/>
      <c r="MLC2" s="64"/>
      <c r="MLD2" s="72"/>
      <c r="MLE2" s="145"/>
      <c r="MLF2" s="145"/>
      <c r="MLG2" s="126"/>
      <c r="MLH2" s="126"/>
      <c r="MLI2" s="64"/>
      <c r="MLJ2" s="72"/>
      <c r="MLK2" s="145"/>
      <c r="MLL2" s="145"/>
      <c r="MLM2" s="126"/>
      <c r="MLN2" s="126"/>
      <c r="MLO2" s="64"/>
      <c r="MLP2" s="72"/>
      <c r="MLQ2" s="145"/>
      <c r="MLR2" s="145"/>
      <c r="MLS2" s="126"/>
      <c r="MLT2" s="126"/>
      <c r="MLU2" s="64"/>
      <c r="MLV2" s="72"/>
      <c r="MLW2" s="145"/>
      <c r="MLX2" s="145"/>
      <c r="MLY2" s="126"/>
      <c r="MLZ2" s="126"/>
      <c r="MMA2" s="64"/>
      <c r="MMB2" s="72"/>
      <c r="MMC2" s="145"/>
      <c r="MMD2" s="145"/>
      <c r="MME2" s="126"/>
      <c r="MMF2" s="126"/>
      <c r="MMG2" s="64"/>
      <c r="MMH2" s="72"/>
      <c r="MMI2" s="145"/>
      <c r="MMJ2" s="145"/>
      <c r="MMK2" s="126"/>
      <c r="MML2" s="126"/>
      <c r="MMM2" s="64"/>
      <c r="MMN2" s="72"/>
      <c r="MMO2" s="145"/>
      <c r="MMP2" s="145"/>
      <c r="MMQ2" s="126"/>
      <c r="MMR2" s="126"/>
      <c r="MMS2" s="64"/>
      <c r="MMT2" s="72"/>
      <c r="MMU2" s="145"/>
      <c r="MMV2" s="145"/>
      <c r="MMW2" s="126"/>
      <c r="MMX2" s="126"/>
      <c r="MMY2" s="64"/>
      <c r="MMZ2" s="72"/>
      <c r="MNA2" s="145"/>
      <c r="MNB2" s="145"/>
      <c r="MNC2" s="126"/>
      <c r="MND2" s="126"/>
      <c r="MNE2" s="64"/>
      <c r="MNF2" s="72"/>
      <c r="MNG2" s="145"/>
      <c r="MNH2" s="145"/>
      <c r="MNI2" s="126"/>
      <c r="MNJ2" s="126"/>
      <c r="MNK2" s="64"/>
      <c r="MNL2" s="72"/>
      <c r="MNM2" s="145"/>
      <c r="MNN2" s="145"/>
      <c r="MNO2" s="126"/>
      <c r="MNP2" s="126"/>
      <c r="MNQ2" s="64"/>
      <c r="MNR2" s="72"/>
      <c r="MNS2" s="145"/>
      <c r="MNT2" s="145"/>
      <c r="MNU2" s="126"/>
      <c r="MNV2" s="126"/>
      <c r="MNW2" s="64"/>
      <c r="MNX2" s="72"/>
      <c r="MNY2" s="145"/>
      <c r="MNZ2" s="145"/>
      <c r="MOA2" s="126"/>
      <c r="MOB2" s="126"/>
      <c r="MOC2" s="64"/>
      <c r="MOD2" s="72"/>
      <c r="MOE2" s="145"/>
      <c r="MOF2" s="145"/>
      <c r="MOG2" s="126"/>
      <c r="MOH2" s="126"/>
      <c r="MOI2" s="64"/>
      <c r="MOJ2" s="72"/>
      <c r="MOK2" s="145"/>
      <c r="MOL2" s="145"/>
      <c r="MOM2" s="126"/>
      <c r="MON2" s="126"/>
      <c r="MOO2" s="64"/>
      <c r="MOP2" s="72"/>
      <c r="MOQ2" s="145"/>
      <c r="MOR2" s="145"/>
      <c r="MOS2" s="126"/>
      <c r="MOT2" s="126"/>
      <c r="MOU2" s="64"/>
      <c r="MOV2" s="72"/>
      <c r="MOW2" s="145"/>
      <c r="MOX2" s="145"/>
      <c r="MOY2" s="126"/>
      <c r="MOZ2" s="126"/>
      <c r="MPA2" s="64"/>
      <c r="MPB2" s="72"/>
      <c r="MPC2" s="145"/>
      <c r="MPD2" s="145"/>
      <c r="MPE2" s="126"/>
      <c r="MPF2" s="126"/>
      <c r="MPG2" s="64"/>
      <c r="MPH2" s="72"/>
      <c r="MPI2" s="145"/>
      <c r="MPJ2" s="145"/>
      <c r="MPK2" s="126"/>
      <c r="MPL2" s="126"/>
      <c r="MPM2" s="64"/>
      <c r="MPN2" s="72"/>
      <c r="MPO2" s="145"/>
      <c r="MPP2" s="145"/>
      <c r="MPQ2" s="126"/>
      <c r="MPR2" s="126"/>
      <c r="MPS2" s="64"/>
      <c r="MPT2" s="72"/>
      <c r="MPU2" s="145"/>
      <c r="MPV2" s="145"/>
      <c r="MPW2" s="126"/>
      <c r="MPX2" s="126"/>
      <c r="MPY2" s="64"/>
      <c r="MPZ2" s="72"/>
      <c r="MQA2" s="145"/>
      <c r="MQB2" s="145"/>
      <c r="MQC2" s="126"/>
      <c r="MQD2" s="126"/>
      <c r="MQE2" s="64"/>
      <c r="MQF2" s="72"/>
      <c r="MQG2" s="145"/>
      <c r="MQH2" s="145"/>
      <c r="MQI2" s="126"/>
      <c r="MQJ2" s="126"/>
      <c r="MQK2" s="64"/>
      <c r="MQL2" s="72"/>
      <c r="MQM2" s="145"/>
      <c r="MQN2" s="145"/>
      <c r="MQO2" s="126"/>
      <c r="MQP2" s="126"/>
      <c r="MQQ2" s="64"/>
      <c r="MQR2" s="72"/>
      <c r="MQS2" s="145"/>
      <c r="MQT2" s="145"/>
      <c r="MQU2" s="126"/>
      <c r="MQV2" s="126"/>
      <c r="MQW2" s="64"/>
      <c r="MQX2" s="72"/>
      <c r="MQY2" s="145"/>
      <c r="MQZ2" s="145"/>
      <c r="MRA2" s="126"/>
      <c r="MRB2" s="126"/>
      <c r="MRC2" s="64"/>
      <c r="MRD2" s="72"/>
      <c r="MRE2" s="145"/>
      <c r="MRF2" s="145"/>
      <c r="MRG2" s="126"/>
      <c r="MRH2" s="126"/>
      <c r="MRI2" s="64"/>
      <c r="MRJ2" s="72"/>
      <c r="MRK2" s="145"/>
      <c r="MRL2" s="145"/>
      <c r="MRM2" s="126"/>
      <c r="MRN2" s="126"/>
      <c r="MRO2" s="64"/>
      <c r="MRP2" s="72"/>
      <c r="MRQ2" s="145"/>
      <c r="MRR2" s="145"/>
      <c r="MRS2" s="126"/>
      <c r="MRT2" s="126"/>
      <c r="MRU2" s="64"/>
      <c r="MRV2" s="72"/>
      <c r="MRW2" s="145"/>
      <c r="MRX2" s="145"/>
      <c r="MRY2" s="126"/>
      <c r="MRZ2" s="126"/>
      <c r="MSA2" s="64"/>
      <c r="MSB2" s="72"/>
      <c r="MSC2" s="145"/>
      <c r="MSD2" s="145"/>
      <c r="MSE2" s="126"/>
      <c r="MSF2" s="126"/>
      <c r="MSG2" s="64"/>
      <c r="MSH2" s="72"/>
      <c r="MSI2" s="145"/>
      <c r="MSJ2" s="145"/>
      <c r="MSK2" s="126"/>
      <c r="MSL2" s="126"/>
      <c r="MSM2" s="64"/>
      <c r="MSN2" s="72"/>
      <c r="MSO2" s="145"/>
      <c r="MSP2" s="145"/>
      <c r="MSQ2" s="126"/>
      <c r="MSR2" s="126"/>
      <c r="MSS2" s="64"/>
      <c r="MST2" s="72"/>
      <c r="MSU2" s="145"/>
      <c r="MSV2" s="145"/>
      <c r="MSW2" s="126"/>
      <c r="MSX2" s="126"/>
      <c r="MSY2" s="64"/>
      <c r="MSZ2" s="72"/>
      <c r="MTA2" s="145"/>
      <c r="MTB2" s="145"/>
      <c r="MTC2" s="126"/>
      <c r="MTD2" s="126"/>
      <c r="MTE2" s="64"/>
      <c r="MTF2" s="72"/>
      <c r="MTG2" s="145"/>
      <c r="MTH2" s="145"/>
      <c r="MTI2" s="126"/>
      <c r="MTJ2" s="126"/>
      <c r="MTK2" s="64"/>
      <c r="MTL2" s="72"/>
      <c r="MTM2" s="145"/>
      <c r="MTN2" s="145"/>
      <c r="MTO2" s="126"/>
      <c r="MTP2" s="126"/>
      <c r="MTQ2" s="64"/>
      <c r="MTR2" s="72"/>
      <c r="MTS2" s="145"/>
      <c r="MTT2" s="145"/>
      <c r="MTU2" s="126"/>
      <c r="MTV2" s="126"/>
      <c r="MTW2" s="64"/>
      <c r="MTX2" s="72"/>
      <c r="MTY2" s="145"/>
      <c r="MTZ2" s="145"/>
      <c r="MUA2" s="126"/>
      <c r="MUB2" s="126"/>
      <c r="MUC2" s="64"/>
      <c r="MUD2" s="72"/>
      <c r="MUE2" s="145"/>
      <c r="MUF2" s="145"/>
      <c r="MUG2" s="126"/>
      <c r="MUH2" s="126"/>
      <c r="MUI2" s="64"/>
      <c r="MUJ2" s="72"/>
      <c r="MUK2" s="145"/>
      <c r="MUL2" s="145"/>
      <c r="MUM2" s="126"/>
      <c r="MUN2" s="126"/>
      <c r="MUO2" s="64"/>
      <c r="MUP2" s="72"/>
      <c r="MUQ2" s="145"/>
      <c r="MUR2" s="145"/>
      <c r="MUS2" s="126"/>
      <c r="MUT2" s="126"/>
      <c r="MUU2" s="64"/>
      <c r="MUV2" s="72"/>
      <c r="MUW2" s="145"/>
      <c r="MUX2" s="145"/>
      <c r="MUY2" s="126"/>
      <c r="MUZ2" s="126"/>
      <c r="MVA2" s="64"/>
      <c r="MVB2" s="72"/>
      <c r="MVC2" s="145"/>
      <c r="MVD2" s="145"/>
      <c r="MVE2" s="126"/>
      <c r="MVF2" s="126"/>
      <c r="MVG2" s="64"/>
      <c r="MVH2" s="72"/>
      <c r="MVI2" s="145"/>
      <c r="MVJ2" s="145"/>
      <c r="MVK2" s="126"/>
      <c r="MVL2" s="126"/>
      <c r="MVM2" s="64"/>
      <c r="MVN2" s="72"/>
      <c r="MVO2" s="145"/>
      <c r="MVP2" s="145"/>
      <c r="MVQ2" s="126"/>
      <c r="MVR2" s="126"/>
      <c r="MVS2" s="64"/>
      <c r="MVT2" s="72"/>
      <c r="MVU2" s="145"/>
      <c r="MVV2" s="145"/>
      <c r="MVW2" s="126"/>
      <c r="MVX2" s="126"/>
      <c r="MVY2" s="64"/>
      <c r="MVZ2" s="72"/>
      <c r="MWA2" s="145"/>
      <c r="MWB2" s="145"/>
      <c r="MWC2" s="126"/>
      <c r="MWD2" s="126"/>
      <c r="MWE2" s="64"/>
      <c r="MWF2" s="72"/>
      <c r="MWG2" s="145"/>
      <c r="MWH2" s="145"/>
      <c r="MWI2" s="126"/>
      <c r="MWJ2" s="126"/>
      <c r="MWK2" s="64"/>
      <c r="MWL2" s="72"/>
      <c r="MWM2" s="145"/>
      <c r="MWN2" s="145"/>
      <c r="MWO2" s="126"/>
      <c r="MWP2" s="126"/>
      <c r="MWQ2" s="64"/>
      <c r="MWR2" s="72"/>
      <c r="MWS2" s="145"/>
      <c r="MWT2" s="145"/>
      <c r="MWU2" s="126"/>
      <c r="MWV2" s="126"/>
      <c r="MWW2" s="64"/>
      <c r="MWX2" s="72"/>
      <c r="MWY2" s="145"/>
      <c r="MWZ2" s="145"/>
      <c r="MXA2" s="126"/>
      <c r="MXB2" s="126"/>
      <c r="MXC2" s="64"/>
      <c r="MXD2" s="72"/>
      <c r="MXE2" s="145"/>
      <c r="MXF2" s="145"/>
      <c r="MXG2" s="126"/>
      <c r="MXH2" s="126"/>
      <c r="MXI2" s="64"/>
      <c r="MXJ2" s="72"/>
      <c r="MXK2" s="145"/>
      <c r="MXL2" s="145"/>
      <c r="MXM2" s="126"/>
      <c r="MXN2" s="126"/>
      <c r="MXO2" s="64"/>
      <c r="MXP2" s="72"/>
      <c r="MXQ2" s="145"/>
      <c r="MXR2" s="145"/>
      <c r="MXS2" s="126"/>
      <c r="MXT2" s="126"/>
      <c r="MXU2" s="64"/>
      <c r="MXV2" s="72"/>
      <c r="MXW2" s="145"/>
      <c r="MXX2" s="145"/>
      <c r="MXY2" s="126"/>
      <c r="MXZ2" s="126"/>
      <c r="MYA2" s="64"/>
      <c r="MYB2" s="72"/>
      <c r="MYC2" s="145"/>
      <c r="MYD2" s="145"/>
      <c r="MYE2" s="126"/>
      <c r="MYF2" s="126"/>
      <c r="MYG2" s="64"/>
      <c r="MYH2" s="72"/>
      <c r="MYI2" s="145"/>
      <c r="MYJ2" s="145"/>
      <c r="MYK2" s="126"/>
      <c r="MYL2" s="126"/>
      <c r="MYM2" s="64"/>
      <c r="MYN2" s="72"/>
      <c r="MYO2" s="145"/>
      <c r="MYP2" s="145"/>
      <c r="MYQ2" s="126"/>
      <c r="MYR2" s="126"/>
      <c r="MYS2" s="64"/>
      <c r="MYT2" s="72"/>
      <c r="MYU2" s="145"/>
      <c r="MYV2" s="145"/>
      <c r="MYW2" s="126"/>
      <c r="MYX2" s="126"/>
      <c r="MYY2" s="64"/>
      <c r="MYZ2" s="72"/>
      <c r="MZA2" s="145"/>
      <c r="MZB2" s="145"/>
      <c r="MZC2" s="126"/>
      <c r="MZD2" s="126"/>
      <c r="MZE2" s="64"/>
      <c r="MZF2" s="72"/>
      <c r="MZG2" s="145"/>
      <c r="MZH2" s="145"/>
      <c r="MZI2" s="126"/>
      <c r="MZJ2" s="126"/>
      <c r="MZK2" s="64"/>
      <c r="MZL2" s="72"/>
      <c r="MZM2" s="145"/>
      <c r="MZN2" s="145"/>
      <c r="MZO2" s="126"/>
      <c r="MZP2" s="126"/>
      <c r="MZQ2" s="64"/>
      <c r="MZR2" s="72"/>
      <c r="MZS2" s="145"/>
      <c r="MZT2" s="145"/>
      <c r="MZU2" s="126"/>
      <c r="MZV2" s="126"/>
      <c r="MZW2" s="64"/>
      <c r="MZX2" s="72"/>
      <c r="MZY2" s="145"/>
      <c r="MZZ2" s="145"/>
      <c r="NAA2" s="126"/>
      <c r="NAB2" s="126"/>
      <c r="NAC2" s="64"/>
      <c r="NAD2" s="72"/>
      <c r="NAE2" s="145"/>
      <c r="NAF2" s="145"/>
      <c r="NAG2" s="126"/>
      <c r="NAH2" s="126"/>
      <c r="NAI2" s="64"/>
      <c r="NAJ2" s="72"/>
      <c r="NAK2" s="145"/>
      <c r="NAL2" s="145"/>
      <c r="NAM2" s="126"/>
      <c r="NAN2" s="126"/>
      <c r="NAO2" s="64"/>
      <c r="NAP2" s="72"/>
      <c r="NAQ2" s="145"/>
      <c r="NAR2" s="145"/>
      <c r="NAS2" s="126"/>
      <c r="NAT2" s="126"/>
      <c r="NAU2" s="64"/>
      <c r="NAV2" s="72"/>
      <c r="NAW2" s="145"/>
      <c r="NAX2" s="145"/>
      <c r="NAY2" s="126"/>
      <c r="NAZ2" s="126"/>
      <c r="NBA2" s="64"/>
      <c r="NBB2" s="72"/>
      <c r="NBC2" s="145"/>
      <c r="NBD2" s="145"/>
      <c r="NBE2" s="126"/>
      <c r="NBF2" s="126"/>
      <c r="NBG2" s="64"/>
      <c r="NBH2" s="72"/>
      <c r="NBI2" s="145"/>
      <c r="NBJ2" s="145"/>
      <c r="NBK2" s="126"/>
      <c r="NBL2" s="126"/>
      <c r="NBM2" s="64"/>
      <c r="NBN2" s="72"/>
      <c r="NBO2" s="145"/>
      <c r="NBP2" s="145"/>
      <c r="NBQ2" s="126"/>
      <c r="NBR2" s="126"/>
      <c r="NBS2" s="64"/>
      <c r="NBT2" s="72"/>
      <c r="NBU2" s="145"/>
      <c r="NBV2" s="145"/>
      <c r="NBW2" s="126"/>
      <c r="NBX2" s="126"/>
      <c r="NBY2" s="64"/>
      <c r="NBZ2" s="72"/>
      <c r="NCA2" s="145"/>
      <c r="NCB2" s="145"/>
      <c r="NCC2" s="126"/>
      <c r="NCD2" s="126"/>
      <c r="NCE2" s="64"/>
      <c r="NCF2" s="72"/>
      <c r="NCG2" s="145"/>
      <c r="NCH2" s="145"/>
      <c r="NCI2" s="126"/>
      <c r="NCJ2" s="126"/>
      <c r="NCK2" s="64"/>
      <c r="NCL2" s="72"/>
      <c r="NCM2" s="145"/>
      <c r="NCN2" s="145"/>
      <c r="NCO2" s="126"/>
      <c r="NCP2" s="126"/>
      <c r="NCQ2" s="64"/>
      <c r="NCR2" s="72"/>
      <c r="NCS2" s="145"/>
      <c r="NCT2" s="145"/>
      <c r="NCU2" s="126"/>
      <c r="NCV2" s="126"/>
      <c r="NCW2" s="64"/>
      <c r="NCX2" s="72"/>
      <c r="NCY2" s="145"/>
      <c r="NCZ2" s="145"/>
      <c r="NDA2" s="126"/>
      <c r="NDB2" s="126"/>
      <c r="NDC2" s="64"/>
      <c r="NDD2" s="72"/>
      <c r="NDE2" s="145"/>
      <c r="NDF2" s="145"/>
      <c r="NDG2" s="126"/>
      <c r="NDH2" s="126"/>
      <c r="NDI2" s="64"/>
      <c r="NDJ2" s="72"/>
      <c r="NDK2" s="145"/>
      <c r="NDL2" s="145"/>
      <c r="NDM2" s="126"/>
      <c r="NDN2" s="126"/>
      <c r="NDO2" s="64"/>
      <c r="NDP2" s="72"/>
      <c r="NDQ2" s="145"/>
      <c r="NDR2" s="145"/>
      <c r="NDS2" s="126"/>
      <c r="NDT2" s="126"/>
      <c r="NDU2" s="64"/>
      <c r="NDV2" s="72"/>
      <c r="NDW2" s="145"/>
      <c r="NDX2" s="145"/>
      <c r="NDY2" s="126"/>
      <c r="NDZ2" s="126"/>
      <c r="NEA2" s="64"/>
      <c r="NEB2" s="72"/>
      <c r="NEC2" s="145"/>
      <c r="NED2" s="145"/>
      <c r="NEE2" s="126"/>
      <c r="NEF2" s="126"/>
      <c r="NEG2" s="64"/>
      <c r="NEH2" s="72"/>
      <c r="NEI2" s="145"/>
      <c r="NEJ2" s="145"/>
      <c r="NEK2" s="126"/>
      <c r="NEL2" s="126"/>
      <c r="NEM2" s="64"/>
      <c r="NEN2" s="72"/>
      <c r="NEO2" s="145"/>
      <c r="NEP2" s="145"/>
      <c r="NEQ2" s="126"/>
      <c r="NER2" s="126"/>
      <c r="NES2" s="64"/>
      <c r="NET2" s="72"/>
      <c r="NEU2" s="145"/>
      <c r="NEV2" s="145"/>
      <c r="NEW2" s="126"/>
      <c r="NEX2" s="126"/>
      <c r="NEY2" s="64"/>
      <c r="NEZ2" s="72"/>
      <c r="NFA2" s="145"/>
      <c r="NFB2" s="145"/>
      <c r="NFC2" s="126"/>
      <c r="NFD2" s="126"/>
      <c r="NFE2" s="64"/>
      <c r="NFF2" s="72"/>
      <c r="NFG2" s="145"/>
      <c r="NFH2" s="145"/>
      <c r="NFI2" s="126"/>
      <c r="NFJ2" s="126"/>
      <c r="NFK2" s="64"/>
      <c r="NFL2" s="72"/>
      <c r="NFM2" s="145"/>
      <c r="NFN2" s="145"/>
      <c r="NFO2" s="126"/>
      <c r="NFP2" s="126"/>
      <c r="NFQ2" s="64"/>
      <c r="NFR2" s="72"/>
      <c r="NFS2" s="145"/>
      <c r="NFT2" s="145"/>
      <c r="NFU2" s="126"/>
      <c r="NFV2" s="126"/>
      <c r="NFW2" s="64"/>
      <c r="NFX2" s="72"/>
      <c r="NFY2" s="145"/>
      <c r="NFZ2" s="145"/>
      <c r="NGA2" s="126"/>
      <c r="NGB2" s="126"/>
      <c r="NGC2" s="64"/>
      <c r="NGD2" s="72"/>
      <c r="NGE2" s="145"/>
      <c r="NGF2" s="145"/>
      <c r="NGG2" s="126"/>
      <c r="NGH2" s="126"/>
      <c r="NGI2" s="64"/>
      <c r="NGJ2" s="72"/>
      <c r="NGK2" s="145"/>
      <c r="NGL2" s="145"/>
      <c r="NGM2" s="126"/>
      <c r="NGN2" s="126"/>
      <c r="NGO2" s="64"/>
      <c r="NGP2" s="72"/>
      <c r="NGQ2" s="145"/>
      <c r="NGR2" s="145"/>
      <c r="NGS2" s="126"/>
      <c r="NGT2" s="126"/>
      <c r="NGU2" s="64"/>
      <c r="NGV2" s="72"/>
      <c r="NGW2" s="145"/>
      <c r="NGX2" s="145"/>
      <c r="NGY2" s="126"/>
      <c r="NGZ2" s="126"/>
      <c r="NHA2" s="64"/>
      <c r="NHB2" s="72"/>
      <c r="NHC2" s="145"/>
      <c r="NHD2" s="145"/>
      <c r="NHE2" s="126"/>
      <c r="NHF2" s="126"/>
      <c r="NHG2" s="64"/>
      <c r="NHH2" s="72"/>
      <c r="NHI2" s="145"/>
      <c r="NHJ2" s="145"/>
      <c r="NHK2" s="126"/>
      <c r="NHL2" s="126"/>
      <c r="NHM2" s="64"/>
      <c r="NHN2" s="72"/>
      <c r="NHO2" s="145"/>
      <c r="NHP2" s="145"/>
      <c r="NHQ2" s="126"/>
      <c r="NHR2" s="126"/>
      <c r="NHS2" s="64"/>
      <c r="NHT2" s="72"/>
      <c r="NHU2" s="145"/>
      <c r="NHV2" s="145"/>
      <c r="NHW2" s="126"/>
      <c r="NHX2" s="126"/>
      <c r="NHY2" s="64"/>
      <c r="NHZ2" s="72"/>
      <c r="NIA2" s="145"/>
      <c r="NIB2" s="145"/>
      <c r="NIC2" s="126"/>
      <c r="NID2" s="126"/>
      <c r="NIE2" s="64"/>
      <c r="NIF2" s="72"/>
      <c r="NIG2" s="145"/>
      <c r="NIH2" s="145"/>
      <c r="NII2" s="126"/>
      <c r="NIJ2" s="126"/>
      <c r="NIK2" s="64"/>
      <c r="NIL2" s="72"/>
      <c r="NIM2" s="145"/>
      <c r="NIN2" s="145"/>
      <c r="NIO2" s="126"/>
      <c r="NIP2" s="126"/>
      <c r="NIQ2" s="64"/>
      <c r="NIR2" s="72"/>
      <c r="NIS2" s="145"/>
      <c r="NIT2" s="145"/>
      <c r="NIU2" s="126"/>
      <c r="NIV2" s="126"/>
      <c r="NIW2" s="64"/>
      <c r="NIX2" s="72"/>
      <c r="NIY2" s="145"/>
      <c r="NIZ2" s="145"/>
      <c r="NJA2" s="126"/>
      <c r="NJB2" s="126"/>
      <c r="NJC2" s="64"/>
      <c r="NJD2" s="72"/>
      <c r="NJE2" s="145"/>
      <c r="NJF2" s="145"/>
      <c r="NJG2" s="126"/>
      <c r="NJH2" s="126"/>
      <c r="NJI2" s="64"/>
      <c r="NJJ2" s="72"/>
      <c r="NJK2" s="145"/>
      <c r="NJL2" s="145"/>
      <c r="NJM2" s="126"/>
      <c r="NJN2" s="126"/>
      <c r="NJO2" s="64"/>
      <c r="NJP2" s="72"/>
      <c r="NJQ2" s="145"/>
      <c r="NJR2" s="145"/>
      <c r="NJS2" s="126"/>
      <c r="NJT2" s="126"/>
      <c r="NJU2" s="64"/>
      <c r="NJV2" s="72"/>
      <c r="NJW2" s="145"/>
      <c r="NJX2" s="145"/>
      <c r="NJY2" s="126"/>
      <c r="NJZ2" s="126"/>
      <c r="NKA2" s="64"/>
      <c r="NKB2" s="72"/>
      <c r="NKC2" s="145"/>
      <c r="NKD2" s="145"/>
      <c r="NKE2" s="126"/>
      <c r="NKF2" s="126"/>
      <c r="NKG2" s="64"/>
      <c r="NKH2" s="72"/>
      <c r="NKI2" s="145"/>
      <c r="NKJ2" s="145"/>
      <c r="NKK2" s="126"/>
      <c r="NKL2" s="126"/>
      <c r="NKM2" s="64"/>
      <c r="NKN2" s="72"/>
      <c r="NKO2" s="145"/>
      <c r="NKP2" s="145"/>
      <c r="NKQ2" s="126"/>
      <c r="NKR2" s="126"/>
      <c r="NKS2" s="64"/>
      <c r="NKT2" s="72"/>
      <c r="NKU2" s="145"/>
      <c r="NKV2" s="145"/>
      <c r="NKW2" s="126"/>
      <c r="NKX2" s="126"/>
      <c r="NKY2" s="64"/>
      <c r="NKZ2" s="72"/>
      <c r="NLA2" s="145"/>
      <c r="NLB2" s="145"/>
      <c r="NLC2" s="126"/>
      <c r="NLD2" s="126"/>
      <c r="NLE2" s="64"/>
      <c r="NLF2" s="72"/>
      <c r="NLG2" s="145"/>
      <c r="NLH2" s="145"/>
      <c r="NLI2" s="126"/>
      <c r="NLJ2" s="126"/>
      <c r="NLK2" s="64"/>
      <c r="NLL2" s="72"/>
      <c r="NLM2" s="145"/>
      <c r="NLN2" s="145"/>
      <c r="NLO2" s="126"/>
      <c r="NLP2" s="126"/>
      <c r="NLQ2" s="64"/>
      <c r="NLR2" s="72"/>
      <c r="NLS2" s="145"/>
      <c r="NLT2" s="145"/>
      <c r="NLU2" s="126"/>
      <c r="NLV2" s="126"/>
      <c r="NLW2" s="64"/>
      <c r="NLX2" s="72"/>
      <c r="NLY2" s="145"/>
      <c r="NLZ2" s="145"/>
      <c r="NMA2" s="126"/>
      <c r="NMB2" s="126"/>
      <c r="NMC2" s="64"/>
      <c r="NMD2" s="72"/>
      <c r="NME2" s="145"/>
      <c r="NMF2" s="145"/>
      <c r="NMG2" s="126"/>
      <c r="NMH2" s="126"/>
      <c r="NMI2" s="64"/>
      <c r="NMJ2" s="72"/>
      <c r="NMK2" s="145"/>
      <c r="NML2" s="145"/>
      <c r="NMM2" s="126"/>
      <c r="NMN2" s="126"/>
      <c r="NMO2" s="64"/>
      <c r="NMP2" s="72"/>
      <c r="NMQ2" s="145"/>
      <c r="NMR2" s="145"/>
      <c r="NMS2" s="126"/>
      <c r="NMT2" s="126"/>
      <c r="NMU2" s="64"/>
      <c r="NMV2" s="72"/>
      <c r="NMW2" s="145"/>
      <c r="NMX2" s="145"/>
      <c r="NMY2" s="126"/>
      <c r="NMZ2" s="126"/>
      <c r="NNA2" s="64"/>
      <c r="NNB2" s="72"/>
      <c r="NNC2" s="145"/>
      <c r="NND2" s="145"/>
      <c r="NNE2" s="126"/>
      <c r="NNF2" s="126"/>
      <c r="NNG2" s="64"/>
      <c r="NNH2" s="72"/>
      <c r="NNI2" s="145"/>
      <c r="NNJ2" s="145"/>
      <c r="NNK2" s="126"/>
      <c r="NNL2" s="126"/>
      <c r="NNM2" s="64"/>
      <c r="NNN2" s="72"/>
      <c r="NNO2" s="145"/>
      <c r="NNP2" s="145"/>
      <c r="NNQ2" s="126"/>
      <c r="NNR2" s="126"/>
      <c r="NNS2" s="64"/>
      <c r="NNT2" s="72"/>
      <c r="NNU2" s="145"/>
      <c r="NNV2" s="145"/>
      <c r="NNW2" s="126"/>
      <c r="NNX2" s="126"/>
      <c r="NNY2" s="64"/>
      <c r="NNZ2" s="72"/>
      <c r="NOA2" s="145"/>
      <c r="NOB2" s="145"/>
      <c r="NOC2" s="126"/>
      <c r="NOD2" s="126"/>
      <c r="NOE2" s="64"/>
      <c r="NOF2" s="72"/>
      <c r="NOG2" s="145"/>
      <c r="NOH2" s="145"/>
      <c r="NOI2" s="126"/>
      <c r="NOJ2" s="126"/>
      <c r="NOK2" s="64"/>
      <c r="NOL2" s="72"/>
      <c r="NOM2" s="145"/>
      <c r="NON2" s="145"/>
      <c r="NOO2" s="126"/>
      <c r="NOP2" s="126"/>
      <c r="NOQ2" s="64"/>
      <c r="NOR2" s="72"/>
      <c r="NOS2" s="145"/>
      <c r="NOT2" s="145"/>
      <c r="NOU2" s="126"/>
      <c r="NOV2" s="126"/>
      <c r="NOW2" s="64"/>
      <c r="NOX2" s="72"/>
      <c r="NOY2" s="145"/>
      <c r="NOZ2" s="145"/>
      <c r="NPA2" s="126"/>
      <c r="NPB2" s="126"/>
      <c r="NPC2" s="64"/>
      <c r="NPD2" s="72"/>
      <c r="NPE2" s="145"/>
      <c r="NPF2" s="145"/>
      <c r="NPG2" s="126"/>
      <c r="NPH2" s="126"/>
      <c r="NPI2" s="64"/>
      <c r="NPJ2" s="72"/>
      <c r="NPK2" s="145"/>
      <c r="NPL2" s="145"/>
      <c r="NPM2" s="126"/>
      <c r="NPN2" s="126"/>
      <c r="NPO2" s="64"/>
      <c r="NPP2" s="72"/>
      <c r="NPQ2" s="145"/>
      <c r="NPR2" s="145"/>
      <c r="NPS2" s="126"/>
      <c r="NPT2" s="126"/>
      <c r="NPU2" s="64"/>
      <c r="NPV2" s="72"/>
      <c r="NPW2" s="145"/>
      <c r="NPX2" s="145"/>
      <c r="NPY2" s="126"/>
      <c r="NPZ2" s="126"/>
      <c r="NQA2" s="64"/>
      <c r="NQB2" s="72"/>
      <c r="NQC2" s="145"/>
      <c r="NQD2" s="145"/>
      <c r="NQE2" s="126"/>
      <c r="NQF2" s="126"/>
      <c r="NQG2" s="64"/>
      <c r="NQH2" s="72"/>
      <c r="NQI2" s="145"/>
      <c r="NQJ2" s="145"/>
      <c r="NQK2" s="126"/>
      <c r="NQL2" s="126"/>
      <c r="NQM2" s="64"/>
      <c r="NQN2" s="72"/>
      <c r="NQO2" s="145"/>
      <c r="NQP2" s="145"/>
      <c r="NQQ2" s="126"/>
      <c r="NQR2" s="126"/>
      <c r="NQS2" s="64"/>
      <c r="NQT2" s="72"/>
      <c r="NQU2" s="145"/>
      <c r="NQV2" s="145"/>
      <c r="NQW2" s="126"/>
      <c r="NQX2" s="126"/>
      <c r="NQY2" s="64"/>
      <c r="NQZ2" s="72"/>
      <c r="NRA2" s="145"/>
      <c r="NRB2" s="145"/>
      <c r="NRC2" s="126"/>
      <c r="NRD2" s="126"/>
      <c r="NRE2" s="64"/>
      <c r="NRF2" s="72"/>
      <c r="NRG2" s="145"/>
      <c r="NRH2" s="145"/>
      <c r="NRI2" s="126"/>
      <c r="NRJ2" s="126"/>
      <c r="NRK2" s="64"/>
      <c r="NRL2" s="72"/>
      <c r="NRM2" s="145"/>
      <c r="NRN2" s="145"/>
      <c r="NRO2" s="126"/>
      <c r="NRP2" s="126"/>
      <c r="NRQ2" s="64"/>
      <c r="NRR2" s="72"/>
      <c r="NRS2" s="145"/>
      <c r="NRT2" s="145"/>
      <c r="NRU2" s="126"/>
      <c r="NRV2" s="126"/>
      <c r="NRW2" s="64"/>
      <c r="NRX2" s="72"/>
      <c r="NRY2" s="145"/>
      <c r="NRZ2" s="145"/>
      <c r="NSA2" s="126"/>
      <c r="NSB2" s="126"/>
      <c r="NSC2" s="64"/>
      <c r="NSD2" s="72"/>
      <c r="NSE2" s="145"/>
      <c r="NSF2" s="145"/>
      <c r="NSG2" s="126"/>
      <c r="NSH2" s="126"/>
      <c r="NSI2" s="64"/>
      <c r="NSJ2" s="72"/>
      <c r="NSK2" s="145"/>
      <c r="NSL2" s="145"/>
      <c r="NSM2" s="126"/>
      <c r="NSN2" s="126"/>
      <c r="NSO2" s="64"/>
      <c r="NSP2" s="72"/>
      <c r="NSQ2" s="145"/>
      <c r="NSR2" s="145"/>
      <c r="NSS2" s="126"/>
      <c r="NST2" s="126"/>
      <c r="NSU2" s="64"/>
      <c r="NSV2" s="72"/>
      <c r="NSW2" s="145"/>
      <c r="NSX2" s="145"/>
      <c r="NSY2" s="126"/>
      <c r="NSZ2" s="126"/>
      <c r="NTA2" s="64"/>
      <c r="NTB2" s="72"/>
      <c r="NTC2" s="145"/>
      <c r="NTD2" s="145"/>
      <c r="NTE2" s="126"/>
      <c r="NTF2" s="126"/>
      <c r="NTG2" s="64"/>
      <c r="NTH2" s="72"/>
      <c r="NTI2" s="145"/>
      <c r="NTJ2" s="145"/>
      <c r="NTK2" s="126"/>
      <c r="NTL2" s="126"/>
      <c r="NTM2" s="64"/>
      <c r="NTN2" s="72"/>
      <c r="NTO2" s="145"/>
      <c r="NTP2" s="145"/>
      <c r="NTQ2" s="126"/>
      <c r="NTR2" s="126"/>
      <c r="NTS2" s="64"/>
      <c r="NTT2" s="72"/>
      <c r="NTU2" s="145"/>
      <c r="NTV2" s="145"/>
      <c r="NTW2" s="126"/>
      <c r="NTX2" s="126"/>
      <c r="NTY2" s="64"/>
      <c r="NTZ2" s="72"/>
      <c r="NUA2" s="145"/>
      <c r="NUB2" s="145"/>
      <c r="NUC2" s="126"/>
      <c r="NUD2" s="126"/>
      <c r="NUE2" s="64"/>
      <c r="NUF2" s="72"/>
      <c r="NUG2" s="145"/>
      <c r="NUH2" s="145"/>
      <c r="NUI2" s="126"/>
      <c r="NUJ2" s="126"/>
      <c r="NUK2" s="64"/>
      <c r="NUL2" s="72"/>
      <c r="NUM2" s="145"/>
      <c r="NUN2" s="145"/>
      <c r="NUO2" s="126"/>
      <c r="NUP2" s="126"/>
      <c r="NUQ2" s="64"/>
      <c r="NUR2" s="72"/>
      <c r="NUS2" s="145"/>
      <c r="NUT2" s="145"/>
      <c r="NUU2" s="126"/>
      <c r="NUV2" s="126"/>
      <c r="NUW2" s="64"/>
      <c r="NUX2" s="72"/>
      <c r="NUY2" s="145"/>
      <c r="NUZ2" s="145"/>
      <c r="NVA2" s="126"/>
      <c r="NVB2" s="126"/>
      <c r="NVC2" s="64"/>
      <c r="NVD2" s="72"/>
      <c r="NVE2" s="145"/>
      <c r="NVF2" s="145"/>
      <c r="NVG2" s="126"/>
      <c r="NVH2" s="126"/>
      <c r="NVI2" s="64"/>
      <c r="NVJ2" s="72"/>
      <c r="NVK2" s="145"/>
      <c r="NVL2" s="145"/>
      <c r="NVM2" s="126"/>
      <c r="NVN2" s="126"/>
      <c r="NVO2" s="64"/>
      <c r="NVP2" s="72"/>
      <c r="NVQ2" s="145"/>
      <c r="NVR2" s="145"/>
      <c r="NVS2" s="126"/>
      <c r="NVT2" s="126"/>
      <c r="NVU2" s="64"/>
      <c r="NVV2" s="72"/>
      <c r="NVW2" s="145"/>
      <c r="NVX2" s="145"/>
      <c r="NVY2" s="126"/>
      <c r="NVZ2" s="126"/>
      <c r="NWA2" s="64"/>
      <c r="NWB2" s="72"/>
      <c r="NWC2" s="145"/>
      <c r="NWD2" s="145"/>
      <c r="NWE2" s="126"/>
      <c r="NWF2" s="126"/>
      <c r="NWG2" s="64"/>
      <c r="NWH2" s="72"/>
      <c r="NWI2" s="145"/>
      <c r="NWJ2" s="145"/>
      <c r="NWK2" s="126"/>
      <c r="NWL2" s="126"/>
      <c r="NWM2" s="64"/>
      <c r="NWN2" s="72"/>
      <c r="NWO2" s="145"/>
      <c r="NWP2" s="145"/>
      <c r="NWQ2" s="126"/>
      <c r="NWR2" s="126"/>
      <c r="NWS2" s="64"/>
      <c r="NWT2" s="72"/>
      <c r="NWU2" s="145"/>
      <c r="NWV2" s="145"/>
      <c r="NWW2" s="126"/>
      <c r="NWX2" s="126"/>
      <c r="NWY2" s="64"/>
      <c r="NWZ2" s="72"/>
      <c r="NXA2" s="145"/>
      <c r="NXB2" s="145"/>
      <c r="NXC2" s="126"/>
      <c r="NXD2" s="126"/>
      <c r="NXE2" s="64"/>
      <c r="NXF2" s="72"/>
      <c r="NXG2" s="145"/>
      <c r="NXH2" s="145"/>
      <c r="NXI2" s="126"/>
      <c r="NXJ2" s="126"/>
      <c r="NXK2" s="64"/>
      <c r="NXL2" s="72"/>
      <c r="NXM2" s="145"/>
      <c r="NXN2" s="145"/>
      <c r="NXO2" s="126"/>
      <c r="NXP2" s="126"/>
      <c r="NXQ2" s="64"/>
      <c r="NXR2" s="72"/>
      <c r="NXS2" s="145"/>
      <c r="NXT2" s="145"/>
      <c r="NXU2" s="126"/>
      <c r="NXV2" s="126"/>
      <c r="NXW2" s="64"/>
      <c r="NXX2" s="72"/>
      <c r="NXY2" s="145"/>
      <c r="NXZ2" s="145"/>
      <c r="NYA2" s="126"/>
      <c r="NYB2" s="126"/>
      <c r="NYC2" s="64"/>
      <c r="NYD2" s="72"/>
      <c r="NYE2" s="145"/>
      <c r="NYF2" s="145"/>
      <c r="NYG2" s="126"/>
      <c r="NYH2" s="126"/>
      <c r="NYI2" s="64"/>
      <c r="NYJ2" s="72"/>
      <c r="NYK2" s="145"/>
      <c r="NYL2" s="145"/>
      <c r="NYM2" s="126"/>
      <c r="NYN2" s="126"/>
      <c r="NYO2" s="64"/>
      <c r="NYP2" s="72"/>
      <c r="NYQ2" s="145"/>
      <c r="NYR2" s="145"/>
      <c r="NYS2" s="126"/>
      <c r="NYT2" s="126"/>
      <c r="NYU2" s="64"/>
      <c r="NYV2" s="72"/>
      <c r="NYW2" s="145"/>
      <c r="NYX2" s="145"/>
      <c r="NYY2" s="126"/>
      <c r="NYZ2" s="126"/>
      <c r="NZA2" s="64"/>
      <c r="NZB2" s="72"/>
      <c r="NZC2" s="145"/>
      <c r="NZD2" s="145"/>
      <c r="NZE2" s="126"/>
      <c r="NZF2" s="126"/>
      <c r="NZG2" s="64"/>
      <c r="NZH2" s="72"/>
      <c r="NZI2" s="145"/>
      <c r="NZJ2" s="145"/>
      <c r="NZK2" s="126"/>
      <c r="NZL2" s="126"/>
      <c r="NZM2" s="64"/>
      <c r="NZN2" s="72"/>
      <c r="NZO2" s="145"/>
      <c r="NZP2" s="145"/>
      <c r="NZQ2" s="126"/>
      <c r="NZR2" s="126"/>
      <c r="NZS2" s="64"/>
      <c r="NZT2" s="72"/>
      <c r="NZU2" s="145"/>
      <c r="NZV2" s="145"/>
      <c r="NZW2" s="126"/>
      <c r="NZX2" s="126"/>
      <c r="NZY2" s="64"/>
      <c r="NZZ2" s="72"/>
      <c r="OAA2" s="145"/>
      <c r="OAB2" s="145"/>
      <c r="OAC2" s="126"/>
      <c r="OAD2" s="126"/>
      <c r="OAE2" s="64"/>
      <c r="OAF2" s="72"/>
      <c r="OAG2" s="145"/>
      <c r="OAH2" s="145"/>
      <c r="OAI2" s="126"/>
      <c r="OAJ2" s="126"/>
      <c r="OAK2" s="64"/>
      <c r="OAL2" s="72"/>
      <c r="OAM2" s="145"/>
      <c r="OAN2" s="145"/>
      <c r="OAO2" s="126"/>
      <c r="OAP2" s="126"/>
      <c r="OAQ2" s="64"/>
      <c r="OAR2" s="72"/>
      <c r="OAS2" s="145"/>
      <c r="OAT2" s="145"/>
      <c r="OAU2" s="126"/>
      <c r="OAV2" s="126"/>
      <c r="OAW2" s="64"/>
      <c r="OAX2" s="72"/>
      <c r="OAY2" s="145"/>
      <c r="OAZ2" s="145"/>
      <c r="OBA2" s="126"/>
      <c r="OBB2" s="126"/>
      <c r="OBC2" s="64"/>
      <c r="OBD2" s="72"/>
      <c r="OBE2" s="145"/>
      <c r="OBF2" s="145"/>
      <c r="OBG2" s="126"/>
      <c r="OBH2" s="126"/>
      <c r="OBI2" s="64"/>
      <c r="OBJ2" s="72"/>
      <c r="OBK2" s="145"/>
      <c r="OBL2" s="145"/>
      <c r="OBM2" s="126"/>
      <c r="OBN2" s="126"/>
      <c r="OBO2" s="64"/>
      <c r="OBP2" s="72"/>
      <c r="OBQ2" s="145"/>
      <c r="OBR2" s="145"/>
      <c r="OBS2" s="126"/>
      <c r="OBT2" s="126"/>
      <c r="OBU2" s="64"/>
      <c r="OBV2" s="72"/>
      <c r="OBW2" s="145"/>
      <c r="OBX2" s="145"/>
      <c r="OBY2" s="126"/>
      <c r="OBZ2" s="126"/>
      <c r="OCA2" s="64"/>
      <c r="OCB2" s="72"/>
      <c r="OCC2" s="145"/>
      <c r="OCD2" s="145"/>
      <c r="OCE2" s="126"/>
      <c r="OCF2" s="126"/>
      <c r="OCG2" s="64"/>
      <c r="OCH2" s="72"/>
      <c r="OCI2" s="145"/>
      <c r="OCJ2" s="145"/>
      <c r="OCK2" s="126"/>
      <c r="OCL2" s="126"/>
      <c r="OCM2" s="64"/>
      <c r="OCN2" s="72"/>
      <c r="OCO2" s="145"/>
      <c r="OCP2" s="145"/>
      <c r="OCQ2" s="126"/>
      <c r="OCR2" s="126"/>
      <c r="OCS2" s="64"/>
      <c r="OCT2" s="72"/>
      <c r="OCU2" s="145"/>
      <c r="OCV2" s="145"/>
      <c r="OCW2" s="126"/>
      <c r="OCX2" s="126"/>
      <c r="OCY2" s="64"/>
      <c r="OCZ2" s="72"/>
      <c r="ODA2" s="145"/>
      <c r="ODB2" s="145"/>
      <c r="ODC2" s="126"/>
      <c r="ODD2" s="126"/>
      <c r="ODE2" s="64"/>
      <c r="ODF2" s="72"/>
      <c r="ODG2" s="145"/>
      <c r="ODH2" s="145"/>
      <c r="ODI2" s="126"/>
      <c r="ODJ2" s="126"/>
      <c r="ODK2" s="64"/>
      <c r="ODL2" s="72"/>
      <c r="ODM2" s="145"/>
      <c r="ODN2" s="145"/>
      <c r="ODO2" s="126"/>
      <c r="ODP2" s="126"/>
      <c r="ODQ2" s="64"/>
      <c r="ODR2" s="72"/>
      <c r="ODS2" s="145"/>
      <c r="ODT2" s="145"/>
      <c r="ODU2" s="126"/>
      <c r="ODV2" s="126"/>
      <c r="ODW2" s="64"/>
      <c r="ODX2" s="72"/>
      <c r="ODY2" s="145"/>
      <c r="ODZ2" s="145"/>
      <c r="OEA2" s="126"/>
      <c r="OEB2" s="126"/>
      <c r="OEC2" s="64"/>
      <c r="OED2" s="72"/>
      <c r="OEE2" s="145"/>
      <c r="OEF2" s="145"/>
      <c r="OEG2" s="126"/>
      <c r="OEH2" s="126"/>
      <c r="OEI2" s="64"/>
      <c r="OEJ2" s="72"/>
      <c r="OEK2" s="145"/>
      <c r="OEL2" s="145"/>
      <c r="OEM2" s="126"/>
      <c r="OEN2" s="126"/>
      <c r="OEO2" s="64"/>
      <c r="OEP2" s="72"/>
      <c r="OEQ2" s="145"/>
      <c r="OER2" s="145"/>
      <c r="OES2" s="126"/>
      <c r="OET2" s="126"/>
      <c r="OEU2" s="64"/>
      <c r="OEV2" s="72"/>
      <c r="OEW2" s="145"/>
      <c r="OEX2" s="145"/>
      <c r="OEY2" s="126"/>
      <c r="OEZ2" s="126"/>
      <c r="OFA2" s="64"/>
      <c r="OFB2" s="72"/>
      <c r="OFC2" s="145"/>
      <c r="OFD2" s="145"/>
      <c r="OFE2" s="126"/>
      <c r="OFF2" s="126"/>
      <c r="OFG2" s="64"/>
      <c r="OFH2" s="72"/>
      <c r="OFI2" s="145"/>
      <c r="OFJ2" s="145"/>
      <c r="OFK2" s="126"/>
      <c r="OFL2" s="126"/>
      <c r="OFM2" s="64"/>
      <c r="OFN2" s="72"/>
      <c r="OFO2" s="145"/>
      <c r="OFP2" s="145"/>
      <c r="OFQ2" s="126"/>
      <c r="OFR2" s="126"/>
      <c r="OFS2" s="64"/>
      <c r="OFT2" s="72"/>
      <c r="OFU2" s="145"/>
      <c r="OFV2" s="145"/>
      <c r="OFW2" s="126"/>
      <c r="OFX2" s="126"/>
      <c r="OFY2" s="64"/>
      <c r="OFZ2" s="72"/>
      <c r="OGA2" s="145"/>
      <c r="OGB2" s="145"/>
      <c r="OGC2" s="126"/>
      <c r="OGD2" s="126"/>
      <c r="OGE2" s="64"/>
      <c r="OGF2" s="72"/>
      <c r="OGG2" s="145"/>
      <c r="OGH2" s="145"/>
      <c r="OGI2" s="126"/>
      <c r="OGJ2" s="126"/>
      <c r="OGK2" s="64"/>
      <c r="OGL2" s="72"/>
      <c r="OGM2" s="145"/>
      <c r="OGN2" s="145"/>
      <c r="OGO2" s="126"/>
      <c r="OGP2" s="126"/>
      <c r="OGQ2" s="64"/>
      <c r="OGR2" s="72"/>
      <c r="OGS2" s="145"/>
      <c r="OGT2" s="145"/>
      <c r="OGU2" s="126"/>
      <c r="OGV2" s="126"/>
      <c r="OGW2" s="64"/>
      <c r="OGX2" s="72"/>
      <c r="OGY2" s="145"/>
      <c r="OGZ2" s="145"/>
      <c r="OHA2" s="126"/>
      <c r="OHB2" s="126"/>
      <c r="OHC2" s="64"/>
      <c r="OHD2" s="72"/>
      <c r="OHE2" s="145"/>
      <c r="OHF2" s="145"/>
      <c r="OHG2" s="126"/>
      <c r="OHH2" s="126"/>
      <c r="OHI2" s="64"/>
      <c r="OHJ2" s="72"/>
      <c r="OHK2" s="145"/>
      <c r="OHL2" s="145"/>
      <c r="OHM2" s="126"/>
      <c r="OHN2" s="126"/>
      <c r="OHO2" s="64"/>
      <c r="OHP2" s="72"/>
      <c r="OHQ2" s="145"/>
      <c r="OHR2" s="145"/>
      <c r="OHS2" s="126"/>
      <c r="OHT2" s="126"/>
      <c r="OHU2" s="64"/>
      <c r="OHV2" s="72"/>
      <c r="OHW2" s="145"/>
      <c r="OHX2" s="145"/>
      <c r="OHY2" s="126"/>
      <c r="OHZ2" s="126"/>
      <c r="OIA2" s="64"/>
      <c r="OIB2" s="72"/>
      <c r="OIC2" s="145"/>
      <c r="OID2" s="145"/>
      <c r="OIE2" s="126"/>
      <c r="OIF2" s="126"/>
      <c r="OIG2" s="64"/>
      <c r="OIH2" s="72"/>
      <c r="OII2" s="145"/>
      <c r="OIJ2" s="145"/>
      <c r="OIK2" s="126"/>
      <c r="OIL2" s="126"/>
      <c r="OIM2" s="64"/>
      <c r="OIN2" s="72"/>
      <c r="OIO2" s="145"/>
      <c r="OIP2" s="145"/>
      <c r="OIQ2" s="126"/>
      <c r="OIR2" s="126"/>
      <c r="OIS2" s="64"/>
      <c r="OIT2" s="72"/>
      <c r="OIU2" s="145"/>
      <c r="OIV2" s="145"/>
      <c r="OIW2" s="126"/>
      <c r="OIX2" s="126"/>
      <c r="OIY2" s="64"/>
      <c r="OIZ2" s="72"/>
      <c r="OJA2" s="145"/>
      <c r="OJB2" s="145"/>
      <c r="OJC2" s="126"/>
      <c r="OJD2" s="126"/>
      <c r="OJE2" s="64"/>
      <c r="OJF2" s="72"/>
      <c r="OJG2" s="145"/>
      <c r="OJH2" s="145"/>
      <c r="OJI2" s="126"/>
      <c r="OJJ2" s="126"/>
      <c r="OJK2" s="64"/>
      <c r="OJL2" s="72"/>
      <c r="OJM2" s="145"/>
      <c r="OJN2" s="145"/>
      <c r="OJO2" s="126"/>
      <c r="OJP2" s="126"/>
      <c r="OJQ2" s="64"/>
      <c r="OJR2" s="72"/>
      <c r="OJS2" s="145"/>
      <c r="OJT2" s="145"/>
      <c r="OJU2" s="126"/>
      <c r="OJV2" s="126"/>
      <c r="OJW2" s="64"/>
      <c r="OJX2" s="72"/>
      <c r="OJY2" s="145"/>
      <c r="OJZ2" s="145"/>
      <c r="OKA2" s="126"/>
      <c r="OKB2" s="126"/>
      <c r="OKC2" s="64"/>
      <c r="OKD2" s="72"/>
      <c r="OKE2" s="145"/>
      <c r="OKF2" s="145"/>
      <c r="OKG2" s="126"/>
      <c r="OKH2" s="126"/>
      <c r="OKI2" s="64"/>
      <c r="OKJ2" s="72"/>
      <c r="OKK2" s="145"/>
      <c r="OKL2" s="145"/>
      <c r="OKM2" s="126"/>
      <c r="OKN2" s="126"/>
      <c r="OKO2" s="64"/>
      <c r="OKP2" s="72"/>
      <c r="OKQ2" s="145"/>
      <c r="OKR2" s="145"/>
      <c r="OKS2" s="126"/>
      <c r="OKT2" s="126"/>
      <c r="OKU2" s="64"/>
      <c r="OKV2" s="72"/>
      <c r="OKW2" s="145"/>
      <c r="OKX2" s="145"/>
      <c r="OKY2" s="126"/>
      <c r="OKZ2" s="126"/>
      <c r="OLA2" s="64"/>
      <c r="OLB2" s="72"/>
      <c r="OLC2" s="145"/>
      <c r="OLD2" s="145"/>
      <c r="OLE2" s="126"/>
      <c r="OLF2" s="126"/>
      <c r="OLG2" s="64"/>
      <c r="OLH2" s="72"/>
      <c r="OLI2" s="145"/>
      <c r="OLJ2" s="145"/>
      <c r="OLK2" s="126"/>
      <c r="OLL2" s="126"/>
      <c r="OLM2" s="64"/>
      <c r="OLN2" s="72"/>
      <c r="OLO2" s="145"/>
      <c r="OLP2" s="145"/>
      <c r="OLQ2" s="126"/>
      <c r="OLR2" s="126"/>
      <c r="OLS2" s="64"/>
      <c r="OLT2" s="72"/>
      <c r="OLU2" s="145"/>
      <c r="OLV2" s="145"/>
      <c r="OLW2" s="126"/>
      <c r="OLX2" s="126"/>
      <c r="OLY2" s="64"/>
      <c r="OLZ2" s="72"/>
      <c r="OMA2" s="145"/>
      <c r="OMB2" s="145"/>
      <c r="OMC2" s="126"/>
      <c r="OMD2" s="126"/>
      <c r="OME2" s="64"/>
      <c r="OMF2" s="72"/>
      <c r="OMG2" s="145"/>
      <c r="OMH2" s="145"/>
      <c r="OMI2" s="126"/>
      <c r="OMJ2" s="126"/>
      <c r="OMK2" s="64"/>
      <c r="OML2" s="72"/>
      <c r="OMM2" s="145"/>
      <c r="OMN2" s="145"/>
      <c r="OMO2" s="126"/>
      <c r="OMP2" s="126"/>
      <c r="OMQ2" s="64"/>
      <c r="OMR2" s="72"/>
      <c r="OMS2" s="145"/>
      <c r="OMT2" s="145"/>
      <c r="OMU2" s="126"/>
      <c r="OMV2" s="126"/>
      <c r="OMW2" s="64"/>
      <c r="OMX2" s="72"/>
      <c r="OMY2" s="145"/>
      <c r="OMZ2" s="145"/>
      <c r="ONA2" s="126"/>
      <c r="ONB2" s="126"/>
      <c r="ONC2" s="64"/>
      <c r="OND2" s="72"/>
      <c r="ONE2" s="145"/>
      <c r="ONF2" s="145"/>
      <c r="ONG2" s="126"/>
      <c r="ONH2" s="126"/>
      <c r="ONI2" s="64"/>
      <c r="ONJ2" s="72"/>
      <c r="ONK2" s="145"/>
      <c r="ONL2" s="145"/>
      <c r="ONM2" s="126"/>
      <c r="ONN2" s="126"/>
      <c r="ONO2" s="64"/>
      <c r="ONP2" s="72"/>
      <c r="ONQ2" s="145"/>
      <c r="ONR2" s="145"/>
      <c r="ONS2" s="126"/>
      <c r="ONT2" s="126"/>
      <c r="ONU2" s="64"/>
      <c r="ONV2" s="72"/>
      <c r="ONW2" s="145"/>
      <c r="ONX2" s="145"/>
      <c r="ONY2" s="126"/>
      <c r="ONZ2" s="126"/>
      <c r="OOA2" s="64"/>
      <c r="OOB2" s="72"/>
      <c r="OOC2" s="145"/>
      <c r="OOD2" s="145"/>
      <c r="OOE2" s="126"/>
      <c r="OOF2" s="126"/>
      <c r="OOG2" s="64"/>
      <c r="OOH2" s="72"/>
      <c r="OOI2" s="145"/>
      <c r="OOJ2" s="145"/>
      <c r="OOK2" s="126"/>
      <c r="OOL2" s="126"/>
      <c r="OOM2" s="64"/>
      <c r="OON2" s="72"/>
      <c r="OOO2" s="145"/>
      <c r="OOP2" s="145"/>
      <c r="OOQ2" s="126"/>
      <c r="OOR2" s="126"/>
      <c r="OOS2" s="64"/>
      <c r="OOT2" s="72"/>
      <c r="OOU2" s="145"/>
      <c r="OOV2" s="145"/>
      <c r="OOW2" s="126"/>
      <c r="OOX2" s="126"/>
      <c r="OOY2" s="64"/>
      <c r="OOZ2" s="72"/>
      <c r="OPA2" s="145"/>
      <c r="OPB2" s="145"/>
      <c r="OPC2" s="126"/>
      <c r="OPD2" s="126"/>
      <c r="OPE2" s="64"/>
      <c r="OPF2" s="72"/>
      <c r="OPG2" s="145"/>
      <c r="OPH2" s="145"/>
      <c r="OPI2" s="126"/>
      <c r="OPJ2" s="126"/>
      <c r="OPK2" s="64"/>
      <c r="OPL2" s="72"/>
      <c r="OPM2" s="145"/>
      <c r="OPN2" s="145"/>
      <c r="OPO2" s="126"/>
      <c r="OPP2" s="126"/>
      <c r="OPQ2" s="64"/>
      <c r="OPR2" s="72"/>
      <c r="OPS2" s="145"/>
      <c r="OPT2" s="145"/>
      <c r="OPU2" s="126"/>
      <c r="OPV2" s="126"/>
      <c r="OPW2" s="64"/>
      <c r="OPX2" s="72"/>
      <c r="OPY2" s="145"/>
      <c r="OPZ2" s="145"/>
      <c r="OQA2" s="126"/>
      <c r="OQB2" s="126"/>
      <c r="OQC2" s="64"/>
      <c r="OQD2" s="72"/>
      <c r="OQE2" s="145"/>
      <c r="OQF2" s="145"/>
      <c r="OQG2" s="126"/>
      <c r="OQH2" s="126"/>
      <c r="OQI2" s="64"/>
      <c r="OQJ2" s="72"/>
      <c r="OQK2" s="145"/>
      <c r="OQL2" s="145"/>
      <c r="OQM2" s="126"/>
      <c r="OQN2" s="126"/>
      <c r="OQO2" s="64"/>
      <c r="OQP2" s="72"/>
      <c r="OQQ2" s="145"/>
      <c r="OQR2" s="145"/>
      <c r="OQS2" s="126"/>
      <c r="OQT2" s="126"/>
      <c r="OQU2" s="64"/>
      <c r="OQV2" s="72"/>
      <c r="OQW2" s="145"/>
      <c r="OQX2" s="145"/>
      <c r="OQY2" s="126"/>
      <c r="OQZ2" s="126"/>
      <c r="ORA2" s="64"/>
      <c r="ORB2" s="72"/>
      <c r="ORC2" s="145"/>
      <c r="ORD2" s="145"/>
      <c r="ORE2" s="126"/>
      <c r="ORF2" s="126"/>
      <c r="ORG2" s="64"/>
      <c r="ORH2" s="72"/>
      <c r="ORI2" s="145"/>
      <c r="ORJ2" s="145"/>
      <c r="ORK2" s="126"/>
      <c r="ORL2" s="126"/>
      <c r="ORM2" s="64"/>
      <c r="ORN2" s="72"/>
      <c r="ORO2" s="145"/>
      <c r="ORP2" s="145"/>
      <c r="ORQ2" s="126"/>
      <c r="ORR2" s="126"/>
      <c r="ORS2" s="64"/>
      <c r="ORT2" s="72"/>
      <c r="ORU2" s="145"/>
      <c r="ORV2" s="145"/>
      <c r="ORW2" s="126"/>
      <c r="ORX2" s="126"/>
      <c r="ORY2" s="64"/>
      <c r="ORZ2" s="72"/>
      <c r="OSA2" s="145"/>
      <c r="OSB2" s="145"/>
      <c r="OSC2" s="126"/>
      <c r="OSD2" s="126"/>
      <c r="OSE2" s="64"/>
      <c r="OSF2" s="72"/>
      <c r="OSG2" s="145"/>
      <c r="OSH2" s="145"/>
      <c r="OSI2" s="126"/>
      <c r="OSJ2" s="126"/>
      <c r="OSK2" s="64"/>
      <c r="OSL2" s="72"/>
      <c r="OSM2" s="145"/>
      <c r="OSN2" s="145"/>
      <c r="OSO2" s="126"/>
      <c r="OSP2" s="126"/>
      <c r="OSQ2" s="64"/>
      <c r="OSR2" s="72"/>
      <c r="OSS2" s="145"/>
      <c r="OST2" s="145"/>
      <c r="OSU2" s="126"/>
      <c r="OSV2" s="126"/>
      <c r="OSW2" s="64"/>
      <c r="OSX2" s="72"/>
      <c r="OSY2" s="145"/>
      <c r="OSZ2" s="145"/>
      <c r="OTA2" s="126"/>
      <c r="OTB2" s="126"/>
      <c r="OTC2" s="64"/>
      <c r="OTD2" s="72"/>
      <c r="OTE2" s="145"/>
      <c r="OTF2" s="145"/>
      <c r="OTG2" s="126"/>
      <c r="OTH2" s="126"/>
      <c r="OTI2" s="64"/>
      <c r="OTJ2" s="72"/>
      <c r="OTK2" s="145"/>
      <c r="OTL2" s="145"/>
      <c r="OTM2" s="126"/>
      <c r="OTN2" s="126"/>
      <c r="OTO2" s="64"/>
      <c r="OTP2" s="72"/>
      <c r="OTQ2" s="145"/>
      <c r="OTR2" s="145"/>
      <c r="OTS2" s="126"/>
      <c r="OTT2" s="126"/>
      <c r="OTU2" s="64"/>
      <c r="OTV2" s="72"/>
      <c r="OTW2" s="145"/>
      <c r="OTX2" s="145"/>
      <c r="OTY2" s="126"/>
      <c r="OTZ2" s="126"/>
      <c r="OUA2" s="64"/>
      <c r="OUB2" s="72"/>
      <c r="OUC2" s="145"/>
      <c r="OUD2" s="145"/>
      <c r="OUE2" s="126"/>
      <c r="OUF2" s="126"/>
      <c r="OUG2" s="64"/>
      <c r="OUH2" s="72"/>
      <c r="OUI2" s="145"/>
      <c r="OUJ2" s="145"/>
      <c r="OUK2" s="126"/>
      <c r="OUL2" s="126"/>
      <c r="OUM2" s="64"/>
      <c r="OUN2" s="72"/>
      <c r="OUO2" s="145"/>
      <c r="OUP2" s="145"/>
      <c r="OUQ2" s="126"/>
      <c r="OUR2" s="126"/>
      <c r="OUS2" s="64"/>
      <c r="OUT2" s="72"/>
      <c r="OUU2" s="145"/>
      <c r="OUV2" s="145"/>
      <c r="OUW2" s="126"/>
      <c r="OUX2" s="126"/>
      <c r="OUY2" s="64"/>
      <c r="OUZ2" s="72"/>
      <c r="OVA2" s="145"/>
      <c r="OVB2" s="145"/>
      <c r="OVC2" s="126"/>
      <c r="OVD2" s="126"/>
      <c r="OVE2" s="64"/>
      <c r="OVF2" s="72"/>
      <c r="OVG2" s="145"/>
      <c r="OVH2" s="145"/>
      <c r="OVI2" s="126"/>
      <c r="OVJ2" s="126"/>
      <c r="OVK2" s="64"/>
      <c r="OVL2" s="72"/>
      <c r="OVM2" s="145"/>
      <c r="OVN2" s="145"/>
      <c r="OVO2" s="126"/>
      <c r="OVP2" s="126"/>
      <c r="OVQ2" s="64"/>
      <c r="OVR2" s="72"/>
      <c r="OVS2" s="145"/>
      <c r="OVT2" s="145"/>
      <c r="OVU2" s="126"/>
      <c r="OVV2" s="126"/>
      <c r="OVW2" s="64"/>
      <c r="OVX2" s="72"/>
      <c r="OVY2" s="145"/>
      <c r="OVZ2" s="145"/>
      <c r="OWA2" s="126"/>
      <c r="OWB2" s="126"/>
      <c r="OWC2" s="64"/>
      <c r="OWD2" s="72"/>
      <c r="OWE2" s="145"/>
      <c r="OWF2" s="145"/>
      <c r="OWG2" s="126"/>
      <c r="OWH2" s="126"/>
      <c r="OWI2" s="64"/>
      <c r="OWJ2" s="72"/>
      <c r="OWK2" s="145"/>
      <c r="OWL2" s="145"/>
      <c r="OWM2" s="126"/>
      <c r="OWN2" s="126"/>
      <c r="OWO2" s="64"/>
      <c r="OWP2" s="72"/>
      <c r="OWQ2" s="145"/>
      <c r="OWR2" s="145"/>
      <c r="OWS2" s="126"/>
      <c r="OWT2" s="126"/>
      <c r="OWU2" s="64"/>
      <c r="OWV2" s="72"/>
      <c r="OWW2" s="145"/>
      <c r="OWX2" s="145"/>
      <c r="OWY2" s="126"/>
      <c r="OWZ2" s="126"/>
      <c r="OXA2" s="64"/>
      <c r="OXB2" s="72"/>
      <c r="OXC2" s="145"/>
      <c r="OXD2" s="145"/>
      <c r="OXE2" s="126"/>
      <c r="OXF2" s="126"/>
      <c r="OXG2" s="64"/>
      <c r="OXH2" s="72"/>
      <c r="OXI2" s="145"/>
      <c r="OXJ2" s="145"/>
      <c r="OXK2" s="126"/>
      <c r="OXL2" s="126"/>
      <c r="OXM2" s="64"/>
      <c r="OXN2" s="72"/>
      <c r="OXO2" s="145"/>
      <c r="OXP2" s="145"/>
      <c r="OXQ2" s="126"/>
      <c r="OXR2" s="126"/>
      <c r="OXS2" s="64"/>
      <c r="OXT2" s="72"/>
      <c r="OXU2" s="145"/>
      <c r="OXV2" s="145"/>
      <c r="OXW2" s="126"/>
      <c r="OXX2" s="126"/>
      <c r="OXY2" s="64"/>
      <c r="OXZ2" s="72"/>
      <c r="OYA2" s="145"/>
      <c r="OYB2" s="145"/>
      <c r="OYC2" s="126"/>
      <c r="OYD2" s="126"/>
      <c r="OYE2" s="64"/>
      <c r="OYF2" s="72"/>
      <c r="OYG2" s="145"/>
      <c r="OYH2" s="145"/>
      <c r="OYI2" s="126"/>
      <c r="OYJ2" s="126"/>
      <c r="OYK2" s="64"/>
      <c r="OYL2" s="72"/>
      <c r="OYM2" s="145"/>
      <c r="OYN2" s="145"/>
      <c r="OYO2" s="126"/>
      <c r="OYP2" s="126"/>
      <c r="OYQ2" s="64"/>
      <c r="OYR2" s="72"/>
      <c r="OYS2" s="145"/>
      <c r="OYT2" s="145"/>
      <c r="OYU2" s="126"/>
      <c r="OYV2" s="126"/>
      <c r="OYW2" s="64"/>
      <c r="OYX2" s="72"/>
      <c r="OYY2" s="145"/>
      <c r="OYZ2" s="145"/>
      <c r="OZA2" s="126"/>
      <c r="OZB2" s="126"/>
      <c r="OZC2" s="64"/>
      <c r="OZD2" s="72"/>
      <c r="OZE2" s="145"/>
      <c r="OZF2" s="145"/>
      <c r="OZG2" s="126"/>
      <c r="OZH2" s="126"/>
      <c r="OZI2" s="64"/>
      <c r="OZJ2" s="72"/>
      <c r="OZK2" s="145"/>
      <c r="OZL2" s="145"/>
      <c r="OZM2" s="126"/>
      <c r="OZN2" s="126"/>
      <c r="OZO2" s="64"/>
      <c r="OZP2" s="72"/>
      <c r="OZQ2" s="145"/>
      <c r="OZR2" s="145"/>
      <c r="OZS2" s="126"/>
      <c r="OZT2" s="126"/>
      <c r="OZU2" s="64"/>
      <c r="OZV2" s="72"/>
      <c r="OZW2" s="145"/>
      <c r="OZX2" s="145"/>
      <c r="OZY2" s="126"/>
      <c r="OZZ2" s="126"/>
      <c r="PAA2" s="64"/>
      <c r="PAB2" s="72"/>
      <c r="PAC2" s="145"/>
      <c r="PAD2" s="145"/>
      <c r="PAE2" s="126"/>
      <c r="PAF2" s="126"/>
      <c r="PAG2" s="64"/>
      <c r="PAH2" s="72"/>
      <c r="PAI2" s="145"/>
      <c r="PAJ2" s="145"/>
      <c r="PAK2" s="126"/>
      <c r="PAL2" s="126"/>
      <c r="PAM2" s="64"/>
      <c r="PAN2" s="72"/>
      <c r="PAO2" s="145"/>
      <c r="PAP2" s="145"/>
      <c r="PAQ2" s="126"/>
      <c r="PAR2" s="126"/>
      <c r="PAS2" s="64"/>
      <c r="PAT2" s="72"/>
      <c r="PAU2" s="145"/>
      <c r="PAV2" s="145"/>
      <c r="PAW2" s="126"/>
      <c r="PAX2" s="126"/>
      <c r="PAY2" s="64"/>
      <c r="PAZ2" s="72"/>
      <c r="PBA2" s="145"/>
      <c r="PBB2" s="145"/>
      <c r="PBC2" s="126"/>
      <c r="PBD2" s="126"/>
      <c r="PBE2" s="64"/>
      <c r="PBF2" s="72"/>
      <c r="PBG2" s="145"/>
      <c r="PBH2" s="145"/>
      <c r="PBI2" s="126"/>
      <c r="PBJ2" s="126"/>
      <c r="PBK2" s="64"/>
      <c r="PBL2" s="72"/>
      <c r="PBM2" s="145"/>
      <c r="PBN2" s="145"/>
      <c r="PBO2" s="126"/>
      <c r="PBP2" s="126"/>
      <c r="PBQ2" s="64"/>
      <c r="PBR2" s="72"/>
      <c r="PBS2" s="145"/>
      <c r="PBT2" s="145"/>
      <c r="PBU2" s="126"/>
      <c r="PBV2" s="126"/>
      <c r="PBW2" s="64"/>
      <c r="PBX2" s="72"/>
      <c r="PBY2" s="145"/>
      <c r="PBZ2" s="145"/>
      <c r="PCA2" s="126"/>
      <c r="PCB2" s="126"/>
      <c r="PCC2" s="64"/>
      <c r="PCD2" s="72"/>
      <c r="PCE2" s="145"/>
      <c r="PCF2" s="145"/>
      <c r="PCG2" s="126"/>
      <c r="PCH2" s="126"/>
      <c r="PCI2" s="64"/>
      <c r="PCJ2" s="72"/>
      <c r="PCK2" s="145"/>
      <c r="PCL2" s="145"/>
      <c r="PCM2" s="126"/>
      <c r="PCN2" s="126"/>
      <c r="PCO2" s="64"/>
      <c r="PCP2" s="72"/>
      <c r="PCQ2" s="145"/>
      <c r="PCR2" s="145"/>
      <c r="PCS2" s="126"/>
      <c r="PCT2" s="126"/>
      <c r="PCU2" s="64"/>
      <c r="PCV2" s="72"/>
      <c r="PCW2" s="145"/>
      <c r="PCX2" s="145"/>
      <c r="PCY2" s="126"/>
      <c r="PCZ2" s="126"/>
      <c r="PDA2" s="64"/>
      <c r="PDB2" s="72"/>
      <c r="PDC2" s="145"/>
      <c r="PDD2" s="145"/>
      <c r="PDE2" s="126"/>
      <c r="PDF2" s="126"/>
      <c r="PDG2" s="64"/>
      <c r="PDH2" s="72"/>
      <c r="PDI2" s="145"/>
      <c r="PDJ2" s="145"/>
      <c r="PDK2" s="126"/>
      <c r="PDL2" s="126"/>
      <c r="PDM2" s="64"/>
      <c r="PDN2" s="72"/>
      <c r="PDO2" s="145"/>
      <c r="PDP2" s="145"/>
      <c r="PDQ2" s="126"/>
      <c r="PDR2" s="126"/>
      <c r="PDS2" s="64"/>
      <c r="PDT2" s="72"/>
      <c r="PDU2" s="145"/>
      <c r="PDV2" s="145"/>
      <c r="PDW2" s="126"/>
      <c r="PDX2" s="126"/>
      <c r="PDY2" s="64"/>
      <c r="PDZ2" s="72"/>
      <c r="PEA2" s="145"/>
      <c r="PEB2" s="145"/>
      <c r="PEC2" s="126"/>
      <c r="PED2" s="126"/>
      <c r="PEE2" s="64"/>
      <c r="PEF2" s="72"/>
      <c r="PEG2" s="145"/>
      <c r="PEH2" s="145"/>
      <c r="PEI2" s="126"/>
      <c r="PEJ2" s="126"/>
      <c r="PEK2" s="64"/>
      <c r="PEL2" s="72"/>
      <c r="PEM2" s="145"/>
      <c r="PEN2" s="145"/>
      <c r="PEO2" s="126"/>
      <c r="PEP2" s="126"/>
      <c r="PEQ2" s="64"/>
      <c r="PER2" s="72"/>
      <c r="PES2" s="145"/>
      <c r="PET2" s="145"/>
      <c r="PEU2" s="126"/>
      <c r="PEV2" s="126"/>
      <c r="PEW2" s="64"/>
      <c r="PEX2" s="72"/>
      <c r="PEY2" s="145"/>
      <c r="PEZ2" s="145"/>
      <c r="PFA2" s="126"/>
      <c r="PFB2" s="126"/>
      <c r="PFC2" s="64"/>
      <c r="PFD2" s="72"/>
      <c r="PFE2" s="145"/>
      <c r="PFF2" s="145"/>
      <c r="PFG2" s="126"/>
      <c r="PFH2" s="126"/>
      <c r="PFI2" s="64"/>
      <c r="PFJ2" s="72"/>
      <c r="PFK2" s="145"/>
      <c r="PFL2" s="145"/>
      <c r="PFM2" s="126"/>
      <c r="PFN2" s="126"/>
      <c r="PFO2" s="64"/>
      <c r="PFP2" s="72"/>
      <c r="PFQ2" s="145"/>
      <c r="PFR2" s="145"/>
      <c r="PFS2" s="126"/>
      <c r="PFT2" s="126"/>
      <c r="PFU2" s="64"/>
      <c r="PFV2" s="72"/>
      <c r="PFW2" s="145"/>
      <c r="PFX2" s="145"/>
      <c r="PFY2" s="126"/>
      <c r="PFZ2" s="126"/>
      <c r="PGA2" s="64"/>
      <c r="PGB2" s="72"/>
      <c r="PGC2" s="145"/>
      <c r="PGD2" s="145"/>
      <c r="PGE2" s="126"/>
      <c r="PGF2" s="126"/>
      <c r="PGG2" s="64"/>
      <c r="PGH2" s="72"/>
      <c r="PGI2" s="145"/>
      <c r="PGJ2" s="145"/>
      <c r="PGK2" s="126"/>
      <c r="PGL2" s="126"/>
      <c r="PGM2" s="64"/>
      <c r="PGN2" s="72"/>
      <c r="PGO2" s="145"/>
      <c r="PGP2" s="145"/>
      <c r="PGQ2" s="126"/>
      <c r="PGR2" s="126"/>
      <c r="PGS2" s="64"/>
      <c r="PGT2" s="72"/>
      <c r="PGU2" s="145"/>
      <c r="PGV2" s="145"/>
      <c r="PGW2" s="126"/>
      <c r="PGX2" s="126"/>
      <c r="PGY2" s="64"/>
      <c r="PGZ2" s="72"/>
      <c r="PHA2" s="145"/>
      <c r="PHB2" s="145"/>
      <c r="PHC2" s="126"/>
      <c r="PHD2" s="126"/>
      <c r="PHE2" s="64"/>
      <c r="PHF2" s="72"/>
      <c r="PHG2" s="145"/>
      <c r="PHH2" s="145"/>
      <c r="PHI2" s="126"/>
      <c r="PHJ2" s="126"/>
      <c r="PHK2" s="64"/>
      <c r="PHL2" s="72"/>
      <c r="PHM2" s="145"/>
      <c r="PHN2" s="145"/>
      <c r="PHO2" s="126"/>
      <c r="PHP2" s="126"/>
      <c r="PHQ2" s="64"/>
      <c r="PHR2" s="72"/>
      <c r="PHS2" s="145"/>
      <c r="PHT2" s="145"/>
      <c r="PHU2" s="126"/>
      <c r="PHV2" s="126"/>
      <c r="PHW2" s="64"/>
      <c r="PHX2" s="72"/>
      <c r="PHY2" s="145"/>
      <c r="PHZ2" s="145"/>
      <c r="PIA2" s="126"/>
      <c r="PIB2" s="126"/>
      <c r="PIC2" s="64"/>
      <c r="PID2" s="72"/>
      <c r="PIE2" s="145"/>
      <c r="PIF2" s="145"/>
      <c r="PIG2" s="126"/>
      <c r="PIH2" s="126"/>
      <c r="PII2" s="64"/>
      <c r="PIJ2" s="72"/>
      <c r="PIK2" s="145"/>
      <c r="PIL2" s="145"/>
      <c r="PIM2" s="126"/>
      <c r="PIN2" s="126"/>
      <c r="PIO2" s="64"/>
      <c r="PIP2" s="72"/>
      <c r="PIQ2" s="145"/>
      <c r="PIR2" s="145"/>
      <c r="PIS2" s="126"/>
      <c r="PIT2" s="126"/>
      <c r="PIU2" s="64"/>
      <c r="PIV2" s="72"/>
      <c r="PIW2" s="145"/>
      <c r="PIX2" s="145"/>
      <c r="PIY2" s="126"/>
      <c r="PIZ2" s="126"/>
      <c r="PJA2" s="64"/>
      <c r="PJB2" s="72"/>
      <c r="PJC2" s="145"/>
      <c r="PJD2" s="145"/>
      <c r="PJE2" s="126"/>
      <c r="PJF2" s="126"/>
      <c r="PJG2" s="64"/>
      <c r="PJH2" s="72"/>
      <c r="PJI2" s="145"/>
      <c r="PJJ2" s="145"/>
      <c r="PJK2" s="126"/>
      <c r="PJL2" s="126"/>
      <c r="PJM2" s="64"/>
      <c r="PJN2" s="72"/>
      <c r="PJO2" s="145"/>
      <c r="PJP2" s="145"/>
      <c r="PJQ2" s="126"/>
      <c r="PJR2" s="126"/>
      <c r="PJS2" s="64"/>
      <c r="PJT2" s="72"/>
      <c r="PJU2" s="145"/>
      <c r="PJV2" s="145"/>
      <c r="PJW2" s="126"/>
      <c r="PJX2" s="126"/>
      <c r="PJY2" s="64"/>
      <c r="PJZ2" s="72"/>
      <c r="PKA2" s="145"/>
      <c r="PKB2" s="145"/>
      <c r="PKC2" s="126"/>
      <c r="PKD2" s="126"/>
      <c r="PKE2" s="64"/>
      <c r="PKF2" s="72"/>
      <c r="PKG2" s="145"/>
      <c r="PKH2" s="145"/>
      <c r="PKI2" s="126"/>
      <c r="PKJ2" s="126"/>
      <c r="PKK2" s="64"/>
      <c r="PKL2" s="72"/>
      <c r="PKM2" s="145"/>
      <c r="PKN2" s="145"/>
      <c r="PKO2" s="126"/>
      <c r="PKP2" s="126"/>
      <c r="PKQ2" s="64"/>
      <c r="PKR2" s="72"/>
      <c r="PKS2" s="145"/>
      <c r="PKT2" s="145"/>
      <c r="PKU2" s="126"/>
      <c r="PKV2" s="126"/>
      <c r="PKW2" s="64"/>
      <c r="PKX2" s="72"/>
      <c r="PKY2" s="145"/>
      <c r="PKZ2" s="145"/>
      <c r="PLA2" s="126"/>
      <c r="PLB2" s="126"/>
      <c r="PLC2" s="64"/>
      <c r="PLD2" s="72"/>
      <c r="PLE2" s="145"/>
      <c r="PLF2" s="145"/>
      <c r="PLG2" s="126"/>
      <c r="PLH2" s="126"/>
      <c r="PLI2" s="64"/>
      <c r="PLJ2" s="72"/>
      <c r="PLK2" s="145"/>
      <c r="PLL2" s="145"/>
      <c r="PLM2" s="126"/>
      <c r="PLN2" s="126"/>
      <c r="PLO2" s="64"/>
      <c r="PLP2" s="72"/>
      <c r="PLQ2" s="145"/>
      <c r="PLR2" s="145"/>
      <c r="PLS2" s="126"/>
      <c r="PLT2" s="126"/>
      <c r="PLU2" s="64"/>
      <c r="PLV2" s="72"/>
      <c r="PLW2" s="145"/>
      <c r="PLX2" s="145"/>
      <c r="PLY2" s="126"/>
      <c r="PLZ2" s="126"/>
      <c r="PMA2" s="64"/>
      <c r="PMB2" s="72"/>
      <c r="PMC2" s="145"/>
      <c r="PMD2" s="145"/>
      <c r="PME2" s="126"/>
      <c r="PMF2" s="126"/>
      <c r="PMG2" s="64"/>
      <c r="PMH2" s="72"/>
      <c r="PMI2" s="145"/>
      <c r="PMJ2" s="145"/>
      <c r="PMK2" s="126"/>
      <c r="PML2" s="126"/>
      <c r="PMM2" s="64"/>
      <c r="PMN2" s="72"/>
      <c r="PMO2" s="145"/>
      <c r="PMP2" s="145"/>
      <c r="PMQ2" s="126"/>
      <c r="PMR2" s="126"/>
      <c r="PMS2" s="64"/>
      <c r="PMT2" s="72"/>
      <c r="PMU2" s="145"/>
      <c r="PMV2" s="145"/>
      <c r="PMW2" s="126"/>
      <c r="PMX2" s="126"/>
      <c r="PMY2" s="64"/>
      <c r="PMZ2" s="72"/>
      <c r="PNA2" s="145"/>
      <c r="PNB2" s="145"/>
      <c r="PNC2" s="126"/>
      <c r="PND2" s="126"/>
      <c r="PNE2" s="64"/>
      <c r="PNF2" s="72"/>
      <c r="PNG2" s="145"/>
      <c r="PNH2" s="145"/>
      <c r="PNI2" s="126"/>
      <c r="PNJ2" s="126"/>
      <c r="PNK2" s="64"/>
      <c r="PNL2" s="72"/>
      <c r="PNM2" s="145"/>
      <c r="PNN2" s="145"/>
      <c r="PNO2" s="126"/>
      <c r="PNP2" s="126"/>
      <c r="PNQ2" s="64"/>
      <c r="PNR2" s="72"/>
      <c r="PNS2" s="145"/>
      <c r="PNT2" s="145"/>
      <c r="PNU2" s="126"/>
      <c r="PNV2" s="126"/>
      <c r="PNW2" s="64"/>
      <c r="PNX2" s="72"/>
      <c r="PNY2" s="145"/>
      <c r="PNZ2" s="145"/>
      <c r="POA2" s="126"/>
      <c r="POB2" s="126"/>
      <c r="POC2" s="64"/>
      <c r="POD2" s="72"/>
      <c r="POE2" s="145"/>
      <c r="POF2" s="145"/>
      <c r="POG2" s="126"/>
      <c r="POH2" s="126"/>
      <c r="POI2" s="64"/>
      <c r="POJ2" s="72"/>
      <c r="POK2" s="145"/>
      <c r="POL2" s="145"/>
      <c r="POM2" s="126"/>
      <c r="PON2" s="126"/>
      <c r="POO2" s="64"/>
      <c r="POP2" s="72"/>
      <c r="POQ2" s="145"/>
      <c r="POR2" s="145"/>
      <c r="POS2" s="126"/>
      <c r="POT2" s="126"/>
      <c r="POU2" s="64"/>
      <c r="POV2" s="72"/>
      <c r="POW2" s="145"/>
      <c r="POX2" s="145"/>
      <c r="POY2" s="126"/>
      <c r="POZ2" s="126"/>
      <c r="PPA2" s="64"/>
      <c r="PPB2" s="72"/>
      <c r="PPC2" s="145"/>
      <c r="PPD2" s="145"/>
      <c r="PPE2" s="126"/>
      <c r="PPF2" s="126"/>
      <c r="PPG2" s="64"/>
      <c r="PPH2" s="72"/>
      <c r="PPI2" s="145"/>
      <c r="PPJ2" s="145"/>
      <c r="PPK2" s="126"/>
      <c r="PPL2" s="126"/>
      <c r="PPM2" s="64"/>
      <c r="PPN2" s="72"/>
      <c r="PPO2" s="145"/>
      <c r="PPP2" s="145"/>
      <c r="PPQ2" s="126"/>
      <c r="PPR2" s="126"/>
      <c r="PPS2" s="64"/>
      <c r="PPT2" s="72"/>
      <c r="PPU2" s="145"/>
      <c r="PPV2" s="145"/>
      <c r="PPW2" s="126"/>
      <c r="PPX2" s="126"/>
      <c r="PPY2" s="64"/>
      <c r="PPZ2" s="72"/>
      <c r="PQA2" s="145"/>
      <c r="PQB2" s="145"/>
      <c r="PQC2" s="126"/>
      <c r="PQD2" s="126"/>
      <c r="PQE2" s="64"/>
      <c r="PQF2" s="72"/>
      <c r="PQG2" s="145"/>
      <c r="PQH2" s="145"/>
      <c r="PQI2" s="126"/>
      <c r="PQJ2" s="126"/>
      <c r="PQK2" s="64"/>
      <c r="PQL2" s="72"/>
      <c r="PQM2" s="145"/>
      <c r="PQN2" s="145"/>
      <c r="PQO2" s="126"/>
      <c r="PQP2" s="126"/>
      <c r="PQQ2" s="64"/>
      <c r="PQR2" s="72"/>
      <c r="PQS2" s="145"/>
      <c r="PQT2" s="145"/>
      <c r="PQU2" s="126"/>
      <c r="PQV2" s="126"/>
      <c r="PQW2" s="64"/>
      <c r="PQX2" s="72"/>
      <c r="PQY2" s="145"/>
      <c r="PQZ2" s="145"/>
      <c r="PRA2" s="126"/>
      <c r="PRB2" s="126"/>
      <c r="PRC2" s="64"/>
      <c r="PRD2" s="72"/>
      <c r="PRE2" s="145"/>
      <c r="PRF2" s="145"/>
      <c r="PRG2" s="126"/>
      <c r="PRH2" s="126"/>
      <c r="PRI2" s="64"/>
      <c r="PRJ2" s="72"/>
      <c r="PRK2" s="145"/>
      <c r="PRL2" s="145"/>
      <c r="PRM2" s="126"/>
      <c r="PRN2" s="126"/>
      <c r="PRO2" s="64"/>
      <c r="PRP2" s="72"/>
      <c r="PRQ2" s="145"/>
      <c r="PRR2" s="145"/>
      <c r="PRS2" s="126"/>
      <c r="PRT2" s="126"/>
      <c r="PRU2" s="64"/>
      <c r="PRV2" s="72"/>
      <c r="PRW2" s="145"/>
      <c r="PRX2" s="145"/>
      <c r="PRY2" s="126"/>
      <c r="PRZ2" s="126"/>
      <c r="PSA2" s="64"/>
      <c r="PSB2" s="72"/>
      <c r="PSC2" s="145"/>
      <c r="PSD2" s="145"/>
      <c r="PSE2" s="126"/>
      <c r="PSF2" s="126"/>
      <c r="PSG2" s="64"/>
      <c r="PSH2" s="72"/>
      <c r="PSI2" s="145"/>
      <c r="PSJ2" s="145"/>
      <c r="PSK2" s="126"/>
      <c r="PSL2" s="126"/>
      <c r="PSM2" s="64"/>
      <c r="PSN2" s="72"/>
      <c r="PSO2" s="145"/>
      <c r="PSP2" s="145"/>
      <c r="PSQ2" s="126"/>
      <c r="PSR2" s="126"/>
      <c r="PSS2" s="64"/>
      <c r="PST2" s="72"/>
      <c r="PSU2" s="145"/>
      <c r="PSV2" s="145"/>
      <c r="PSW2" s="126"/>
      <c r="PSX2" s="126"/>
      <c r="PSY2" s="64"/>
      <c r="PSZ2" s="72"/>
      <c r="PTA2" s="145"/>
      <c r="PTB2" s="145"/>
      <c r="PTC2" s="126"/>
      <c r="PTD2" s="126"/>
      <c r="PTE2" s="64"/>
      <c r="PTF2" s="72"/>
      <c r="PTG2" s="145"/>
      <c r="PTH2" s="145"/>
      <c r="PTI2" s="126"/>
      <c r="PTJ2" s="126"/>
      <c r="PTK2" s="64"/>
      <c r="PTL2" s="72"/>
      <c r="PTM2" s="145"/>
      <c r="PTN2" s="145"/>
      <c r="PTO2" s="126"/>
      <c r="PTP2" s="126"/>
      <c r="PTQ2" s="64"/>
      <c r="PTR2" s="72"/>
      <c r="PTS2" s="145"/>
      <c r="PTT2" s="145"/>
      <c r="PTU2" s="126"/>
      <c r="PTV2" s="126"/>
      <c r="PTW2" s="64"/>
      <c r="PTX2" s="72"/>
      <c r="PTY2" s="145"/>
      <c r="PTZ2" s="145"/>
      <c r="PUA2" s="126"/>
      <c r="PUB2" s="126"/>
      <c r="PUC2" s="64"/>
      <c r="PUD2" s="72"/>
      <c r="PUE2" s="145"/>
      <c r="PUF2" s="145"/>
      <c r="PUG2" s="126"/>
      <c r="PUH2" s="126"/>
      <c r="PUI2" s="64"/>
      <c r="PUJ2" s="72"/>
      <c r="PUK2" s="145"/>
      <c r="PUL2" s="145"/>
      <c r="PUM2" s="126"/>
      <c r="PUN2" s="126"/>
      <c r="PUO2" s="64"/>
      <c r="PUP2" s="72"/>
      <c r="PUQ2" s="145"/>
      <c r="PUR2" s="145"/>
      <c r="PUS2" s="126"/>
      <c r="PUT2" s="126"/>
      <c r="PUU2" s="64"/>
      <c r="PUV2" s="72"/>
      <c r="PUW2" s="145"/>
      <c r="PUX2" s="145"/>
      <c r="PUY2" s="126"/>
      <c r="PUZ2" s="126"/>
      <c r="PVA2" s="64"/>
      <c r="PVB2" s="72"/>
      <c r="PVC2" s="145"/>
      <c r="PVD2" s="145"/>
      <c r="PVE2" s="126"/>
      <c r="PVF2" s="126"/>
      <c r="PVG2" s="64"/>
      <c r="PVH2" s="72"/>
      <c r="PVI2" s="145"/>
      <c r="PVJ2" s="145"/>
      <c r="PVK2" s="126"/>
      <c r="PVL2" s="126"/>
      <c r="PVM2" s="64"/>
      <c r="PVN2" s="72"/>
      <c r="PVO2" s="145"/>
      <c r="PVP2" s="145"/>
      <c r="PVQ2" s="126"/>
      <c r="PVR2" s="126"/>
      <c r="PVS2" s="64"/>
      <c r="PVT2" s="72"/>
      <c r="PVU2" s="145"/>
      <c r="PVV2" s="145"/>
      <c r="PVW2" s="126"/>
      <c r="PVX2" s="126"/>
      <c r="PVY2" s="64"/>
      <c r="PVZ2" s="72"/>
      <c r="PWA2" s="145"/>
      <c r="PWB2" s="145"/>
      <c r="PWC2" s="126"/>
      <c r="PWD2" s="126"/>
      <c r="PWE2" s="64"/>
      <c r="PWF2" s="72"/>
      <c r="PWG2" s="145"/>
      <c r="PWH2" s="145"/>
      <c r="PWI2" s="126"/>
      <c r="PWJ2" s="126"/>
      <c r="PWK2" s="64"/>
      <c r="PWL2" s="72"/>
      <c r="PWM2" s="145"/>
      <c r="PWN2" s="145"/>
      <c r="PWO2" s="126"/>
      <c r="PWP2" s="126"/>
      <c r="PWQ2" s="64"/>
      <c r="PWR2" s="72"/>
      <c r="PWS2" s="145"/>
      <c r="PWT2" s="145"/>
      <c r="PWU2" s="126"/>
      <c r="PWV2" s="126"/>
      <c r="PWW2" s="64"/>
      <c r="PWX2" s="72"/>
      <c r="PWY2" s="145"/>
      <c r="PWZ2" s="145"/>
      <c r="PXA2" s="126"/>
      <c r="PXB2" s="126"/>
      <c r="PXC2" s="64"/>
      <c r="PXD2" s="72"/>
      <c r="PXE2" s="145"/>
      <c r="PXF2" s="145"/>
      <c r="PXG2" s="126"/>
      <c r="PXH2" s="126"/>
      <c r="PXI2" s="64"/>
      <c r="PXJ2" s="72"/>
      <c r="PXK2" s="145"/>
      <c r="PXL2" s="145"/>
      <c r="PXM2" s="126"/>
      <c r="PXN2" s="126"/>
      <c r="PXO2" s="64"/>
      <c r="PXP2" s="72"/>
      <c r="PXQ2" s="145"/>
      <c r="PXR2" s="145"/>
      <c r="PXS2" s="126"/>
      <c r="PXT2" s="126"/>
      <c r="PXU2" s="64"/>
      <c r="PXV2" s="72"/>
      <c r="PXW2" s="145"/>
      <c r="PXX2" s="145"/>
      <c r="PXY2" s="126"/>
      <c r="PXZ2" s="126"/>
      <c r="PYA2" s="64"/>
      <c r="PYB2" s="72"/>
      <c r="PYC2" s="145"/>
      <c r="PYD2" s="145"/>
      <c r="PYE2" s="126"/>
      <c r="PYF2" s="126"/>
      <c r="PYG2" s="64"/>
      <c r="PYH2" s="72"/>
      <c r="PYI2" s="145"/>
      <c r="PYJ2" s="145"/>
      <c r="PYK2" s="126"/>
      <c r="PYL2" s="126"/>
      <c r="PYM2" s="64"/>
      <c r="PYN2" s="72"/>
      <c r="PYO2" s="145"/>
      <c r="PYP2" s="145"/>
      <c r="PYQ2" s="126"/>
      <c r="PYR2" s="126"/>
      <c r="PYS2" s="64"/>
      <c r="PYT2" s="72"/>
      <c r="PYU2" s="145"/>
      <c r="PYV2" s="145"/>
      <c r="PYW2" s="126"/>
      <c r="PYX2" s="126"/>
      <c r="PYY2" s="64"/>
      <c r="PYZ2" s="72"/>
      <c r="PZA2" s="145"/>
      <c r="PZB2" s="145"/>
      <c r="PZC2" s="126"/>
      <c r="PZD2" s="126"/>
      <c r="PZE2" s="64"/>
      <c r="PZF2" s="72"/>
      <c r="PZG2" s="145"/>
      <c r="PZH2" s="145"/>
      <c r="PZI2" s="126"/>
      <c r="PZJ2" s="126"/>
      <c r="PZK2" s="64"/>
      <c r="PZL2" s="72"/>
      <c r="PZM2" s="145"/>
      <c r="PZN2" s="145"/>
      <c r="PZO2" s="126"/>
      <c r="PZP2" s="126"/>
      <c r="PZQ2" s="64"/>
      <c r="PZR2" s="72"/>
      <c r="PZS2" s="145"/>
      <c r="PZT2" s="145"/>
      <c r="PZU2" s="126"/>
      <c r="PZV2" s="126"/>
      <c r="PZW2" s="64"/>
      <c r="PZX2" s="72"/>
      <c r="PZY2" s="145"/>
      <c r="PZZ2" s="145"/>
      <c r="QAA2" s="126"/>
      <c r="QAB2" s="126"/>
      <c r="QAC2" s="64"/>
      <c r="QAD2" s="72"/>
      <c r="QAE2" s="145"/>
      <c r="QAF2" s="145"/>
      <c r="QAG2" s="126"/>
      <c r="QAH2" s="126"/>
      <c r="QAI2" s="64"/>
      <c r="QAJ2" s="72"/>
      <c r="QAK2" s="145"/>
      <c r="QAL2" s="145"/>
      <c r="QAM2" s="126"/>
      <c r="QAN2" s="126"/>
      <c r="QAO2" s="64"/>
      <c r="QAP2" s="72"/>
      <c r="QAQ2" s="145"/>
      <c r="QAR2" s="145"/>
      <c r="QAS2" s="126"/>
      <c r="QAT2" s="126"/>
      <c r="QAU2" s="64"/>
      <c r="QAV2" s="72"/>
      <c r="QAW2" s="145"/>
      <c r="QAX2" s="145"/>
      <c r="QAY2" s="126"/>
      <c r="QAZ2" s="126"/>
      <c r="QBA2" s="64"/>
      <c r="QBB2" s="72"/>
      <c r="QBC2" s="145"/>
      <c r="QBD2" s="145"/>
      <c r="QBE2" s="126"/>
      <c r="QBF2" s="126"/>
      <c r="QBG2" s="64"/>
      <c r="QBH2" s="72"/>
      <c r="QBI2" s="145"/>
      <c r="QBJ2" s="145"/>
      <c r="QBK2" s="126"/>
      <c r="QBL2" s="126"/>
      <c r="QBM2" s="64"/>
      <c r="QBN2" s="72"/>
      <c r="QBO2" s="145"/>
      <c r="QBP2" s="145"/>
      <c r="QBQ2" s="126"/>
      <c r="QBR2" s="126"/>
      <c r="QBS2" s="64"/>
      <c r="QBT2" s="72"/>
      <c r="QBU2" s="145"/>
      <c r="QBV2" s="145"/>
      <c r="QBW2" s="126"/>
      <c r="QBX2" s="126"/>
      <c r="QBY2" s="64"/>
      <c r="QBZ2" s="72"/>
      <c r="QCA2" s="145"/>
      <c r="QCB2" s="145"/>
      <c r="QCC2" s="126"/>
      <c r="QCD2" s="126"/>
      <c r="QCE2" s="64"/>
      <c r="QCF2" s="72"/>
      <c r="QCG2" s="145"/>
      <c r="QCH2" s="145"/>
      <c r="QCI2" s="126"/>
      <c r="QCJ2" s="126"/>
      <c r="QCK2" s="64"/>
      <c r="QCL2" s="72"/>
      <c r="QCM2" s="145"/>
      <c r="QCN2" s="145"/>
      <c r="QCO2" s="126"/>
      <c r="QCP2" s="126"/>
      <c r="QCQ2" s="64"/>
      <c r="QCR2" s="72"/>
      <c r="QCS2" s="145"/>
      <c r="QCT2" s="145"/>
      <c r="QCU2" s="126"/>
      <c r="QCV2" s="126"/>
      <c r="QCW2" s="64"/>
      <c r="QCX2" s="72"/>
      <c r="QCY2" s="145"/>
      <c r="QCZ2" s="145"/>
      <c r="QDA2" s="126"/>
      <c r="QDB2" s="126"/>
      <c r="QDC2" s="64"/>
      <c r="QDD2" s="72"/>
      <c r="QDE2" s="145"/>
      <c r="QDF2" s="145"/>
      <c r="QDG2" s="126"/>
      <c r="QDH2" s="126"/>
      <c r="QDI2" s="64"/>
      <c r="QDJ2" s="72"/>
      <c r="QDK2" s="145"/>
      <c r="QDL2" s="145"/>
      <c r="QDM2" s="126"/>
      <c r="QDN2" s="126"/>
      <c r="QDO2" s="64"/>
      <c r="QDP2" s="72"/>
      <c r="QDQ2" s="145"/>
      <c r="QDR2" s="145"/>
      <c r="QDS2" s="126"/>
      <c r="QDT2" s="126"/>
      <c r="QDU2" s="64"/>
      <c r="QDV2" s="72"/>
      <c r="QDW2" s="145"/>
      <c r="QDX2" s="145"/>
      <c r="QDY2" s="126"/>
      <c r="QDZ2" s="126"/>
      <c r="QEA2" s="64"/>
      <c r="QEB2" s="72"/>
      <c r="QEC2" s="145"/>
      <c r="QED2" s="145"/>
      <c r="QEE2" s="126"/>
      <c r="QEF2" s="126"/>
      <c r="QEG2" s="64"/>
      <c r="QEH2" s="72"/>
      <c r="QEI2" s="145"/>
      <c r="QEJ2" s="145"/>
      <c r="QEK2" s="126"/>
      <c r="QEL2" s="126"/>
      <c r="QEM2" s="64"/>
      <c r="QEN2" s="72"/>
      <c r="QEO2" s="145"/>
      <c r="QEP2" s="145"/>
      <c r="QEQ2" s="126"/>
      <c r="QER2" s="126"/>
      <c r="QES2" s="64"/>
      <c r="QET2" s="72"/>
      <c r="QEU2" s="145"/>
      <c r="QEV2" s="145"/>
      <c r="QEW2" s="126"/>
      <c r="QEX2" s="126"/>
      <c r="QEY2" s="64"/>
      <c r="QEZ2" s="72"/>
      <c r="QFA2" s="145"/>
      <c r="QFB2" s="145"/>
      <c r="QFC2" s="126"/>
      <c r="QFD2" s="126"/>
      <c r="QFE2" s="64"/>
      <c r="QFF2" s="72"/>
      <c r="QFG2" s="145"/>
      <c r="QFH2" s="145"/>
      <c r="QFI2" s="126"/>
      <c r="QFJ2" s="126"/>
      <c r="QFK2" s="64"/>
      <c r="QFL2" s="72"/>
      <c r="QFM2" s="145"/>
      <c r="QFN2" s="145"/>
      <c r="QFO2" s="126"/>
      <c r="QFP2" s="126"/>
      <c r="QFQ2" s="64"/>
      <c r="QFR2" s="72"/>
      <c r="QFS2" s="145"/>
      <c r="QFT2" s="145"/>
      <c r="QFU2" s="126"/>
      <c r="QFV2" s="126"/>
      <c r="QFW2" s="64"/>
      <c r="QFX2" s="72"/>
      <c r="QFY2" s="145"/>
      <c r="QFZ2" s="145"/>
      <c r="QGA2" s="126"/>
      <c r="QGB2" s="126"/>
      <c r="QGC2" s="64"/>
      <c r="QGD2" s="72"/>
      <c r="QGE2" s="145"/>
      <c r="QGF2" s="145"/>
      <c r="QGG2" s="126"/>
      <c r="QGH2" s="126"/>
      <c r="QGI2" s="64"/>
      <c r="QGJ2" s="72"/>
      <c r="QGK2" s="145"/>
      <c r="QGL2" s="145"/>
      <c r="QGM2" s="126"/>
      <c r="QGN2" s="126"/>
      <c r="QGO2" s="64"/>
      <c r="QGP2" s="72"/>
      <c r="QGQ2" s="145"/>
      <c r="QGR2" s="145"/>
      <c r="QGS2" s="126"/>
      <c r="QGT2" s="126"/>
      <c r="QGU2" s="64"/>
      <c r="QGV2" s="72"/>
      <c r="QGW2" s="145"/>
      <c r="QGX2" s="145"/>
      <c r="QGY2" s="126"/>
      <c r="QGZ2" s="126"/>
      <c r="QHA2" s="64"/>
      <c r="QHB2" s="72"/>
      <c r="QHC2" s="145"/>
      <c r="QHD2" s="145"/>
      <c r="QHE2" s="126"/>
      <c r="QHF2" s="126"/>
      <c r="QHG2" s="64"/>
      <c r="QHH2" s="72"/>
      <c r="QHI2" s="145"/>
      <c r="QHJ2" s="145"/>
      <c r="QHK2" s="126"/>
      <c r="QHL2" s="126"/>
      <c r="QHM2" s="64"/>
      <c r="QHN2" s="72"/>
      <c r="QHO2" s="145"/>
      <c r="QHP2" s="145"/>
      <c r="QHQ2" s="126"/>
      <c r="QHR2" s="126"/>
      <c r="QHS2" s="64"/>
      <c r="QHT2" s="72"/>
      <c r="QHU2" s="145"/>
      <c r="QHV2" s="145"/>
      <c r="QHW2" s="126"/>
      <c r="QHX2" s="126"/>
      <c r="QHY2" s="64"/>
      <c r="QHZ2" s="72"/>
      <c r="QIA2" s="145"/>
      <c r="QIB2" s="145"/>
      <c r="QIC2" s="126"/>
      <c r="QID2" s="126"/>
      <c r="QIE2" s="64"/>
      <c r="QIF2" s="72"/>
      <c r="QIG2" s="145"/>
      <c r="QIH2" s="145"/>
      <c r="QII2" s="126"/>
      <c r="QIJ2" s="126"/>
      <c r="QIK2" s="64"/>
      <c r="QIL2" s="72"/>
      <c r="QIM2" s="145"/>
      <c r="QIN2" s="145"/>
      <c r="QIO2" s="126"/>
      <c r="QIP2" s="126"/>
      <c r="QIQ2" s="64"/>
      <c r="QIR2" s="72"/>
      <c r="QIS2" s="145"/>
      <c r="QIT2" s="145"/>
      <c r="QIU2" s="126"/>
      <c r="QIV2" s="126"/>
      <c r="QIW2" s="64"/>
      <c r="QIX2" s="72"/>
      <c r="QIY2" s="145"/>
      <c r="QIZ2" s="145"/>
      <c r="QJA2" s="126"/>
      <c r="QJB2" s="126"/>
      <c r="QJC2" s="64"/>
      <c r="QJD2" s="72"/>
      <c r="QJE2" s="145"/>
      <c r="QJF2" s="145"/>
      <c r="QJG2" s="126"/>
      <c r="QJH2" s="126"/>
      <c r="QJI2" s="64"/>
      <c r="QJJ2" s="72"/>
      <c r="QJK2" s="145"/>
      <c r="QJL2" s="145"/>
      <c r="QJM2" s="126"/>
      <c r="QJN2" s="126"/>
      <c r="QJO2" s="64"/>
      <c r="QJP2" s="72"/>
      <c r="QJQ2" s="145"/>
      <c r="QJR2" s="145"/>
      <c r="QJS2" s="126"/>
      <c r="QJT2" s="126"/>
      <c r="QJU2" s="64"/>
      <c r="QJV2" s="72"/>
      <c r="QJW2" s="145"/>
      <c r="QJX2" s="145"/>
      <c r="QJY2" s="126"/>
      <c r="QJZ2" s="126"/>
      <c r="QKA2" s="64"/>
      <c r="QKB2" s="72"/>
      <c r="QKC2" s="145"/>
      <c r="QKD2" s="145"/>
      <c r="QKE2" s="126"/>
      <c r="QKF2" s="126"/>
      <c r="QKG2" s="64"/>
      <c r="QKH2" s="72"/>
      <c r="QKI2" s="145"/>
      <c r="QKJ2" s="145"/>
      <c r="QKK2" s="126"/>
      <c r="QKL2" s="126"/>
      <c r="QKM2" s="64"/>
      <c r="QKN2" s="72"/>
      <c r="QKO2" s="145"/>
      <c r="QKP2" s="145"/>
      <c r="QKQ2" s="126"/>
      <c r="QKR2" s="126"/>
      <c r="QKS2" s="64"/>
      <c r="QKT2" s="72"/>
      <c r="QKU2" s="145"/>
      <c r="QKV2" s="145"/>
      <c r="QKW2" s="126"/>
      <c r="QKX2" s="126"/>
      <c r="QKY2" s="64"/>
      <c r="QKZ2" s="72"/>
      <c r="QLA2" s="145"/>
      <c r="QLB2" s="145"/>
      <c r="QLC2" s="126"/>
      <c r="QLD2" s="126"/>
      <c r="QLE2" s="64"/>
      <c r="QLF2" s="72"/>
      <c r="QLG2" s="145"/>
      <c r="QLH2" s="145"/>
      <c r="QLI2" s="126"/>
      <c r="QLJ2" s="126"/>
      <c r="QLK2" s="64"/>
      <c r="QLL2" s="72"/>
      <c r="QLM2" s="145"/>
      <c r="QLN2" s="145"/>
      <c r="QLO2" s="126"/>
      <c r="QLP2" s="126"/>
      <c r="QLQ2" s="64"/>
      <c r="QLR2" s="72"/>
      <c r="QLS2" s="145"/>
      <c r="QLT2" s="145"/>
      <c r="QLU2" s="126"/>
      <c r="QLV2" s="126"/>
      <c r="QLW2" s="64"/>
      <c r="QLX2" s="72"/>
      <c r="QLY2" s="145"/>
      <c r="QLZ2" s="145"/>
      <c r="QMA2" s="126"/>
      <c r="QMB2" s="126"/>
      <c r="QMC2" s="64"/>
      <c r="QMD2" s="72"/>
      <c r="QME2" s="145"/>
      <c r="QMF2" s="145"/>
      <c r="QMG2" s="126"/>
      <c r="QMH2" s="126"/>
      <c r="QMI2" s="64"/>
      <c r="QMJ2" s="72"/>
      <c r="QMK2" s="145"/>
      <c r="QML2" s="145"/>
      <c r="QMM2" s="126"/>
      <c r="QMN2" s="126"/>
      <c r="QMO2" s="64"/>
      <c r="QMP2" s="72"/>
      <c r="QMQ2" s="145"/>
      <c r="QMR2" s="145"/>
      <c r="QMS2" s="126"/>
      <c r="QMT2" s="126"/>
      <c r="QMU2" s="64"/>
      <c r="QMV2" s="72"/>
      <c r="QMW2" s="145"/>
      <c r="QMX2" s="145"/>
      <c r="QMY2" s="126"/>
      <c r="QMZ2" s="126"/>
      <c r="QNA2" s="64"/>
      <c r="QNB2" s="72"/>
      <c r="QNC2" s="145"/>
      <c r="QND2" s="145"/>
      <c r="QNE2" s="126"/>
      <c r="QNF2" s="126"/>
      <c r="QNG2" s="64"/>
      <c r="QNH2" s="72"/>
      <c r="QNI2" s="145"/>
      <c r="QNJ2" s="145"/>
      <c r="QNK2" s="126"/>
      <c r="QNL2" s="126"/>
      <c r="QNM2" s="64"/>
      <c r="QNN2" s="72"/>
      <c r="QNO2" s="145"/>
      <c r="QNP2" s="145"/>
      <c r="QNQ2" s="126"/>
      <c r="QNR2" s="126"/>
      <c r="QNS2" s="64"/>
      <c r="QNT2" s="72"/>
      <c r="QNU2" s="145"/>
      <c r="QNV2" s="145"/>
      <c r="QNW2" s="126"/>
      <c r="QNX2" s="126"/>
      <c r="QNY2" s="64"/>
      <c r="QNZ2" s="72"/>
      <c r="QOA2" s="145"/>
      <c r="QOB2" s="145"/>
      <c r="QOC2" s="126"/>
      <c r="QOD2" s="126"/>
      <c r="QOE2" s="64"/>
      <c r="QOF2" s="72"/>
      <c r="QOG2" s="145"/>
      <c r="QOH2" s="145"/>
      <c r="QOI2" s="126"/>
      <c r="QOJ2" s="126"/>
      <c r="QOK2" s="64"/>
      <c r="QOL2" s="72"/>
      <c r="QOM2" s="145"/>
      <c r="QON2" s="145"/>
      <c r="QOO2" s="126"/>
      <c r="QOP2" s="126"/>
      <c r="QOQ2" s="64"/>
      <c r="QOR2" s="72"/>
      <c r="QOS2" s="145"/>
      <c r="QOT2" s="145"/>
      <c r="QOU2" s="126"/>
      <c r="QOV2" s="126"/>
      <c r="QOW2" s="64"/>
      <c r="QOX2" s="72"/>
      <c r="QOY2" s="145"/>
      <c r="QOZ2" s="145"/>
      <c r="QPA2" s="126"/>
      <c r="QPB2" s="126"/>
      <c r="QPC2" s="64"/>
      <c r="QPD2" s="72"/>
      <c r="QPE2" s="145"/>
      <c r="QPF2" s="145"/>
      <c r="QPG2" s="126"/>
      <c r="QPH2" s="126"/>
      <c r="QPI2" s="64"/>
      <c r="QPJ2" s="72"/>
      <c r="QPK2" s="145"/>
      <c r="QPL2" s="145"/>
      <c r="QPM2" s="126"/>
      <c r="QPN2" s="126"/>
      <c r="QPO2" s="64"/>
      <c r="QPP2" s="72"/>
      <c r="QPQ2" s="145"/>
      <c r="QPR2" s="145"/>
      <c r="QPS2" s="126"/>
      <c r="QPT2" s="126"/>
      <c r="QPU2" s="64"/>
      <c r="QPV2" s="72"/>
      <c r="QPW2" s="145"/>
      <c r="QPX2" s="145"/>
      <c r="QPY2" s="126"/>
      <c r="QPZ2" s="126"/>
      <c r="QQA2" s="64"/>
      <c r="QQB2" s="72"/>
      <c r="QQC2" s="145"/>
      <c r="QQD2" s="145"/>
      <c r="QQE2" s="126"/>
      <c r="QQF2" s="126"/>
      <c r="QQG2" s="64"/>
      <c r="QQH2" s="72"/>
      <c r="QQI2" s="145"/>
      <c r="QQJ2" s="145"/>
      <c r="QQK2" s="126"/>
      <c r="QQL2" s="126"/>
      <c r="QQM2" s="64"/>
      <c r="QQN2" s="72"/>
      <c r="QQO2" s="145"/>
      <c r="QQP2" s="145"/>
      <c r="QQQ2" s="126"/>
      <c r="QQR2" s="126"/>
      <c r="QQS2" s="64"/>
      <c r="QQT2" s="72"/>
      <c r="QQU2" s="145"/>
      <c r="QQV2" s="145"/>
      <c r="QQW2" s="126"/>
      <c r="QQX2" s="126"/>
      <c r="QQY2" s="64"/>
      <c r="QQZ2" s="72"/>
      <c r="QRA2" s="145"/>
      <c r="QRB2" s="145"/>
      <c r="QRC2" s="126"/>
      <c r="QRD2" s="126"/>
      <c r="QRE2" s="64"/>
      <c r="QRF2" s="72"/>
      <c r="QRG2" s="145"/>
      <c r="QRH2" s="145"/>
      <c r="QRI2" s="126"/>
      <c r="QRJ2" s="126"/>
      <c r="QRK2" s="64"/>
      <c r="QRL2" s="72"/>
      <c r="QRM2" s="145"/>
      <c r="QRN2" s="145"/>
      <c r="QRO2" s="126"/>
      <c r="QRP2" s="126"/>
      <c r="QRQ2" s="64"/>
      <c r="QRR2" s="72"/>
      <c r="QRS2" s="145"/>
      <c r="QRT2" s="145"/>
      <c r="QRU2" s="126"/>
      <c r="QRV2" s="126"/>
      <c r="QRW2" s="64"/>
      <c r="QRX2" s="72"/>
      <c r="QRY2" s="145"/>
      <c r="QRZ2" s="145"/>
      <c r="QSA2" s="126"/>
      <c r="QSB2" s="126"/>
      <c r="QSC2" s="64"/>
      <c r="QSD2" s="72"/>
      <c r="QSE2" s="145"/>
      <c r="QSF2" s="145"/>
      <c r="QSG2" s="126"/>
      <c r="QSH2" s="126"/>
      <c r="QSI2" s="64"/>
      <c r="QSJ2" s="72"/>
      <c r="QSK2" s="145"/>
      <c r="QSL2" s="145"/>
      <c r="QSM2" s="126"/>
      <c r="QSN2" s="126"/>
      <c r="QSO2" s="64"/>
      <c r="QSP2" s="72"/>
      <c r="QSQ2" s="145"/>
      <c r="QSR2" s="145"/>
      <c r="QSS2" s="126"/>
      <c r="QST2" s="126"/>
      <c r="QSU2" s="64"/>
      <c r="QSV2" s="72"/>
      <c r="QSW2" s="145"/>
      <c r="QSX2" s="145"/>
      <c r="QSY2" s="126"/>
      <c r="QSZ2" s="126"/>
      <c r="QTA2" s="64"/>
      <c r="QTB2" s="72"/>
      <c r="QTC2" s="145"/>
      <c r="QTD2" s="145"/>
      <c r="QTE2" s="126"/>
      <c r="QTF2" s="126"/>
      <c r="QTG2" s="64"/>
      <c r="QTH2" s="72"/>
      <c r="QTI2" s="145"/>
      <c r="QTJ2" s="145"/>
      <c r="QTK2" s="126"/>
      <c r="QTL2" s="126"/>
      <c r="QTM2" s="64"/>
      <c r="QTN2" s="72"/>
      <c r="QTO2" s="145"/>
      <c r="QTP2" s="145"/>
      <c r="QTQ2" s="126"/>
      <c r="QTR2" s="126"/>
      <c r="QTS2" s="64"/>
      <c r="QTT2" s="72"/>
      <c r="QTU2" s="145"/>
      <c r="QTV2" s="145"/>
      <c r="QTW2" s="126"/>
      <c r="QTX2" s="126"/>
      <c r="QTY2" s="64"/>
      <c r="QTZ2" s="72"/>
      <c r="QUA2" s="145"/>
      <c r="QUB2" s="145"/>
      <c r="QUC2" s="126"/>
      <c r="QUD2" s="126"/>
      <c r="QUE2" s="64"/>
      <c r="QUF2" s="72"/>
      <c r="QUG2" s="145"/>
      <c r="QUH2" s="145"/>
      <c r="QUI2" s="126"/>
      <c r="QUJ2" s="126"/>
      <c r="QUK2" s="64"/>
      <c r="QUL2" s="72"/>
      <c r="QUM2" s="145"/>
      <c r="QUN2" s="145"/>
      <c r="QUO2" s="126"/>
      <c r="QUP2" s="126"/>
      <c r="QUQ2" s="64"/>
      <c r="QUR2" s="72"/>
      <c r="QUS2" s="145"/>
      <c r="QUT2" s="145"/>
      <c r="QUU2" s="126"/>
      <c r="QUV2" s="126"/>
      <c r="QUW2" s="64"/>
      <c r="QUX2" s="72"/>
      <c r="QUY2" s="145"/>
      <c r="QUZ2" s="145"/>
      <c r="QVA2" s="126"/>
      <c r="QVB2" s="126"/>
      <c r="QVC2" s="64"/>
      <c r="QVD2" s="72"/>
      <c r="QVE2" s="145"/>
      <c r="QVF2" s="145"/>
      <c r="QVG2" s="126"/>
      <c r="QVH2" s="126"/>
      <c r="QVI2" s="64"/>
      <c r="QVJ2" s="72"/>
      <c r="QVK2" s="145"/>
      <c r="QVL2" s="145"/>
      <c r="QVM2" s="126"/>
      <c r="QVN2" s="126"/>
      <c r="QVO2" s="64"/>
      <c r="QVP2" s="72"/>
      <c r="QVQ2" s="145"/>
      <c r="QVR2" s="145"/>
      <c r="QVS2" s="126"/>
      <c r="QVT2" s="126"/>
      <c r="QVU2" s="64"/>
      <c r="QVV2" s="72"/>
      <c r="QVW2" s="145"/>
      <c r="QVX2" s="145"/>
      <c r="QVY2" s="126"/>
      <c r="QVZ2" s="126"/>
      <c r="QWA2" s="64"/>
      <c r="QWB2" s="72"/>
      <c r="QWC2" s="145"/>
      <c r="QWD2" s="145"/>
      <c r="QWE2" s="126"/>
      <c r="QWF2" s="126"/>
      <c r="QWG2" s="64"/>
      <c r="QWH2" s="72"/>
      <c r="QWI2" s="145"/>
      <c r="QWJ2" s="145"/>
      <c r="QWK2" s="126"/>
      <c r="QWL2" s="126"/>
      <c r="QWM2" s="64"/>
      <c r="QWN2" s="72"/>
      <c r="QWO2" s="145"/>
      <c r="QWP2" s="145"/>
      <c r="QWQ2" s="126"/>
      <c r="QWR2" s="126"/>
      <c r="QWS2" s="64"/>
      <c r="QWT2" s="72"/>
      <c r="QWU2" s="145"/>
      <c r="QWV2" s="145"/>
      <c r="QWW2" s="126"/>
      <c r="QWX2" s="126"/>
      <c r="QWY2" s="64"/>
      <c r="QWZ2" s="72"/>
      <c r="QXA2" s="145"/>
      <c r="QXB2" s="145"/>
      <c r="QXC2" s="126"/>
      <c r="QXD2" s="126"/>
      <c r="QXE2" s="64"/>
      <c r="QXF2" s="72"/>
      <c r="QXG2" s="145"/>
      <c r="QXH2" s="145"/>
      <c r="QXI2" s="126"/>
      <c r="QXJ2" s="126"/>
      <c r="QXK2" s="64"/>
      <c r="QXL2" s="72"/>
      <c r="QXM2" s="145"/>
      <c r="QXN2" s="145"/>
      <c r="QXO2" s="126"/>
      <c r="QXP2" s="126"/>
      <c r="QXQ2" s="64"/>
      <c r="QXR2" s="72"/>
      <c r="QXS2" s="145"/>
      <c r="QXT2" s="145"/>
      <c r="QXU2" s="126"/>
      <c r="QXV2" s="126"/>
      <c r="QXW2" s="64"/>
      <c r="QXX2" s="72"/>
      <c r="QXY2" s="145"/>
      <c r="QXZ2" s="145"/>
      <c r="QYA2" s="126"/>
      <c r="QYB2" s="126"/>
      <c r="QYC2" s="64"/>
      <c r="QYD2" s="72"/>
      <c r="QYE2" s="145"/>
      <c r="QYF2" s="145"/>
      <c r="QYG2" s="126"/>
      <c r="QYH2" s="126"/>
      <c r="QYI2" s="64"/>
      <c r="QYJ2" s="72"/>
      <c r="QYK2" s="145"/>
      <c r="QYL2" s="145"/>
      <c r="QYM2" s="126"/>
      <c r="QYN2" s="126"/>
      <c r="QYO2" s="64"/>
      <c r="QYP2" s="72"/>
      <c r="QYQ2" s="145"/>
      <c r="QYR2" s="145"/>
      <c r="QYS2" s="126"/>
      <c r="QYT2" s="126"/>
      <c r="QYU2" s="64"/>
      <c r="QYV2" s="72"/>
      <c r="QYW2" s="145"/>
      <c r="QYX2" s="145"/>
      <c r="QYY2" s="126"/>
      <c r="QYZ2" s="126"/>
      <c r="QZA2" s="64"/>
      <c r="QZB2" s="72"/>
      <c r="QZC2" s="145"/>
      <c r="QZD2" s="145"/>
      <c r="QZE2" s="126"/>
      <c r="QZF2" s="126"/>
      <c r="QZG2" s="64"/>
      <c r="QZH2" s="72"/>
      <c r="QZI2" s="145"/>
      <c r="QZJ2" s="145"/>
      <c r="QZK2" s="126"/>
      <c r="QZL2" s="126"/>
      <c r="QZM2" s="64"/>
      <c r="QZN2" s="72"/>
      <c r="QZO2" s="145"/>
      <c r="QZP2" s="145"/>
      <c r="QZQ2" s="126"/>
      <c r="QZR2" s="126"/>
      <c r="QZS2" s="64"/>
      <c r="QZT2" s="72"/>
      <c r="QZU2" s="145"/>
      <c r="QZV2" s="145"/>
      <c r="QZW2" s="126"/>
      <c r="QZX2" s="126"/>
      <c r="QZY2" s="64"/>
      <c r="QZZ2" s="72"/>
      <c r="RAA2" s="145"/>
      <c r="RAB2" s="145"/>
      <c r="RAC2" s="126"/>
      <c r="RAD2" s="126"/>
      <c r="RAE2" s="64"/>
      <c r="RAF2" s="72"/>
      <c r="RAG2" s="145"/>
      <c r="RAH2" s="145"/>
      <c r="RAI2" s="126"/>
      <c r="RAJ2" s="126"/>
      <c r="RAK2" s="64"/>
      <c r="RAL2" s="72"/>
      <c r="RAM2" s="145"/>
      <c r="RAN2" s="145"/>
      <c r="RAO2" s="126"/>
      <c r="RAP2" s="126"/>
      <c r="RAQ2" s="64"/>
      <c r="RAR2" s="72"/>
      <c r="RAS2" s="145"/>
      <c r="RAT2" s="145"/>
      <c r="RAU2" s="126"/>
      <c r="RAV2" s="126"/>
      <c r="RAW2" s="64"/>
      <c r="RAX2" s="72"/>
      <c r="RAY2" s="145"/>
      <c r="RAZ2" s="145"/>
      <c r="RBA2" s="126"/>
      <c r="RBB2" s="126"/>
      <c r="RBC2" s="64"/>
      <c r="RBD2" s="72"/>
      <c r="RBE2" s="145"/>
      <c r="RBF2" s="145"/>
      <c r="RBG2" s="126"/>
      <c r="RBH2" s="126"/>
      <c r="RBI2" s="64"/>
      <c r="RBJ2" s="72"/>
      <c r="RBK2" s="145"/>
      <c r="RBL2" s="145"/>
      <c r="RBM2" s="126"/>
      <c r="RBN2" s="126"/>
      <c r="RBO2" s="64"/>
      <c r="RBP2" s="72"/>
      <c r="RBQ2" s="145"/>
      <c r="RBR2" s="145"/>
      <c r="RBS2" s="126"/>
      <c r="RBT2" s="126"/>
      <c r="RBU2" s="64"/>
      <c r="RBV2" s="72"/>
      <c r="RBW2" s="145"/>
      <c r="RBX2" s="145"/>
      <c r="RBY2" s="126"/>
      <c r="RBZ2" s="126"/>
      <c r="RCA2" s="64"/>
      <c r="RCB2" s="72"/>
      <c r="RCC2" s="145"/>
      <c r="RCD2" s="145"/>
      <c r="RCE2" s="126"/>
      <c r="RCF2" s="126"/>
      <c r="RCG2" s="64"/>
      <c r="RCH2" s="72"/>
      <c r="RCI2" s="145"/>
      <c r="RCJ2" s="145"/>
      <c r="RCK2" s="126"/>
      <c r="RCL2" s="126"/>
      <c r="RCM2" s="64"/>
      <c r="RCN2" s="72"/>
      <c r="RCO2" s="145"/>
      <c r="RCP2" s="145"/>
      <c r="RCQ2" s="126"/>
      <c r="RCR2" s="126"/>
      <c r="RCS2" s="64"/>
      <c r="RCT2" s="72"/>
      <c r="RCU2" s="145"/>
      <c r="RCV2" s="145"/>
      <c r="RCW2" s="126"/>
      <c r="RCX2" s="126"/>
      <c r="RCY2" s="64"/>
      <c r="RCZ2" s="72"/>
      <c r="RDA2" s="145"/>
      <c r="RDB2" s="145"/>
      <c r="RDC2" s="126"/>
      <c r="RDD2" s="126"/>
      <c r="RDE2" s="64"/>
      <c r="RDF2" s="72"/>
      <c r="RDG2" s="145"/>
      <c r="RDH2" s="145"/>
      <c r="RDI2" s="126"/>
      <c r="RDJ2" s="126"/>
      <c r="RDK2" s="64"/>
      <c r="RDL2" s="72"/>
      <c r="RDM2" s="145"/>
      <c r="RDN2" s="145"/>
      <c r="RDO2" s="126"/>
      <c r="RDP2" s="126"/>
      <c r="RDQ2" s="64"/>
      <c r="RDR2" s="72"/>
      <c r="RDS2" s="145"/>
      <c r="RDT2" s="145"/>
      <c r="RDU2" s="126"/>
      <c r="RDV2" s="126"/>
      <c r="RDW2" s="64"/>
      <c r="RDX2" s="72"/>
      <c r="RDY2" s="145"/>
      <c r="RDZ2" s="145"/>
      <c r="REA2" s="126"/>
      <c r="REB2" s="126"/>
      <c r="REC2" s="64"/>
      <c r="RED2" s="72"/>
      <c r="REE2" s="145"/>
      <c r="REF2" s="145"/>
      <c r="REG2" s="126"/>
      <c r="REH2" s="126"/>
      <c r="REI2" s="64"/>
      <c r="REJ2" s="72"/>
      <c r="REK2" s="145"/>
      <c r="REL2" s="145"/>
      <c r="REM2" s="126"/>
      <c r="REN2" s="126"/>
      <c r="REO2" s="64"/>
      <c r="REP2" s="72"/>
      <c r="REQ2" s="145"/>
      <c r="RER2" s="145"/>
      <c r="RES2" s="126"/>
      <c r="RET2" s="126"/>
      <c r="REU2" s="64"/>
      <c r="REV2" s="72"/>
      <c r="REW2" s="145"/>
      <c r="REX2" s="145"/>
      <c r="REY2" s="126"/>
      <c r="REZ2" s="126"/>
      <c r="RFA2" s="64"/>
      <c r="RFB2" s="72"/>
      <c r="RFC2" s="145"/>
      <c r="RFD2" s="145"/>
      <c r="RFE2" s="126"/>
      <c r="RFF2" s="126"/>
      <c r="RFG2" s="64"/>
      <c r="RFH2" s="72"/>
      <c r="RFI2" s="145"/>
      <c r="RFJ2" s="145"/>
      <c r="RFK2" s="126"/>
      <c r="RFL2" s="126"/>
      <c r="RFM2" s="64"/>
      <c r="RFN2" s="72"/>
      <c r="RFO2" s="145"/>
      <c r="RFP2" s="145"/>
      <c r="RFQ2" s="126"/>
      <c r="RFR2" s="126"/>
      <c r="RFS2" s="64"/>
      <c r="RFT2" s="72"/>
      <c r="RFU2" s="145"/>
      <c r="RFV2" s="145"/>
      <c r="RFW2" s="126"/>
      <c r="RFX2" s="126"/>
      <c r="RFY2" s="64"/>
      <c r="RFZ2" s="72"/>
      <c r="RGA2" s="145"/>
      <c r="RGB2" s="145"/>
      <c r="RGC2" s="126"/>
      <c r="RGD2" s="126"/>
      <c r="RGE2" s="64"/>
      <c r="RGF2" s="72"/>
      <c r="RGG2" s="145"/>
      <c r="RGH2" s="145"/>
      <c r="RGI2" s="126"/>
      <c r="RGJ2" s="126"/>
      <c r="RGK2" s="64"/>
      <c r="RGL2" s="72"/>
      <c r="RGM2" s="145"/>
      <c r="RGN2" s="145"/>
      <c r="RGO2" s="126"/>
      <c r="RGP2" s="126"/>
      <c r="RGQ2" s="64"/>
      <c r="RGR2" s="72"/>
      <c r="RGS2" s="145"/>
      <c r="RGT2" s="145"/>
      <c r="RGU2" s="126"/>
      <c r="RGV2" s="126"/>
      <c r="RGW2" s="64"/>
      <c r="RGX2" s="72"/>
      <c r="RGY2" s="145"/>
      <c r="RGZ2" s="145"/>
      <c r="RHA2" s="126"/>
      <c r="RHB2" s="126"/>
      <c r="RHC2" s="64"/>
      <c r="RHD2" s="72"/>
      <c r="RHE2" s="145"/>
      <c r="RHF2" s="145"/>
      <c r="RHG2" s="126"/>
      <c r="RHH2" s="126"/>
      <c r="RHI2" s="64"/>
      <c r="RHJ2" s="72"/>
      <c r="RHK2" s="145"/>
      <c r="RHL2" s="145"/>
      <c r="RHM2" s="126"/>
      <c r="RHN2" s="126"/>
      <c r="RHO2" s="64"/>
      <c r="RHP2" s="72"/>
      <c r="RHQ2" s="145"/>
      <c r="RHR2" s="145"/>
      <c r="RHS2" s="126"/>
      <c r="RHT2" s="126"/>
      <c r="RHU2" s="64"/>
      <c r="RHV2" s="72"/>
      <c r="RHW2" s="145"/>
      <c r="RHX2" s="145"/>
      <c r="RHY2" s="126"/>
      <c r="RHZ2" s="126"/>
      <c r="RIA2" s="64"/>
      <c r="RIB2" s="72"/>
      <c r="RIC2" s="145"/>
      <c r="RID2" s="145"/>
      <c r="RIE2" s="126"/>
      <c r="RIF2" s="126"/>
      <c r="RIG2" s="64"/>
      <c r="RIH2" s="72"/>
      <c r="RII2" s="145"/>
      <c r="RIJ2" s="145"/>
      <c r="RIK2" s="126"/>
      <c r="RIL2" s="126"/>
      <c r="RIM2" s="64"/>
      <c r="RIN2" s="72"/>
      <c r="RIO2" s="145"/>
      <c r="RIP2" s="145"/>
      <c r="RIQ2" s="126"/>
      <c r="RIR2" s="126"/>
      <c r="RIS2" s="64"/>
      <c r="RIT2" s="72"/>
      <c r="RIU2" s="145"/>
      <c r="RIV2" s="145"/>
      <c r="RIW2" s="126"/>
      <c r="RIX2" s="126"/>
      <c r="RIY2" s="64"/>
      <c r="RIZ2" s="72"/>
      <c r="RJA2" s="145"/>
      <c r="RJB2" s="145"/>
      <c r="RJC2" s="126"/>
      <c r="RJD2" s="126"/>
      <c r="RJE2" s="64"/>
      <c r="RJF2" s="72"/>
      <c r="RJG2" s="145"/>
      <c r="RJH2" s="145"/>
      <c r="RJI2" s="126"/>
      <c r="RJJ2" s="126"/>
      <c r="RJK2" s="64"/>
      <c r="RJL2" s="72"/>
      <c r="RJM2" s="145"/>
      <c r="RJN2" s="145"/>
      <c r="RJO2" s="126"/>
      <c r="RJP2" s="126"/>
      <c r="RJQ2" s="64"/>
      <c r="RJR2" s="72"/>
      <c r="RJS2" s="145"/>
      <c r="RJT2" s="145"/>
      <c r="RJU2" s="126"/>
      <c r="RJV2" s="126"/>
      <c r="RJW2" s="64"/>
      <c r="RJX2" s="72"/>
      <c r="RJY2" s="145"/>
      <c r="RJZ2" s="145"/>
      <c r="RKA2" s="126"/>
      <c r="RKB2" s="126"/>
      <c r="RKC2" s="64"/>
      <c r="RKD2" s="72"/>
      <c r="RKE2" s="145"/>
      <c r="RKF2" s="145"/>
      <c r="RKG2" s="126"/>
      <c r="RKH2" s="126"/>
      <c r="RKI2" s="64"/>
      <c r="RKJ2" s="72"/>
      <c r="RKK2" s="145"/>
      <c r="RKL2" s="145"/>
      <c r="RKM2" s="126"/>
      <c r="RKN2" s="126"/>
      <c r="RKO2" s="64"/>
      <c r="RKP2" s="72"/>
      <c r="RKQ2" s="145"/>
      <c r="RKR2" s="145"/>
      <c r="RKS2" s="126"/>
      <c r="RKT2" s="126"/>
      <c r="RKU2" s="64"/>
      <c r="RKV2" s="72"/>
      <c r="RKW2" s="145"/>
      <c r="RKX2" s="145"/>
      <c r="RKY2" s="126"/>
      <c r="RKZ2" s="126"/>
      <c r="RLA2" s="64"/>
      <c r="RLB2" s="72"/>
      <c r="RLC2" s="145"/>
      <c r="RLD2" s="145"/>
      <c r="RLE2" s="126"/>
      <c r="RLF2" s="126"/>
      <c r="RLG2" s="64"/>
      <c r="RLH2" s="72"/>
      <c r="RLI2" s="145"/>
      <c r="RLJ2" s="145"/>
      <c r="RLK2" s="126"/>
      <c r="RLL2" s="126"/>
      <c r="RLM2" s="64"/>
      <c r="RLN2" s="72"/>
      <c r="RLO2" s="145"/>
      <c r="RLP2" s="145"/>
      <c r="RLQ2" s="126"/>
      <c r="RLR2" s="126"/>
      <c r="RLS2" s="64"/>
      <c r="RLT2" s="72"/>
      <c r="RLU2" s="145"/>
      <c r="RLV2" s="145"/>
      <c r="RLW2" s="126"/>
      <c r="RLX2" s="126"/>
      <c r="RLY2" s="64"/>
      <c r="RLZ2" s="72"/>
      <c r="RMA2" s="145"/>
      <c r="RMB2" s="145"/>
      <c r="RMC2" s="126"/>
      <c r="RMD2" s="126"/>
      <c r="RME2" s="64"/>
      <c r="RMF2" s="72"/>
      <c r="RMG2" s="145"/>
      <c r="RMH2" s="145"/>
      <c r="RMI2" s="126"/>
      <c r="RMJ2" s="126"/>
      <c r="RMK2" s="64"/>
      <c r="RML2" s="72"/>
      <c r="RMM2" s="145"/>
      <c r="RMN2" s="145"/>
      <c r="RMO2" s="126"/>
      <c r="RMP2" s="126"/>
      <c r="RMQ2" s="64"/>
      <c r="RMR2" s="72"/>
      <c r="RMS2" s="145"/>
      <c r="RMT2" s="145"/>
      <c r="RMU2" s="126"/>
      <c r="RMV2" s="126"/>
      <c r="RMW2" s="64"/>
      <c r="RMX2" s="72"/>
      <c r="RMY2" s="145"/>
      <c r="RMZ2" s="145"/>
      <c r="RNA2" s="126"/>
      <c r="RNB2" s="126"/>
      <c r="RNC2" s="64"/>
      <c r="RND2" s="72"/>
      <c r="RNE2" s="145"/>
      <c r="RNF2" s="145"/>
      <c r="RNG2" s="126"/>
      <c r="RNH2" s="126"/>
      <c r="RNI2" s="64"/>
      <c r="RNJ2" s="72"/>
      <c r="RNK2" s="145"/>
      <c r="RNL2" s="145"/>
      <c r="RNM2" s="126"/>
      <c r="RNN2" s="126"/>
      <c r="RNO2" s="64"/>
      <c r="RNP2" s="72"/>
      <c r="RNQ2" s="145"/>
      <c r="RNR2" s="145"/>
      <c r="RNS2" s="126"/>
      <c r="RNT2" s="126"/>
      <c r="RNU2" s="64"/>
      <c r="RNV2" s="72"/>
      <c r="RNW2" s="145"/>
      <c r="RNX2" s="145"/>
      <c r="RNY2" s="126"/>
      <c r="RNZ2" s="126"/>
      <c r="ROA2" s="64"/>
      <c r="ROB2" s="72"/>
      <c r="ROC2" s="145"/>
      <c r="ROD2" s="145"/>
      <c r="ROE2" s="126"/>
      <c r="ROF2" s="126"/>
      <c r="ROG2" s="64"/>
      <c r="ROH2" s="72"/>
      <c r="ROI2" s="145"/>
      <c r="ROJ2" s="145"/>
      <c r="ROK2" s="126"/>
      <c r="ROL2" s="126"/>
      <c r="ROM2" s="64"/>
      <c r="RON2" s="72"/>
      <c r="ROO2" s="145"/>
      <c r="ROP2" s="145"/>
      <c r="ROQ2" s="126"/>
      <c r="ROR2" s="126"/>
      <c r="ROS2" s="64"/>
      <c r="ROT2" s="72"/>
      <c r="ROU2" s="145"/>
      <c r="ROV2" s="145"/>
      <c r="ROW2" s="126"/>
      <c r="ROX2" s="126"/>
      <c r="ROY2" s="64"/>
      <c r="ROZ2" s="72"/>
      <c r="RPA2" s="145"/>
      <c r="RPB2" s="145"/>
      <c r="RPC2" s="126"/>
      <c r="RPD2" s="126"/>
      <c r="RPE2" s="64"/>
      <c r="RPF2" s="72"/>
      <c r="RPG2" s="145"/>
      <c r="RPH2" s="145"/>
      <c r="RPI2" s="126"/>
      <c r="RPJ2" s="126"/>
      <c r="RPK2" s="64"/>
      <c r="RPL2" s="72"/>
      <c r="RPM2" s="145"/>
      <c r="RPN2" s="145"/>
      <c r="RPO2" s="126"/>
      <c r="RPP2" s="126"/>
      <c r="RPQ2" s="64"/>
      <c r="RPR2" s="72"/>
      <c r="RPS2" s="145"/>
      <c r="RPT2" s="145"/>
      <c r="RPU2" s="126"/>
      <c r="RPV2" s="126"/>
      <c r="RPW2" s="64"/>
      <c r="RPX2" s="72"/>
      <c r="RPY2" s="145"/>
      <c r="RPZ2" s="145"/>
      <c r="RQA2" s="126"/>
      <c r="RQB2" s="126"/>
      <c r="RQC2" s="64"/>
      <c r="RQD2" s="72"/>
      <c r="RQE2" s="145"/>
      <c r="RQF2" s="145"/>
      <c r="RQG2" s="126"/>
      <c r="RQH2" s="126"/>
      <c r="RQI2" s="64"/>
      <c r="RQJ2" s="72"/>
      <c r="RQK2" s="145"/>
      <c r="RQL2" s="145"/>
      <c r="RQM2" s="126"/>
      <c r="RQN2" s="126"/>
      <c r="RQO2" s="64"/>
      <c r="RQP2" s="72"/>
      <c r="RQQ2" s="145"/>
      <c r="RQR2" s="145"/>
      <c r="RQS2" s="126"/>
      <c r="RQT2" s="126"/>
      <c r="RQU2" s="64"/>
      <c r="RQV2" s="72"/>
      <c r="RQW2" s="145"/>
      <c r="RQX2" s="145"/>
      <c r="RQY2" s="126"/>
      <c r="RQZ2" s="126"/>
      <c r="RRA2" s="64"/>
      <c r="RRB2" s="72"/>
      <c r="RRC2" s="145"/>
      <c r="RRD2" s="145"/>
      <c r="RRE2" s="126"/>
      <c r="RRF2" s="126"/>
      <c r="RRG2" s="64"/>
      <c r="RRH2" s="72"/>
      <c r="RRI2" s="145"/>
      <c r="RRJ2" s="145"/>
      <c r="RRK2" s="126"/>
      <c r="RRL2" s="126"/>
      <c r="RRM2" s="64"/>
      <c r="RRN2" s="72"/>
      <c r="RRO2" s="145"/>
      <c r="RRP2" s="145"/>
      <c r="RRQ2" s="126"/>
      <c r="RRR2" s="126"/>
      <c r="RRS2" s="64"/>
      <c r="RRT2" s="72"/>
      <c r="RRU2" s="145"/>
      <c r="RRV2" s="145"/>
      <c r="RRW2" s="126"/>
      <c r="RRX2" s="126"/>
      <c r="RRY2" s="64"/>
      <c r="RRZ2" s="72"/>
      <c r="RSA2" s="145"/>
      <c r="RSB2" s="145"/>
      <c r="RSC2" s="126"/>
      <c r="RSD2" s="126"/>
      <c r="RSE2" s="64"/>
      <c r="RSF2" s="72"/>
      <c r="RSG2" s="145"/>
      <c r="RSH2" s="145"/>
      <c r="RSI2" s="126"/>
      <c r="RSJ2" s="126"/>
      <c r="RSK2" s="64"/>
      <c r="RSL2" s="72"/>
      <c r="RSM2" s="145"/>
      <c r="RSN2" s="145"/>
      <c r="RSO2" s="126"/>
      <c r="RSP2" s="126"/>
      <c r="RSQ2" s="64"/>
      <c r="RSR2" s="72"/>
      <c r="RSS2" s="145"/>
      <c r="RST2" s="145"/>
      <c r="RSU2" s="126"/>
      <c r="RSV2" s="126"/>
      <c r="RSW2" s="64"/>
      <c r="RSX2" s="72"/>
      <c r="RSY2" s="145"/>
      <c r="RSZ2" s="145"/>
      <c r="RTA2" s="126"/>
      <c r="RTB2" s="126"/>
      <c r="RTC2" s="64"/>
      <c r="RTD2" s="72"/>
      <c r="RTE2" s="145"/>
      <c r="RTF2" s="145"/>
      <c r="RTG2" s="126"/>
      <c r="RTH2" s="126"/>
      <c r="RTI2" s="64"/>
      <c r="RTJ2" s="72"/>
      <c r="RTK2" s="145"/>
      <c r="RTL2" s="145"/>
      <c r="RTM2" s="126"/>
      <c r="RTN2" s="126"/>
      <c r="RTO2" s="64"/>
      <c r="RTP2" s="72"/>
      <c r="RTQ2" s="145"/>
      <c r="RTR2" s="145"/>
      <c r="RTS2" s="126"/>
      <c r="RTT2" s="126"/>
      <c r="RTU2" s="64"/>
      <c r="RTV2" s="72"/>
      <c r="RTW2" s="145"/>
      <c r="RTX2" s="145"/>
      <c r="RTY2" s="126"/>
      <c r="RTZ2" s="126"/>
      <c r="RUA2" s="64"/>
      <c r="RUB2" s="72"/>
      <c r="RUC2" s="145"/>
      <c r="RUD2" s="145"/>
      <c r="RUE2" s="126"/>
      <c r="RUF2" s="126"/>
      <c r="RUG2" s="64"/>
      <c r="RUH2" s="72"/>
      <c r="RUI2" s="145"/>
      <c r="RUJ2" s="145"/>
      <c r="RUK2" s="126"/>
      <c r="RUL2" s="126"/>
      <c r="RUM2" s="64"/>
      <c r="RUN2" s="72"/>
      <c r="RUO2" s="145"/>
      <c r="RUP2" s="145"/>
      <c r="RUQ2" s="126"/>
      <c r="RUR2" s="126"/>
      <c r="RUS2" s="64"/>
      <c r="RUT2" s="72"/>
      <c r="RUU2" s="145"/>
      <c r="RUV2" s="145"/>
      <c r="RUW2" s="126"/>
      <c r="RUX2" s="126"/>
      <c r="RUY2" s="64"/>
      <c r="RUZ2" s="72"/>
      <c r="RVA2" s="145"/>
      <c r="RVB2" s="145"/>
      <c r="RVC2" s="126"/>
      <c r="RVD2" s="126"/>
      <c r="RVE2" s="64"/>
      <c r="RVF2" s="72"/>
      <c r="RVG2" s="145"/>
      <c r="RVH2" s="145"/>
      <c r="RVI2" s="126"/>
      <c r="RVJ2" s="126"/>
      <c r="RVK2" s="64"/>
      <c r="RVL2" s="72"/>
      <c r="RVM2" s="145"/>
      <c r="RVN2" s="145"/>
      <c r="RVO2" s="126"/>
      <c r="RVP2" s="126"/>
      <c r="RVQ2" s="64"/>
      <c r="RVR2" s="72"/>
      <c r="RVS2" s="145"/>
      <c r="RVT2" s="145"/>
      <c r="RVU2" s="126"/>
      <c r="RVV2" s="126"/>
      <c r="RVW2" s="64"/>
      <c r="RVX2" s="72"/>
      <c r="RVY2" s="145"/>
      <c r="RVZ2" s="145"/>
      <c r="RWA2" s="126"/>
      <c r="RWB2" s="126"/>
      <c r="RWC2" s="64"/>
      <c r="RWD2" s="72"/>
      <c r="RWE2" s="145"/>
      <c r="RWF2" s="145"/>
      <c r="RWG2" s="126"/>
      <c r="RWH2" s="126"/>
      <c r="RWI2" s="64"/>
      <c r="RWJ2" s="72"/>
      <c r="RWK2" s="145"/>
      <c r="RWL2" s="145"/>
      <c r="RWM2" s="126"/>
      <c r="RWN2" s="126"/>
      <c r="RWO2" s="64"/>
      <c r="RWP2" s="72"/>
      <c r="RWQ2" s="145"/>
      <c r="RWR2" s="145"/>
      <c r="RWS2" s="126"/>
      <c r="RWT2" s="126"/>
      <c r="RWU2" s="64"/>
      <c r="RWV2" s="72"/>
      <c r="RWW2" s="145"/>
      <c r="RWX2" s="145"/>
      <c r="RWY2" s="126"/>
      <c r="RWZ2" s="126"/>
      <c r="RXA2" s="64"/>
      <c r="RXB2" s="72"/>
      <c r="RXC2" s="145"/>
      <c r="RXD2" s="145"/>
      <c r="RXE2" s="126"/>
      <c r="RXF2" s="126"/>
      <c r="RXG2" s="64"/>
      <c r="RXH2" s="72"/>
      <c r="RXI2" s="145"/>
      <c r="RXJ2" s="145"/>
      <c r="RXK2" s="126"/>
      <c r="RXL2" s="126"/>
      <c r="RXM2" s="64"/>
      <c r="RXN2" s="72"/>
      <c r="RXO2" s="145"/>
      <c r="RXP2" s="145"/>
      <c r="RXQ2" s="126"/>
      <c r="RXR2" s="126"/>
      <c r="RXS2" s="64"/>
      <c r="RXT2" s="72"/>
      <c r="RXU2" s="145"/>
      <c r="RXV2" s="145"/>
      <c r="RXW2" s="126"/>
      <c r="RXX2" s="126"/>
      <c r="RXY2" s="64"/>
      <c r="RXZ2" s="72"/>
      <c r="RYA2" s="145"/>
      <c r="RYB2" s="145"/>
      <c r="RYC2" s="126"/>
      <c r="RYD2" s="126"/>
      <c r="RYE2" s="64"/>
      <c r="RYF2" s="72"/>
      <c r="RYG2" s="145"/>
      <c r="RYH2" s="145"/>
      <c r="RYI2" s="126"/>
      <c r="RYJ2" s="126"/>
      <c r="RYK2" s="64"/>
      <c r="RYL2" s="72"/>
      <c r="RYM2" s="145"/>
      <c r="RYN2" s="145"/>
      <c r="RYO2" s="126"/>
      <c r="RYP2" s="126"/>
      <c r="RYQ2" s="64"/>
      <c r="RYR2" s="72"/>
      <c r="RYS2" s="145"/>
      <c r="RYT2" s="145"/>
      <c r="RYU2" s="126"/>
      <c r="RYV2" s="126"/>
      <c r="RYW2" s="64"/>
      <c r="RYX2" s="72"/>
      <c r="RYY2" s="145"/>
      <c r="RYZ2" s="145"/>
      <c r="RZA2" s="126"/>
      <c r="RZB2" s="126"/>
      <c r="RZC2" s="64"/>
      <c r="RZD2" s="72"/>
      <c r="RZE2" s="145"/>
      <c r="RZF2" s="145"/>
      <c r="RZG2" s="126"/>
      <c r="RZH2" s="126"/>
      <c r="RZI2" s="64"/>
      <c r="RZJ2" s="72"/>
      <c r="RZK2" s="145"/>
      <c r="RZL2" s="145"/>
      <c r="RZM2" s="126"/>
      <c r="RZN2" s="126"/>
      <c r="RZO2" s="64"/>
      <c r="RZP2" s="72"/>
      <c r="RZQ2" s="145"/>
      <c r="RZR2" s="145"/>
      <c r="RZS2" s="126"/>
      <c r="RZT2" s="126"/>
      <c r="RZU2" s="64"/>
      <c r="RZV2" s="72"/>
      <c r="RZW2" s="145"/>
      <c r="RZX2" s="145"/>
      <c r="RZY2" s="126"/>
      <c r="RZZ2" s="126"/>
      <c r="SAA2" s="64"/>
      <c r="SAB2" s="72"/>
      <c r="SAC2" s="145"/>
      <c r="SAD2" s="145"/>
      <c r="SAE2" s="126"/>
      <c r="SAF2" s="126"/>
      <c r="SAG2" s="64"/>
      <c r="SAH2" s="72"/>
      <c r="SAI2" s="145"/>
      <c r="SAJ2" s="145"/>
      <c r="SAK2" s="126"/>
      <c r="SAL2" s="126"/>
      <c r="SAM2" s="64"/>
      <c r="SAN2" s="72"/>
      <c r="SAO2" s="145"/>
      <c r="SAP2" s="145"/>
      <c r="SAQ2" s="126"/>
      <c r="SAR2" s="126"/>
      <c r="SAS2" s="64"/>
      <c r="SAT2" s="72"/>
      <c r="SAU2" s="145"/>
      <c r="SAV2" s="145"/>
      <c r="SAW2" s="126"/>
      <c r="SAX2" s="126"/>
      <c r="SAY2" s="64"/>
      <c r="SAZ2" s="72"/>
      <c r="SBA2" s="145"/>
      <c r="SBB2" s="145"/>
      <c r="SBC2" s="126"/>
      <c r="SBD2" s="126"/>
      <c r="SBE2" s="64"/>
      <c r="SBF2" s="72"/>
      <c r="SBG2" s="145"/>
      <c r="SBH2" s="145"/>
      <c r="SBI2" s="126"/>
      <c r="SBJ2" s="126"/>
      <c r="SBK2" s="64"/>
      <c r="SBL2" s="72"/>
      <c r="SBM2" s="145"/>
      <c r="SBN2" s="145"/>
      <c r="SBO2" s="126"/>
      <c r="SBP2" s="126"/>
      <c r="SBQ2" s="64"/>
      <c r="SBR2" s="72"/>
      <c r="SBS2" s="145"/>
      <c r="SBT2" s="145"/>
      <c r="SBU2" s="126"/>
      <c r="SBV2" s="126"/>
      <c r="SBW2" s="64"/>
      <c r="SBX2" s="72"/>
      <c r="SBY2" s="145"/>
      <c r="SBZ2" s="145"/>
      <c r="SCA2" s="126"/>
      <c r="SCB2" s="126"/>
      <c r="SCC2" s="64"/>
      <c r="SCD2" s="72"/>
      <c r="SCE2" s="145"/>
      <c r="SCF2" s="145"/>
      <c r="SCG2" s="126"/>
      <c r="SCH2" s="126"/>
      <c r="SCI2" s="64"/>
      <c r="SCJ2" s="72"/>
      <c r="SCK2" s="145"/>
      <c r="SCL2" s="145"/>
      <c r="SCM2" s="126"/>
      <c r="SCN2" s="126"/>
      <c r="SCO2" s="64"/>
      <c r="SCP2" s="72"/>
      <c r="SCQ2" s="145"/>
      <c r="SCR2" s="145"/>
      <c r="SCS2" s="126"/>
      <c r="SCT2" s="126"/>
      <c r="SCU2" s="64"/>
      <c r="SCV2" s="72"/>
      <c r="SCW2" s="145"/>
      <c r="SCX2" s="145"/>
      <c r="SCY2" s="126"/>
      <c r="SCZ2" s="126"/>
      <c r="SDA2" s="64"/>
      <c r="SDB2" s="72"/>
      <c r="SDC2" s="145"/>
      <c r="SDD2" s="145"/>
      <c r="SDE2" s="126"/>
      <c r="SDF2" s="126"/>
      <c r="SDG2" s="64"/>
      <c r="SDH2" s="72"/>
      <c r="SDI2" s="145"/>
      <c r="SDJ2" s="145"/>
      <c r="SDK2" s="126"/>
      <c r="SDL2" s="126"/>
      <c r="SDM2" s="64"/>
      <c r="SDN2" s="72"/>
      <c r="SDO2" s="145"/>
      <c r="SDP2" s="145"/>
      <c r="SDQ2" s="126"/>
      <c r="SDR2" s="126"/>
      <c r="SDS2" s="64"/>
      <c r="SDT2" s="72"/>
      <c r="SDU2" s="145"/>
      <c r="SDV2" s="145"/>
      <c r="SDW2" s="126"/>
      <c r="SDX2" s="126"/>
      <c r="SDY2" s="64"/>
      <c r="SDZ2" s="72"/>
      <c r="SEA2" s="145"/>
      <c r="SEB2" s="145"/>
      <c r="SEC2" s="126"/>
      <c r="SED2" s="126"/>
      <c r="SEE2" s="64"/>
      <c r="SEF2" s="72"/>
      <c r="SEG2" s="145"/>
      <c r="SEH2" s="145"/>
      <c r="SEI2" s="126"/>
      <c r="SEJ2" s="126"/>
      <c r="SEK2" s="64"/>
      <c r="SEL2" s="72"/>
      <c r="SEM2" s="145"/>
      <c r="SEN2" s="145"/>
      <c r="SEO2" s="126"/>
      <c r="SEP2" s="126"/>
      <c r="SEQ2" s="64"/>
      <c r="SER2" s="72"/>
      <c r="SES2" s="145"/>
      <c r="SET2" s="145"/>
      <c r="SEU2" s="126"/>
      <c r="SEV2" s="126"/>
      <c r="SEW2" s="64"/>
      <c r="SEX2" s="72"/>
      <c r="SEY2" s="145"/>
      <c r="SEZ2" s="145"/>
      <c r="SFA2" s="126"/>
      <c r="SFB2" s="126"/>
      <c r="SFC2" s="64"/>
      <c r="SFD2" s="72"/>
      <c r="SFE2" s="145"/>
      <c r="SFF2" s="145"/>
      <c r="SFG2" s="126"/>
      <c r="SFH2" s="126"/>
      <c r="SFI2" s="64"/>
      <c r="SFJ2" s="72"/>
      <c r="SFK2" s="145"/>
      <c r="SFL2" s="145"/>
      <c r="SFM2" s="126"/>
      <c r="SFN2" s="126"/>
      <c r="SFO2" s="64"/>
      <c r="SFP2" s="72"/>
      <c r="SFQ2" s="145"/>
      <c r="SFR2" s="145"/>
      <c r="SFS2" s="126"/>
      <c r="SFT2" s="126"/>
      <c r="SFU2" s="64"/>
      <c r="SFV2" s="72"/>
      <c r="SFW2" s="145"/>
      <c r="SFX2" s="145"/>
      <c r="SFY2" s="126"/>
      <c r="SFZ2" s="126"/>
      <c r="SGA2" s="64"/>
      <c r="SGB2" s="72"/>
      <c r="SGC2" s="145"/>
      <c r="SGD2" s="145"/>
      <c r="SGE2" s="126"/>
      <c r="SGF2" s="126"/>
      <c r="SGG2" s="64"/>
      <c r="SGH2" s="72"/>
      <c r="SGI2" s="145"/>
      <c r="SGJ2" s="145"/>
      <c r="SGK2" s="126"/>
      <c r="SGL2" s="126"/>
      <c r="SGM2" s="64"/>
      <c r="SGN2" s="72"/>
      <c r="SGO2" s="145"/>
      <c r="SGP2" s="145"/>
      <c r="SGQ2" s="126"/>
      <c r="SGR2" s="126"/>
      <c r="SGS2" s="64"/>
      <c r="SGT2" s="72"/>
      <c r="SGU2" s="145"/>
      <c r="SGV2" s="145"/>
      <c r="SGW2" s="126"/>
      <c r="SGX2" s="126"/>
      <c r="SGY2" s="64"/>
      <c r="SGZ2" s="72"/>
      <c r="SHA2" s="145"/>
      <c r="SHB2" s="145"/>
      <c r="SHC2" s="126"/>
      <c r="SHD2" s="126"/>
      <c r="SHE2" s="64"/>
      <c r="SHF2" s="72"/>
      <c r="SHG2" s="145"/>
      <c r="SHH2" s="145"/>
      <c r="SHI2" s="126"/>
      <c r="SHJ2" s="126"/>
      <c r="SHK2" s="64"/>
      <c r="SHL2" s="72"/>
      <c r="SHM2" s="145"/>
      <c r="SHN2" s="145"/>
      <c r="SHO2" s="126"/>
      <c r="SHP2" s="126"/>
      <c r="SHQ2" s="64"/>
      <c r="SHR2" s="72"/>
      <c r="SHS2" s="145"/>
      <c r="SHT2" s="145"/>
      <c r="SHU2" s="126"/>
      <c r="SHV2" s="126"/>
      <c r="SHW2" s="64"/>
      <c r="SHX2" s="72"/>
      <c r="SHY2" s="145"/>
      <c r="SHZ2" s="145"/>
      <c r="SIA2" s="126"/>
      <c r="SIB2" s="126"/>
      <c r="SIC2" s="64"/>
      <c r="SID2" s="72"/>
      <c r="SIE2" s="145"/>
      <c r="SIF2" s="145"/>
      <c r="SIG2" s="126"/>
      <c r="SIH2" s="126"/>
      <c r="SII2" s="64"/>
      <c r="SIJ2" s="72"/>
      <c r="SIK2" s="145"/>
      <c r="SIL2" s="145"/>
      <c r="SIM2" s="126"/>
      <c r="SIN2" s="126"/>
      <c r="SIO2" s="64"/>
      <c r="SIP2" s="72"/>
      <c r="SIQ2" s="145"/>
      <c r="SIR2" s="145"/>
      <c r="SIS2" s="126"/>
      <c r="SIT2" s="126"/>
      <c r="SIU2" s="64"/>
      <c r="SIV2" s="72"/>
      <c r="SIW2" s="145"/>
      <c r="SIX2" s="145"/>
      <c r="SIY2" s="126"/>
      <c r="SIZ2" s="126"/>
      <c r="SJA2" s="64"/>
      <c r="SJB2" s="72"/>
      <c r="SJC2" s="145"/>
      <c r="SJD2" s="145"/>
      <c r="SJE2" s="126"/>
      <c r="SJF2" s="126"/>
      <c r="SJG2" s="64"/>
      <c r="SJH2" s="72"/>
      <c r="SJI2" s="145"/>
      <c r="SJJ2" s="145"/>
      <c r="SJK2" s="126"/>
      <c r="SJL2" s="126"/>
      <c r="SJM2" s="64"/>
      <c r="SJN2" s="72"/>
      <c r="SJO2" s="145"/>
      <c r="SJP2" s="145"/>
      <c r="SJQ2" s="126"/>
      <c r="SJR2" s="126"/>
      <c r="SJS2" s="64"/>
      <c r="SJT2" s="72"/>
      <c r="SJU2" s="145"/>
      <c r="SJV2" s="145"/>
      <c r="SJW2" s="126"/>
      <c r="SJX2" s="126"/>
      <c r="SJY2" s="64"/>
      <c r="SJZ2" s="72"/>
      <c r="SKA2" s="145"/>
      <c r="SKB2" s="145"/>
      <c r="SKC2" s="126"/>
      <c r="SKD2" s="126"/>
      <c r="SKE2" s="64"/>
      <c r="SKF2" s="72"/>
      <c r="SKG2" s="145"/>
      <c r="SKH2" s="145"/>
      <c r="SKI2" s="126"/>
      <c r="SKJ2" s="126"/>
      <c r="SKK2" s="64"/>
      <c r="SKL2" s="72"/>
      <c r="SKM2" s="145"/>
      <c r="SKN2" s="145"/>
      <c r="SKO2" s="126"/>
      <c r="SKP2" s="126"/>
      <c r="SKQ2" s="64"/>
      <c r="SKR2" s="72"/>
      <c r="SKS2" s="145"/>
      <c r="SKT2" s="145"/>
      <c r="SKU2" s="126"/>
      <c r="SKV2" s="126"/>
      <c r="SKW2" s="64"/>
      <c r="SKX2" s="72"/>
      <c r="SKY2" s="145"/>
      <c r="SKZ2" s="145"/>
      <c r="SLA2" s="126"/>
      <c r="SLB2" s="126"/>
      <c r="SLC2" s="64"/>
      <c r="SLD2" s="72"/>
      <c r="SLE2" s="145"/>
      <c r="SLF2" s="145"/>
      <c r="SLG2" s="126"/>
      <c r="SLH2" s="126"/>
      <c r="SLI2" s="64"/>
      <c r="SLJ2" s="72"/>
      <c r="SLK2" s="145"/>
      <c r="SLL2" s="145"/>
      <c r="SLM2" s="126"/>
      <c r="SLN2" s="126"/>
      <c r="SLO2" s="64"/>
      <c r="SLP2" s="72"/>
      <c r="SLQ2" s="145"/>
      <c r="SLR2" s="145"/>
      <c r="SLS2" s="126"/>
      <c r="SLT2" s="126"/>
      <c r="SLU2" s="64"/>
      <c r="SLV2" s="72"/>
      <c r="SLW2" s="145"/>
      <c r="SLX2" s="145"/>
      <c r="SLY2" s="126"/>
      <c r="SLZ2" s="126"/>
      <c r="SMA2" s="64"/>
      <c r="SMB2" s="72"/>
      <c r="SMC2" s="145"/>
      <c r="SMD2" s="145"/>
      <c r="SME2" s="126"/>
      <c r="SMF2" s="126"/>
      <c r="SMG2" s="64"/>
      <c r="SMH2" s="72"/>
      <c r="SMI2" s="145"/>
      <c r="SMJ2" s="145"/>
      <c r="SMK2" s="126"/>
      <c r="SML2" s="126"/>
      <c r="SMM2" s="64"/>
      <c r="SMN2" s="72"/>
      <c r="SMO2" s="145"/>
      <c r="SMP2" s="145"/>
      <c r="SMQ2" s="126"/>
      <c r="SMR2" s="126"/>
      <c r="SMS2" s="64"/>
      <c r="SMT2" s="72"/>
      <c r="SMU2" s="145"/>
      <c r="SMV2" s="145"/>
      <c r="SMW2" s="126"/>
      <c r="SMX2" s="126"/>
      <c r="SMY2" s="64"/>
      <c r="SMZ2" s="72"/>
      <c r="SNA2" s="145"/>
      <c r="SNB2" s="145"/>
      <c r="SNC2" s="126"/>
      <c r="SND2" s="126"/>
      <c r="SNE2" s="64"/>
      <c r="SNF2" s="72"/>
      <c r="SNG2" s="145"/>
      <c r="SNH2" s="145"/>
      <c r="SNI2" s="126"/>
      <c r="SNJ2" s="126"/>
      <c r="SNK2" s="64"/>
      <c r="SNL2" s="72"/>
      <c r="SNM2" s="145"/>
      <c r="SNN2" s="145"/>
      <c r="SNO2" s="126"/>
      <c r="SNP2" s="126"/>
      <c r="SNQ2" s="64"/>
      <c r="SNR2" s="72"/>
      <c r="SNS2" s="145"/>
      <c r="SNT2" s="145"/>
      <c r="SNU2" s="126"/>
      <c r="SNV2" s="126"/>
      <c r="SNW2" s="64"/>
      <c r="SNX2" s="72"/>
      <c r="SNY2" s="145"/>
      <c r="SNZ2" s="145"/>
      <c r="SOA2" s="126"/>
      <c r="SOB2" s="126"/>
      <c r="SOC2" s="64"/>
      <c r="SOD2" s="72"/>
      <c r="SOE2" s="145"/>
      <c r="SOF2" s="145"/>
      <c r="SOG2" s="126"/>
      <c r="SOH2" s="126"/>
      <c r="SOI2" s="64"/>
      <c r="SOJ2" s="72"/>
      <c r="SOK2" s="145"/>
      <c r="SOL2" s="145"/>
      <c r="SOM2" s="126"/>
      <c r="SON2" s="126"/>
      <c r="SOO2" s="64"/>
      <c r="SOP2" s="72"/>
      <c r="SOQ2" s="145"/>
      <c r="SOR2" s="145"/>
      <c r="SOS2" s="126"/>
      <c r="SOT2" s="126"/>
      <c r="SOU2" s="64"/>
      <c r="SOV2" s="72"/>
      <c r="SOW2" s="145"/>
      <c r="SOX2" s="145"/>
      <c r="SOY2" s="126"/>
      <c r="SOZ2" s="126"/>
      <c r="SPA2" s="64"/>
      <c r="SPB2" s="72"/>
      <c r="SPC2" s="145"/>
      <c r="SPD2" s="145"/>
      <c r="SPE2" s="126"/>
      <c r="SPF2" s="126"/>
      <c r="SPG2" s="64"/>
      <c r="SPH2" s="72"/>
      <c r="SPI2" s="145"/>
      <c r="SPJ2" s="145"/>
      <c r="SPK2" s="126"/>
      <c r="SPL2" s="126"/>
      <c r="SPM2" s="64"/>
      <c r="SPN2" s="72"/>
      <c r="SPO2" s="145"/>
      <c r="SPP2" s="145"/>
      <c r="SPQ2" s="126"/>
      <c r="SPR2" s="126"/>
      <c r="SPS2" s="64"/>
      <c r="SPT2" s="72"/>
      <c r="SPU2" s="145"/>
      <c r="SPV2" s="145"/>
      <c r="SPW2" s="126"/>
      <c r="SPX2" s="126"/>
      <c r="SPY2" s="64"/>
      <c r="SPZ2" s="72"/>
      <c r="SQA2" s="145"/>
      <c r="SQB2" s="145"/>
      <c r="SQC2" s="126"/>
      <c r="SQD2" s="126"/>
      <c r="SQE2" s="64"/>
      <c r="SQF2" s="72"/>
      <c r="SQG2" s="145"/>
      <c r="SQH2" s="145"/>
      <c r="SQI2" s="126"/>
      <c r="SQJ2" s="126"/>
      <c r="SQK2" s="64"/>
      <c r="SQL2" s="72"/>
      <c r="SQM2" s="145"/>
      <c r="SQN2" s="145"/>
      <c r="SQO2" s="126"/>
      <c r="SQP2" s="126"/>
      <c r="SQQ2" s="64"/>
      <c r="SQR2" s="72"/>
      <c r="SQS2" s="145"/>
      <c r="SQT2" s="145"/>
      <c r="SQU2" s="126"/>
      <c r="SQV2" s="126"/>
      <c r="SQW2" s="64"/>
      <c r="SQX2" s="72"/>
      <c r="SQY2" s="145"/>
      <c r="SQZ2" s="145"/>
      <c r="SRA2" s="126"/>
      <c r="SRB2" s="126"/>
      <c r="SRC2" s="64"/>
      <c r="SRD2" s="72"/>
      <c r="SRE2" s="145"/>
      <c r="SRF2" s="145"/>
      <c r="SRG2" s="126"/>
      <c r="SRH2" s="126"/>
      <c r="SRI2" s="64"/>
      <c r="SRJ2" s="72"/>
      <c r="SRK2" s="145"/>
      <c r="SRL2" s="145"/>
      <c r="SRM2" s="126"/>
      <c r="SRN2" s="126"/>
      <c r="SRO2" s="64"/>
      <c r="SRP2" s="72"/>
      <c r="SRQ2" s="145"/>
      <c r="SRR2" s="145"/>
      <c r="SRS2" s="126"/>
      <c r="SRT2" s="126"/>
      <c r="SRU2" s="64"/>
      <c r="SRV2" s="72"/>
      <c r="SRW2" s="145"/>
      <c r="SRX2" s="145"/>
      <c r="SRY2" s="126"/>
      <c r="SRZ2" s="126"/>
      <c r="SSA2" s="64"/>
      <c r="SSB2" s="72"/>
      <c r="SSC2" s="145"/>
      <c r="SSD2" s="145"/>
      <c r="SSE2" s="126"/>
      <c r="SSF2" s="126"/>
      <c r="SSG2" s="64"/>
      <c r="SSH2" s="72"/>
      <c r="SSI2" s="145"/>
      <c r="SSJ2" s="145"/>
      <c r="SSK2" s="126"/>
      <c r="SSL2" s="126"/>
      <c r="SSM2" s="64"/>
      <c r="SSN2" s="72"/>
      <c r="SSO2" s="145"/>
      <c r="SSP2" s="145"/>
      <c r="SSQ2" s="126"/>
      <c r="SSR2" s="126"/>
      <c r="SSS2" s="64"/>
      <c r="SST2" s="72"/>
      <c r="SSU2" s="145"/>
      <c r="SSV2" s="145"/>
      <c r="SSW2" s="126"/>
      <c r="SSX2" s="126"/>
      <c r="SSY2" s="64"/>
      <c r="SSZ2" s="72"/>
      <c r="STA2" s="145"/>
      <c r="STB2" s="145"/>
      <c r="STC2" s="126"/>
      <c r="STD2" s="126"/>
      <c r="STE2" s="64"/>
      <c r="STF2" s="72"/>
      <c r="STG2" s="145"/>
      <c r="STH2" s="145"/>
      <c r="STI2" s="126"/>
      <c r="STJ2" s="126"/>
      <c r="STK2" s="64"/>
      <c r="STL2" s="72"/>
      <c r="STM2" s="145"/>
      <c r="STN2" s="145"/>
      <c r="STO2" s="126"/>
      <c r="STP2" s="126"/>
      <c r="STQ2" s="64"/>
      <c r="STR2" s="72"/>
      <c r="STS2" s="145"/>
      <c r="STT2" s="145"/>
      <c r="STU2" s="126"/>
      <c r="STV2" s="126"/>
      <c r="STW2" s="64"/>
      <c r="STX2" s="72"/>
      <c r="STY2" s="145"/>
      <c r="STZ2" s="145"/>
      <c r="SUA2" s="126"/>
      <c r="SUB2" s="126"/>
      <c r="SUC2" s="64"/>
      <c r="SUD2" s="72"/>
      <c r="SUE2" s="145"/>
      <c r="SUF2" s="145"/>
      <c r="SUG2" s="126"/>
      <c r="SUH2" s="126"/>
      <c r="SUI2" s="64"/>
      <c r="SUJ2" s="72"/>
      <c r="SUK2" s="145"/>
      <c r="SUL2" s="145"/>
      <c r="SUM2" s="126"/>
      <c r="SUN2" s="126"/>
      <c r="SUO2" s="64"/>
      <c r="SUP2" s="72"/>
      <c r="SUQ2" s="145"/>
      <c r="SUR2" s="145"/>
      <c r="SUS2" s="126"/>
      <c r="SUT2" s="126"/>
      <c r="SUU2" s="64"/>
      <c r="SUV2" s="72"/>
      <c r="SUW2" s="145"/>
      <c r="SUX2" s="145"/>
      <c r="SUY2" s="126"/>
      <c r="SUZ2" s="126"/>
      <c r="SVA2" s="64"/>
      <c r="SVB2" s="72"/>
      <c r="SVC2" s="145"/>
      <c r="SVD2" s="145"/>
      <c r="SVE2" s="126"/>
      <c r="SVF2" s="126"/>
      <c r="SVG2" s="64"/>
      <c r="SVH2" s="72"/>
      <c r="SVI2" s="145"/>
      <c r="SVJ2" s="145"/>
      <c r="SVK2" s="126"/>
      <c r="SVL2" s="126"/>
      <c r="SVM2" s="64"/>
      <c r="SVN2" s="72"/>
      <c r="SVO2" s="145"/>
      <c r="SVP2" s="145"/>
      <c r="SVQ2" s="126"/>
      <c r="SVR2" s="126"/>
      <c r="SVS2" s="64"/>
      <c r="SVT2" s="72"/>
      <c r="SVU2" s="145"/>
      <c r="SVV2" s="145"/>
      <c r="SVW2" s="126"/>
      <c r="SVX2" s="126"/>
      <c r="SVY2" s="64"/>
      <c r="SVZ2" s="72"/>
      <c r="SWA2" s="145"/>
      <c r="SWB2" s="145"/>
      <c r="SWC2" s="126"/>
      <c r="SWD2" s="126"/>
      <c r="SWE2" s="64"/>
      <c r="SWF2" s="72"/>
      <c r="SWG2" s="145"/>
      <c r="SWH2" s="145"/>
      <c r="SWI2" s="126"/>
      <c r="SWJ2" s="126"/>
      <c r="SWK2" s="64"/>
      <c r="SWL2" s="72"/>
      <c r="SWM2" s="145"/>
      <c r="SWN2" s="145"/>
      <c r="SWO2" s="126"/>
      <c r="SWP2" s="126"/>
      <c r="SWQ2" s="64"/>
      <c r="SWR2" s="72"/>
      <c r="SWS2" s="145"/>
      <c r="SWT2" s="145"/>
      <c r="SWU2" s="126"/>
      <c r="SWV2" s="126"/>
      <c r="SWW2" s="64"/>
      <c r="SWX2" s="72"/>
      <c r="SWY2" s="145"/>
      <c r="SWZ2" s="145"/>
      <c r="SXA2" s="126"/>
      <c r="SXB2" s="126"/>
      <c r="SXC2" s="64"/>
      <c r="SXD2" s="72"/>
      <c r="SXE2" s="145"/>
      <c r="SXF2" s="145"/>
      <c r="SXG2" s="126"/>
      <c r="SXH2" s="126"/>
      <c r="SXI2" s="64"/>
      <c r="SXJ2" s="72"/>
      <c r="SXK2" s="145"/>
      <c r="SXL2" s="145"/>
      <c r="SXM2" s="126"/>
      <c r="SXN2" s="126"/>
      <c r="SXO2" s="64"/>
      <c r="SXP2" s="72"/>
      <c r="SXQ2" s="145"/>
      <c r="SXR2" s="145"/>
      <c r="SXS2" s="126"/>
      <c r="SXT2" s="126"/>
      <c r="SXU2" s="64"/>
      <c r="SXV2" s="72"/>
      <c r="SXW2" s="145"/>
      <c r="SXX2" s="145"/>
      <c r="SXY2" s="126"/>
      <c r="SXZ2" s="126"/>
      <c r="SYA2" s="64"/>
      <c r="SYB2" s="72"/>
      <c r="SYC2" s="145"/>
      <c r="SYD2" s="145"/>
      <c r="SYE2" s="126"/>
      <c r="SYF2" s="126"/>
      <c r="SYG2" s="64"/>
      <c r="SYH2" s="72"/>
      <c r="SYI2" s="145"/>
      <c r="SYJ2" s="145"/>
      <c r="SYK2" s="126"/>
      <c r="SYL2" s="126"/>
      <c r="SYM2" s="64"/>
      <c r="SYN2" s="72"/>
      <c r="SYO2" s="145"/>
      <c r="SYP2" s="145"/>
      <c r="SYQ2" s="126"/>
      <c r="SYR2" s="126"/>
      <c r="SYS2" s="64"/>
      <c r="SYT2" s="72"/>
      <c r="SYU2" s="145"/>
      <c r="SYV2" s="145"/>
      <c r="SYW2" s="126"/>
      <c r="SYX2" s="126"/>
      <c r="SYY2" s="64"/>
      <c r="SYZ2" s="72"/>
      <c r="SZA2" s="145"/>
      <c r="SZB2" s="145"/>
      <c r="SZC2" s="126"/>
      <c r="SZD2" s="126"/>
      <c r="SZE2" s="64"/>
      <c r="SZF2" s="72"/>
      <c r="SZG2" s="145"/>
      <c r="SZH2" s="145"/>
      <c r="SZI2" s="126"/>
      <c r="SZJ2" s="126"/>
      <c r="SZK2" s="64"/>
      <c r="SZL2" s="72"/>
      <c r="SZM2" s="145"/>
      <c r="SZN2" s="145"/>
      <c r="SZO2" s="126"/>
      <c r="SZP2" s="126"/>
      <c r="SZQ2" s="64"/>
      <c r="SZR2" s="72"/>
      <c r="SZS2" s="145"/>
      <c r="SZT2" s="145"/>
      <c r="SZU2" s="126"/>
      <c r="SZV2" s="126"/>
      <c r="SZW2" s="64"/>
      <c r="SZX2" s="72"/>
      <c r="SZY2" s="145"/>
      <c r="SZZ2" s="145"/>
      <c r="TAA2" s="126"/>
      <c r="TAB2" s="126"/>
      <c r="TAC2" s="64"/>
      <c r="TAD2" s="72"/>
      <c r="TAE2" s="145"/>
      <c r="TAF2" s="145"/>
      <c r="TAG2" s="126"/>
      <c r="TAH2" s="126"/>
      <c r="TAI2" s="64"/>
      <c r="TAJ2" s="72"/>
      <c r="TAK2" s="145"/>
      <c r="TAL2" s="145"/>
      <c r="TAM2" s="126"/>
      <c r="TAN2" s="126"/>
      <c r="TAO2" s="64"/>
      <c r="TAP2" s="72"/>
      <c r="TAQ2" s="145"/>
      <c r="TAR2" s="145"/>
      <c r="TAS2" s="126"/>
      <c r="TAT2" s="126"/>
      <c r="TAU2" s="64"/>
      <c r="TAV2" s="72"/>
      <c r="TAW2" s="145"/>
      <c r="TAX2" s="145"/>
      <c r="TAY2" s="126"/>
      <c r="TAZ2" s="126"/>
      <c r="TBA2" s="64"/>
      <c r="TBB2" s="72"/>
      <c r="TBC2" s="145"/>
      <c r="TBD2" s="145"/>
      <c r="TBE2" s="126"/>
      <c r="TBF2" s="126"/>
      <c r="TBG2" s="64"/>
      <c r="TBH2" s="72"/>
      <c r="TBI2" s="145"/>
      <c r="TBJ2" s="145"/>
      <c r="TBK2" s="126"/>
      <c r="TBL2" s="126"/>
      <c r="TBM2" s="64"/>
      <c r="TBN2" s="72"/>
      <c r="TBO2" s="145"/>
      <c r="TBP2" s="145"/>
      <c r="TBQ2" s="126"/>
      <c r="TBR2" s="126"/>
      <c r="TBS2" s="64"/>
      <c r="TBT2" s="72"/>
      <c r="TBU2" s="145"/>
      <c r="TBV2" s="145"/>
      <c r="TBW2" s="126"/>
      <c r="TBX2" s="126"/>
      <c r="TBY2" s="64"/>
      <c r="TBZ2" s="72"/>
      <c r="TCA2" s="145"/>
      <c r="TCB2" s="145"/>
      <c r="TCC2" s="126"/>
      <c r="TCD2" s="126"/>
      <c r="TCE2" s="64"/>
      <c r="TCF2" s="72"/>
      <c r="TCG2" s="145"/>
      <c r="TCH2" s="145"/>
      <c r="TCI2" s="126"/>
      <c r="TCJ2" s="126"/>
      <c r="TCK2" s="64"/>
      <c r="TCL2" s="72"/>
      <c r="TCM2" s="145"/>
      <c r="TCN2" s="145"/>
      <c r="TCO2" s="126"/>
      <c r="TCP2" s="126"/>
      <c r="TCQ2" s="64"/>
      <c r="TCR2" s="72"/>
      <c r="TCS2" s="145"/>
      <c r="TCT2" s="145"/>
      <c r="TCU2" s="126"/>
      <c r="TCV2" s="126"/>
      <c r="TCW2" s="64"/>
      <c r="TCX2" s="72"/>
      <c r="TCY2" s="145"/>
      <c r="TCZ2" s="145"/>
      <c r="TDA2" s="126"/>
      <c r="TDB2" s="126"/>
      <c r="TDC2" s="64"/>
      <c r="TDD2" s="72"/>
      <c r="TDE2" s="145"/>
      <c r="TDF2" s="145"/>
      <c r="TDG2" s="126"/>
      <c r="TDH2" s="126"/>
      <c r="TDI2" s="64"/>
      <c r="TDJ2" s="72"/>
      <c r="TDK2" s="145"/>
      <c r="TDL2" s="145"/>
      <c r="TDM2" s="126"/>
      <c r="TDN2" s="126"/>
      <c r="TDO2" s="64"/>
      <c r="TDP2" s="72"/>
      <c r="TDQ2" s="145"/>
      <c r="TDR2" s="145"/>
      <c r="TDS2" s="126"/>
      <c r="TDT2" s="126"/>
      <c r="TDU2" s="64"/>
      <c r="TDV2" s="72"/>
      <c r="TDW2" s="145"/>
      <c r="TDX2" s="145"/>
      <c r="TDY2" s="126"/>
      <c r="TDZ2" s="126"/>
      <c r="TEA2" s="64"/>
      <c r="TEB2" s="72"/>
      <c r="TEC2" s="145"/>
      <c r="TED2" s="145"/>
      <c r="TEE2" s="126"/>
      <c r="TEF2" s="126"/>
      <c r="TEG2" s="64"/>
      <c r="TEH2" s="72"/>
      <c r="TEI2" s="145"/>
      <c r="TEJ2" s="145"/>
      <c r="TEK2" s="126"/>
      <c r="TEL2" s="126"/>
      <c r="TEM2" s="64"/>
      <c r="TEN2" s="72"/>
      <c r="TEO2" s="145"/>
      <c r="TEP2" s="145"/>
      <c r="TEQ2" s="126"/>
      <c r="TER2" s="126"/>
      <c r="TES2" s="64"/>
      <c r="TET2" s="72"/>
      <c r="TEU2" s="145"/>
      <c r="TEV2" s="145"/>
      <c r="TEW2" s="126"/>
      <c r="TEX2" s="126"/>
      <c r="TEY2" s="64"/>
      <c r="TEZ2" s="72"/>
      <c r="TFA2" s="145"/>
      <c r="TFB2" s="145"/>
      <c r="TFC2" s="126"/>
      <c r="TFD2" s="126"/>
      <c r="TFE2" s="64"/>
      <c r="TFF2" s="72"/>
      <c r="TFG2" s="145"/>
      <c r="TFH2" s="145"/>
      <c r="TFI2" s="126"/>
      <c r="TFJ2" s="126"/>
      <c r="TFK2" s="64"/>
      <c r="TFL2" s="72"/>
      <c r="TFM2" s="145"/>
      <c r="TFN2" s="145"/>
      <c r="TFO2" s="126"/>
      <c r="TFP2" s="126"/>
      <c r="TFQ2" s="64"/>
      <c r="TFR2" s="72"/>
      <c r="TFS2" s="145"/>
      <c r="TFT2" s="145"/>
      <c r="TFU2" s="126"/>
      <c r="TFV2" s="126"/>
      <c r="TFW2" s="64"/>
      <c r="TFX2" s="72"/>
      <c r="TFY2" s="145"/>
      <c r="TFZ2" s="145"/>
      <c r="TGA2" s="126"/>
      <c r="TGB2" s="126"/>
      <c r="TGC2" s="64"/>
      <c r="TGD2" s="72"/>
      <c r="TGE2" s="145"/>
      <c r="TGF2" s="145"/>
      <c r="TGG2" s="126"/>
      <c r="TGH2" s="126"/>
      <c r="TGI2" s="64"/>
      <c r="TGJ2" s="72"/>
      <c r="TGK2" s="145"/>
      <c r="TGL2" s="145"/>
      <c r="TGM2" s="126"/>
      <c r="TGN2" s="126"/>
      <c r="TGO2" s="64"/>
      <c r="TGP2" s="72"/>
      <c r="TGQ2" s="145"/>
      <c r="TGR2" s="145"/>
      <c r="TGS2" s="126"/>
      <c r="TGT2" s="126"/>
      <c r="TGU2" s="64"/>
      <c r="TGV2" s="72"/>
      <c r="TGW2" s="145"/>
      <c r="TGX2" s="145"/>
      <c r="TGY2" s="126"/>
      <c r="TGZ2" s="126"/>
      <c r="THA2" s="64"/>
      <c r="THB2" s="72"/>
      <c r="THC2" s="145"/>
      <c r="THD2" s="145"/>
      <c r="THE2" s="126"/>
      <c r="THF2" s="126"/>
      <c r="THG2" s="64"/>
      <c r="THH2" s="72"/>
      <c r="THI2" s="145"/>
      <c r="THJ2" s="145"/>
      <c r="THK2" s="126"/>
      <c r="THL2" s="126"/>
      <c r="THM2" s="64"/>
      <c r="THN2" s="72"/>
      <c r="THO2" s="145"/>
      <c r="THP2" s="145"/>
      <c r="THQ2" s="126"/>
      <c r="THR2" s="126"/>
      <c r="THS2" s="64"/>
      <c r="THT2" s="72"/>
      <c r="THU2" s="145"/>
      <c r="THV2" s="145"/>
      <c r="THW2" s="126"/>
      <c r="THX2" s="126"/>
      <c r="THY2" s="64"/>
      <c r="THZ2" s="72"/>
      <c r="TIA2" s="145"/>
      <c r="TIB2" s="145"/>
      <c r="TIC2" s="126"/>
      <c r="TID2" s="126"/>
      <c r="TIE2" s="64"/>
      <c r="TIF2" s="72"/>
      <c r="TIG2" s="145"/>
      <c r="TIH2" s="145"/>
      <c r="TII2" s="126"/>
      <c r="TIJ2" s="126"/>
      <c r="TIK2" s="64"/>
      <c r="TIL2" s="72"/>
      <c r="TIM2" s="145"/>
      <c r="TIN2" s="145"/>
      <c r="TIO2" s="126"/>
      <c r="TIP2" s="126"/>
      <c r="TIQ2" s="64"/>
      <c r="TIR2" s="72"/>
      <c r="TIS2" s="145"/>
      <c r="TIT2" s="145"/>
      <c r="TIU2" s="126"/>
      <c r="TIV2" s="126"/>
      <c r="TIW2" s="64"/>
      <c r="TIX2" s="72"/>
      <c r="TIY2" s="145"/>
      <c r="TIZ2" s="145"/>
      <c r="TJA2" s="126"/>
      <c r="TJB2" s="126"/>
      <c r="TJC2" s="64"/>
      <c r="TJD2" s="72"/>
      <c r="TJE2" s="145"/>
      <c r="TJF2" s="145"/>
      <c r="TJG2" s="126"/>
      <c r="TJH2" s="126"/>
      <c r="TJI2" s="64"/>
      <c r="TJJ2" s="72"/>
      <c r="TJK2" s="145"/>
      <c r="TJL2" s="145"/>
      <c r="TJM2" s="126"/>
      <c r="TJN2" s="126"/>
      <c r="TJO2" s="64"/>
      <c r="TJP2" s="72"/>
      <c r="TJQ2" s="145"/>
      <c r="TJR2" s="145"/>
      <c r="TJS2" s="126"/>
      <c r="TJT2" s="126"/>
      <c r="TJU2" s="64"/>
      <c r="TJV2" s="72"/>
      <c r="TJW2" s="145"/>
      <c r="TJX2" s="145"/>
      <c r="TJY2" s="126"/>
      <c r="TJZ2" s="126"/>
      <c r="TKA2" s="64"/>
      <c r="TKB2" s="72"/>
      <c r="TKC2" s="145"/>
      <c r="TKD2" s="145"/>
      <c r="TKE2" s="126"/>
      <c r="TKF2" s="126"/>
      <c r="TKG2" s="64"/>
      <c r="TKH2" s="72"/>
      <c r="TKI2" s="145"/>
      <c r="TKJ2" s="145"/>
      <c r="TKK2" s="126"/>
      <c r="TKL2" s="126"/>
      <c r="TKM2" s="64"/>
      <c r="TKN2" s="72"/>
      <c r="TKO2" s="145"/>
      <c r="TKP2" s="145"/>
      <c r="TKQ2" s="126"/>
      <c r="TKR2" s="126"/>
      <c r="TKS2" s="64"/>
      <c r="TKT2" s="72"/>
      <c r="TKU2" s="145"/>
      <c r="TKV2" s="145"/>
      <c r="TKW2" s="126"/>
      <c r="TKX2" s="126"/>
      <c r="TKY2" s="64"/>
      <c r="TKZ2" s="72"/>
      <c r="TLA2" s="145"/>
      <c r="TLB2" s="145"/>
      <c r="TLC2" s="126"/>
      <c r="TLD2" s="126"/>
      <c r="TLE2" s="64"/>
      <c r="TLF2" s="72"/>
      <c r="TLG2" s="145"/>
      <c r="TLH2" s="145"/>
      <c r="TLI2" s="126"/>
      <c r="TLJ2" s="126"/>
      <c r="TLK2" s="64"/>
      <c r="TLL2" s="72"/>
      <c r="TLM2" s="145"/>
      <c r="TLN2" s="145"/>
      <c r="TLO2" s="126"/>
      <c r="TLP2" s="126"/>
      <c r="TLQ2" s="64"/>
      <c r="TLR2" s="72"/>
      <c r="TLS2" s="145"/>
      <c r="TLT2" s="145"/>
      <c r="TLU2" s="126"/>
      <c r="TLV2" s="126"/>
      <c r="TLW2" s="64"/>
      <c r="TLX2" s="72"/>
      <c r="TLY2" s="145"/>
      <c r="TLZ2" s="145"/>
      <c r="TMA2" s="126"/>
      <c r="TMB2" s="126"/>
      <c r="TMC2" s="64"/>
      <c r="TMD2" s="72"/>
      <c r="TME2" s="145"/>
      <c r="TMF2" s="145"/>
      <c r="TMG2" s="126"/>
      <c r="TMH2" s="126"/>
      <c r="TMI2" s="64"/>
      <c r="TMJ2" s="72"/>
      <c r="TMK2" s="145"/>
      <c r="TML2" s="145"/>
      <c r="TMM2" s="126"/>
      <c r="TMN2" s="126"/>
      <c r="TMO2" s="64"/>
      <c r="TMP2" s="72"/>
      <c r="TMQ2" s="145"/>
      <c r="TMR2" s="145"/>
      <c r="TMS2" s="126"/>
      <c r="TMT2" s="126"/>
      <c r="TMU2" s="64"/>
      <c r="TMV2" s="72"/>
      <c r="TMW2" s="145"/>
      <c r="TMX2" s="145"/>
      <c r="TMY2" s="126"/>
      <c r="TMZ2" s="126"/>
      <c r="TNA2" s="64"/>
      <c r="TNB2" s="72"/>
      <c r="TNC2" s="145"/>
      <c r="TND2" s="145"/>
      <c r="TNE2" s="126"/>
      <c r="TNF2" s="126"/>
      <c r="TNG2" s="64"/>
      <c r="TNH2" s="72"/>
      <c r="TNI2" s="145"/>
      <c r="TNJ2" s="145"/>
      <c r="TNK2" s="126"/>
      <c r="TNL2" s="126"/>
      <c r="TNM2" s="64"/>
      <c r="TNN2" s="72"/>
      <c r="TNO2" s="145"/>
      <c r="TNP2" s="145"/>
      <c r="TNQ2" s="126"/>
      <c r="TNR2" s="126"/>
      <c r="TNS2" s="64"/>
      <c r="TNT2" s="72"/>
      <c r="TNU2" s="145"/>
      <c r="TNV2" s="145"/>
      <c r="TNW2" s="126"/>
      <c r="TNX2" s="126"/>
      <c r="TNY2" s="64"/>
      <c r="TNZ2" s="72"/>
      <c r="TOA2" s="145"/>
      <c r="TOB2" s="145"/>
      <c r="TOC2" s="126"/>
      <c r="TOD2" s="126"/>
      <c r="TOE2" s="64"/>
      <c r="TOF2" s="72"/>
      <c r="TOG2" s="145"/>
      <c r="TOH2" s="145"/>
      <c r="TOI2" s="126"/>
      <c r="TOJ2" s="126"/>
      <c r="TOK2" s="64"/>
      <c r="TOL2" s="72"/>
      <c r="TOM2" s="145"/>
      <c r="TON2" s="145"/>
      <c r="TOO2" s="126"/>
      <c r="TOP2" s="126"/>
      <c r="TOQ2" s="64"/>
      <c r="TOR2" s="72"/>
      <c r="TOS2" s="145"/>
      <c r="TOT2" s="145"/>
      <c r="TOU2" s="126"/>
      <c r="TOV2" s="126"/>
      <c r="TOW2" s="64"/>
      <c r="TOX2" s="72"/>
      <c r="TOY2" s="145"/>
      <c r="TOZ2" s="145"/>
      <c r="TPA2" s="126"/>
      <c r="TPB2" s="126"/>
      <c r="TPC2" s="64"/>
      <c r="TPD2" s="72"/>
      <c r="TPE2" s="145"/>
      <c r="TPF2" s="145"/>
      <c r="TPG2" s="126"/>
      <c r="TPH2" s="126"/>
      <c r="TPI2" s="64"/>
      <c r="TPJ2" s="72"/>
      <c r="TPK2" s="145"/>
      <c r="TPL2" s="145"/>
      <c r="TPM2" s="126"/>
      <c r="TPN2" s="126"/>
      <c r="TPO2" s="64"/>
      <c r="TPP2" s="72"/>
      <c r="TPQ2" s="145"/>
      <c r="TPR2" s="145"/>
      <c r="TPS2" s="126"/>
      <c r="TPT2" s="126"/>
      <c r="TPU2" s="64"/>
      <c r="TPV2" s="72"/>
      <c r="TPW2" s="145"/>
      <c r="TPX2" s="145"/>
      <c r="TPY2" s="126"/>
      <c r="TPZ2" s="126"/>
      <c r="TQA2" s="64"/>
      <c r="TQB2" s="72"/>
      <c r="TQC2" s="145"/>
      <c r="TQD2" s="145"/>
      <c r="TQE2" s="126"/>
      <c r="TQF2" s="126"/>
      <c r="TQG2" s="64"/>
      <c r="TQH2" s="72"/>
      <c r="TQI2" s="145"/>
      <c r="TQJ2" s="145"/>
      <c r="TQK2" s="126"/>
      <c r="TQL2" s="126"/>
      <c r="TQM2" s="64"/>
      <c r="TQN2" s="72"/>
      <c r="TQO2" s="145"/>
      <c r="TQP2" s="145"/>
      <c r="TQQ2" s="126"/>
      <c r="TQR2" s="126"/>
      <c r="TQS2" s="64"/>
      <c r="TQT2" s="72"/>
      <c r="TQU2" s="145"/>
      <c r="TQV2" s="145"/>
      <c r="TQW2" s="126"/>
      <c r="TQX2" s="126"/>
      <c r="TQY2" s="64"/>
      <c r="TQZ2" s="72"/>
      <c r="TRA2" s="145"/>
      <c r="TRB2" s="145"/>
      <c r="TRC2" s="126"/>
      <c r="TRD2" s="126"/>
      <c r="TRE2" s="64"/>
      <c r="TRF2" s="72"/>
      <c r="TRG2" s="145"/>
      <c r="TRH2" s="145"/>
      <c r="TRI2" s="126"/>
      <c r="TRJ2" s="126"/>
      <c r="TRK2" s="64"/>
      <c r="TRL2" s="72"/>
      <c r="TRM2" s="145"/>
      <c r="TRN2" s="145"/>
      <c r="TRO2" s="126"/>
      <c r="TRP2" s="126"/>
      <c r="TRQ2" s="64"/>
      <c r="TRR2" s="72"/>
      <c r="TRS2" s="145"/>
      <c r="TRT2" s="145"/>
      <c r="TRU2" s="126"/>
      <c r="TRV2" s="126"/>
      <c r="TRW2" s="64"/>
      <c r="TRX2" s="72"/>
      <c r="TRY2" s="145"/>
      <c r="TRZ2" s="145"/>
      <c r="TSA2" s="126"/>
      <c r="TSB2" s="126"/>
      <c r="TSC2" s="64"/>
      <c r="TSD2" s="72"/>
      <c r="TSE2" s="145"/>
      <c r="TSF2" s="145"/>
      <c r="TSG2" s="126"/>
      <c r="TSH2" s="126"/>
      <c r="TSI2" s="64"/>
      <c r="TSJ2" s="72"/>
      <c r="TSK2" s="145"/>
      <c r="TSL2" s="145"/>
      <c r="TSM2" s="126"/>
      <c r="TSN2" s="126"/>
      <c r="TSO2" s="64"/>
      <c r="TSP2" s="72"/>
      <c r="TSQ2" s="145"/>
      <c r="TSR2" s="145"/>
      <c r="TSS2" s="126"/>
      <c r="TST2" s="126"/>
      <c r="TSU2" s="64"/>
      <c r="TSV2" s="72"/>
      <c r="TSW2" s="145"/>
      <c r="TSX2" s="145"/>
      <c r="TSY2" s="126"/>
      <c r="TSZ2" s="126"/>
      <c r="TTA2" s="64"/>
      <c r="TTB2" s="72"/>
      <c r="TTC2" s="145"/>
      <c r="TTD2" s="145"/>
      <c r="TTE2" s="126"/>
      <c r="TTF2" s="126"/>
      <c r="TTG2" s="64"/>
      <c r="TTH2" s="72"/>
      <c r="TTI2" s="145"/>
      <c r="TTJ2" s="145"/>
      <c r="TTK2" s="126"/>
      <c r="TTL2" s="126"/>
      <c r="TTM2" s="64"/>
      <c r="TTN2" s="72"/>
      <c r="TTO2" s="145"/>
      <c r="TTP2" s="145"/>
      <c r="TTQ2" s="126"/>
      <c r="TTR2" s="126"/>
      <c r="TTS2" s="64"/>
      <c r="TTT2" s="72"/>
      <c r="TTU2" s="145"/>
      <c r="TTV2" s="145"/>
      <c r="TTW2" s="126"/>
      <c r="TTX2" s="126"/>
      <c r="TTY2" s="64"/>
      <c r="TTZ2" s="72"/>
      <c r="TUA2" s="145"/>
      <c r="TUB2" s="145"/>
      <c r="TUC2" s="126"/>
      <c r="TUD2" s="126"/>
      <c r="TUE2" s="64"/>
      <c r="TUF2" s="72"/>
      <c r="TUG2" s="145"/>
      <c r="TUH2" s="145"/>
      <c r="TUI2" s="126"/>
      <c r="TUJ2" s="126"/>
      <c r="TUK2" s="64"/>
      <c r="TUL2" s="72"/>
      <c r="TUM2" s="145"/>
      <c r="TUN2" s="145"/>
      <c r="TUO2" s="126"/>
      <c r="TUP2" s="126"/>
      <c r="TUQ2" s="64"/>
      <c r="TUR2" s="72"/>
      <c r="TUS2" s="145"/>
      <c r="TUT2" s="145"/>
      <c r="TUU2" s="126"/>
      <c r="TUV2" s="126"/>
      <c r="TUW2" s="64"/>
      <c r="TUX2" s="72"/>
      <c r="TUY2" s="145"/>
      <c r="TUZ2" s="145"/>
      <c r="TVA2" s="126"/>
      <c r="TVB2" s="126"/>
      <c r="TVC2" s="64"/>
      <c r="TVD2" s="72"/>
      <c r="TVE2" s="145"/>
      <c r="TVF2" s="145"/>
      <c r="TVG2" s="126"/>
      <c r="TVH2" s="126"/>
      <c r="TVI2" s="64"/>
      <c r="TVJ2" s="72"/>
      <c r="TVK2" s="145"/>
      <c r="TVL2" s="145"/>
      <c r="TVM2" s="126"/>
      <c r="TVN2" s="126"/>
      <c r="TVO2" s="64"/>
      <c r="TVP2" s="72"/>
      <c r="TVQ2" s="145"/>
      <c r="TVR2" s="145"/>
      <c r="TVS2" s="126"/>
      <c r="TVT2" s="126"/>
      <c r="TVU2" s="64"/>
      <c r="TVV2" s="72"/>
      <c r="TVW2" s="145"/>
      <c r="TVX2" s="145"/>
      <c r="TVY2" s="126"/>
      <c r="TVZ2" s="126"/>
      <c r="TWA2" s="64"/>
      <c r="TWB2" s="72"/>
      <c r="TWC2" s="145"/>
      <c r="TWD2" s="145"/>
      <c r="TWE2" s="126"/>
      <c r="TWF2" s="126"/>
      <c r="TWG2" s="64"/>
      <c r="TWH2" s="72"/>
      <c r="TWI2" s="145"/>
      <c r="TWJ2" s="145"/>
      <c r="TWK2" s="126"/>
      <c r="TWL2" s="126"/>
      <c r="TWM2" s="64"/>
      <c r="TWN2" s="72"/>
      <c r="TWO2" s="145"/>
      <c r="TWP2" s="145"/>
      <c r="TWQ2" s="126"/>
      <c r="TWR2" s="126"/>
      <c r="TWS2" s="64"/>
      <c r="TWT2" s="72"/>
      <c r="TWU2" s="145"/>
      <c r="TWV2" s="145"/>
      <c r="TWW2" s="126"/>
      <c r="TWX2" s="126"/>
      <c r="TWY2" s="64"/>
      <c r="TWZ2" s="72"/>
      <c r="TXA2" s="145"/>
      <c r="TXB2" s="145"/>
      <c r="TXC2" s="126"/>
      <c r="TXD2" s="126"/>
      <c r="TXE2" s="64"/>
      <c r="TXF2" s="72"/>
      <c r="TXG2" s="145"/>
      <c r="TXH2" s="145"/>
      <c r="TXI2" s="126"/>
      <c r="TXJ2" s="126"/>
      <c r="TXK2" s="64"/>
      <c r="TXL2" s="72"/>
      <c r="TXM2" s="145"/>
      <c r="TXN2" s="145"/>
      <c r="TXO2" s="126"/>
      <c r="TXP2" s="126"/>
      <c r="TXQ2" s="64"/>
      <c r="TXR2" s="72"/>
      <c r="TXS2" s="145"/>
      <c r="TXT2" s="145"/>
      <c r="TXU2" s="126"/>
      <c r="TXV2" s="126"/>
      <c r="TXW2" s="64"/>
      <c r="TXX2" s="72"/>
      <c r="TXY2" s="145"/>
      <c r="TXZ2" s="145"/>
      <c r="TYA2" s="126"/>
      <c r="TYB2" s="126"/>
      <c r="TYC2" s="64"/>
      <c r="TYD2" s="72"/>
      <c r="TYE2" s="145"/>
      <c r="TYF2" s="145"/>
      <c r="TYG2" s="126"/>
      <c r="TYH2" s="126"/>
      <c r="TYI2" s="64"/>
      <c r="TYJ2" s="72"/>
      <c r="TYK2" s="145"/>
      <c r="TYL2" s="145"/>
      <c r="TYM2" s="126"/>
      <c r="TYN2" s="126"/>
      <c r="TYO2" s="64"/>
      <c r="TYP2" s="72"/>
      <c r="TYQ2" s="145"/>
      <c r="TYR2" s="145"/>
      <c r="TYS2" s="126"/>
      <c r="TYT2" s="126"/>
      <c r="TYU2" s="64"/>
      <c r="TYV2" s="72"/>
      <c r="TYW2" s="145"/>
      <c r="TYX2" s="145"/>
      <c r="TYY2" s="126"/>
      <c r="TYZ2" s="126"/>
      <c r="TZA2" s="64"/>
      <c r="TZB2" s="72"/>
      <c r="TZC2" s="145"/>
      <c r="TZD2" s="145"/>
      <c r="TZE2" s="126"/>
      <c r="TZF2" s="126"/>
      <c r="TZG2" s="64"/>
      <c r="TZH2" s="72"/>
      <c r="TZI2" s="145"/>
      <c r="TZJ2" s="145"/>
      <c r="TZK2" s="126"/>
      <c r="TZL2" s="126"/>
      <c r="TZM2" s="64"/>
      <c r="TZN2" s="72"/>
      <c r="TZO2" s="145"/>
      <c r="TZP2" s="145"/>
      <c r="TZQ2" s="126"/>
      <c r="TZR2" s="126"/>
      <c r="TZS2" s="64"/>
      <c r="TZT2" s="72"/>
      <c r="TZU2" s="145"/>
      <c r="TZV2" s="145"/>
      <c r="TZW2" s="126"/>
      <c r="TZX2" s="126"/>
      <c r="TZY2" s="64"/>
      <c r="TZZ2" s="72"/>
      <c r="UAA2" s="145"/>
      <c r="UAB2" s="145"/>
      <c r="UAC2" s="126"/>
      <c r="UAD2" s="126"/>
      <c r="UAE2" s="64"/>
      <c r="UAF2" s="72"/>
      <c r="UAG2" s="145"/>
      <c r="UAH2" s="145"/>
      <c r="UAI2" s="126"/>
      <c r="UAJ2" s="126"/>
      <c r="UAK2" s="64"/>
      <c r="UAL2" s="72"/>
      <c r="UAM2" s="145"/>
      <c r="UAN2" s="145"/>
      <c r="UAO2" s="126"/>
      <c r="UAP2" s="126"/>
      <c r="UAQ2" s="64"/>
      <c r="UAR2" s="72"/>
      <c r="UAS2" s="145"/>
      <c r="UAT2" s="145"/>
      <c r="UAU2" s="126"/>
      <c r="UAV2" s="126"/>
      <c r="UAW2" s="64"/>
      <c r="UAX2" s="72"/>
      <c r="UAY2" s="145"/>
      <c r="UAZ2" s="145"/>
      <c r="UBA2" s="126"/>
      <c r="UBB2" s="126"/>
      <c r="UBC2" s="64"/>
      <c r="UBD2" s="72"/>
      <c r="UBE2" s="145"/>
      <c r="UBF2" s="145"/>
      <c r="UBG2" s="126"/>
      <c r="UBH2" s="126"/>
      <c r="UBI2" s="64"/>
      <c r="UBJ2" s="72"/>
      <c r="UBK2" s="145"/>
      <c r="UBL2" s="145"/>
      <c r="UBM2" s="126"/>
      <c r="UBN2" s="126"/>
      <c r="UBO2" s="64"/>
      <c r="UBP2" s="72"/>
      <c r="UBQ2" s="145"/>
      <c r="UBR2" s="145"/>
      <c r="UBS2" s="126"/>
      <c r="UBT2" s="126"/>
      <c r="UBU2" s="64"/>
      <c r="UBV2" s="72"/>
      <c r="UBW2" s="145"/>
      <c r="UBX2" s="145"/>
      <c r="UBY2" s="126"/>
      <c r="UBZ2" s="126"/>
      <c r="UCA2" s="64"/>
      <c r="UCB2" s="72"/>
      <c r="UCC2" s="145"/>
      <c r="UCD2" s="145"/>
      <c r="UCE2" s="126"/>
      <c r="UCF2" s="126"/>
      <c r="UCG2" s="64"/>
      <c r="UCH2" s="72"/>
      <c r="UCI2" s="145"/>
      <c r="UCJ2" s="145"/>
      <c r="UCK2" s="126"/>
      <c r="UCL2" s="126"/>
      <c r="UCM2" s="64"/>
      <c r="UCN2" s="72"/>
      <c r="UCO2" s="145"/>
      <c r="UCP2" s="145"/>
      <c r="UCQ2" s="126"/>
      <c r="UCR2" s="126"/>
      <c r="UCS2" s="64"/>
      <c r="UCT2" s="72"/>
      <c r="UCU2" s="145"/>
      <c r="UCV2" s="145"/>
      <c r="UCW2" s="126"/>
      <c r="UCX2" s="126"/>
      <c r="UCY2" s="64"/>
      <c r="UCZ2" s="72"/>
      <c r="UDA2" s="145"/>
      <c r="UDB2" s="145"/>
      <c r="UDC2" s="126"/>
      <c r="UDD2" s="126"/>
      <c r="UDE2" s="64"/>
      <c r="UDF2" s="72"/>
      <c r="UDG2" s="145"/>
      <c r="UDH2" s="145"/>
      <c r="UDI2" s="126"/>
      <c r="UDJ2" s="126"/>
      <c r="UDK2" s="64"/>
      <c r="UDL2" s="72"/>
      <c r="UDM2" s="145"/>
      <c r="UDN2" s="145"/>
      <c r="UDO2" s="126"/>
      <c r="UDP2" s="126"/>
      <c r="UDQ2" s="64"/>
      <c r="UDR2" s="72"/>
      <c r="UDS2" s="145"/>
      <c r="UDT2" s="145"/>
      <c r="UDU2" s="126"/>
      <c r="UDV2" s="126"/>
      <c r="UDW2" s="64"/>
      <c r="UDX2" s="72"/>
      <c r="UDY2" s="145"/>
      <c r="UDZ2" s="145"/>
      <c r="UEA2" s="126"/>
      <c r="UEB2" s="126"/>
      <c r="UEC2" s="64"/>
      <c r="UED2" s="72"/>
      <c r="UEE2" s="145"/>
      <c r="UEF2" s="145"/>
      <c r="UEG2" s="126"/>
      <c r="UEH2" s="126"/>
      <c r="UEI2" s="64"/>
      <c r="UEJ2" s="72"/>
      <c r="UEK2" s="145"/>
      <c r="UEL2" s="145"/>
      <c r="UEM2" s="126"/>
      <c r="UEN2" s="126"/>
      <c r="UEO2" s="64"/>
      <c r="UEP2" s="72"/>
      <c r="UEQ2" s="145"/>
      <c r="UER2" s="145"/>
      <c r="UES2" s="126"/>
      <c r="UET2" s="126"/>
      <c r="UEU2" s="64"/>
      <c r="UEV2" s="72"/>
      <c r="UEW2" s="145"/>
      <c r="UEX2" s="145"/>
      <c r="UEY2" s="126"/>
      <c r="UEZ2" s="126"/>
      <c r="UFA2" s="64"/>
      <c r="UFB2" s="72"/>
      <c r="UFC2" s="145"/>
      <c r="UFD2" s="145"/>
      <c r="UFE2" s="126"/>
      <c r="UFF2" s="126"/>
      <c r="UFG2" s="64"/>
      <c r="UFH2" s="72"/>
      <c r="UFI2" s="145"/>
      <c r="UFJ2" s="145"/>
      <c r="UFK2" s="126"/>
      <c r="UFL2" s="126"/>
      <c r="UFM2" s="64"/>
      <c r="UFN2" s="72"/>
      <c r="UFO2" s="145"/>
      <c r="UFP2" s="145"/>
      <c r="UFQ2" s="126"/>
      <c r="UFR2" s="126"/>
      <c r="UFS2" s="64"/>
      <c r="UFT2" s="72"/>
      <c r="UFU2" s="145"/>
      <c r="UFV2" s="145"/>
      <c r="UFW2" s="126"/>
      <c r="UFX2" s="126"/>
      <c r="UFY2" s="64"/>
      <c r="UFZ2" s="72"/>
      <c r="UGA2" s="145"/>
      <c r="UGB2" s="145"/>
      <c r="UGC2" s="126"/>
      <c r="UGD2" s="126"/>
      <c r="UGE2" s="64"/>
      <c r="UGF2" s="72"/>
      <c r="UGG2" s="145"/>
      <c r="UGH2" s="145"/>
      <c r="UGI2" s="126"/>
      <c r="UGJ2" s="126"/>
      <c r="UGK2" s="64"/>
      <c r="UGL2" s="72"/>
      <c r="UGM2" s="145"/>
      <c r="UGN2" s="145"/>
      <c r="UGO2" s="126"/>
      <c r="UGP2" s="126"/>
      <c r="UGQ2" s="64"/>
      <c r="UGR2" s="72"/>
      <c r="UGS2" s="145"/>
      <c r="UGT2" s="145"/>
      <c r="UGU2" s="126"/>
      <c r="UGV2" s="126"/>
      <c r="UGW2" s="64"/>
      <c r="UGX2" s="72"/>
      <c r="UGY2" s="145"/>
      <c r="UGZ2" s="145"/>
      <c r="UHA2" s="126"/>
      <c r="UHB2" s="126"/>
      <c r="UHC2" s="64"/>
      <c r="UHD2" s="72"/>
      <c r="UHE2" s="145"/>
      <c r="UHF2" s="145"/>
      <c r="UHG2" s="126"/>
      <c r="UHH2" s="126"/>
      <c r="UHI2" s="64"/>
      <c r="UHJ2" s="72"/>
      <c r="UHK2" s="145"/>
      <c r="UHL2" s="145"/>
      <c r="UHM2" s="126"/>
      <c r="UHN2" s="126"/>
      <c r="UHO2" s="64"/>
      <c r="UHP2" s="72"/>
      <c r="UHQ2" s="145"/>
      <c r="UHR2" s="145"/>
      <c r="UHS2" s="126"/>
      <c r="UHT2" s="126"/>
      <c r="UHU2" s="64"/>
      <c r="UHV2" s="72"/>
      <c r="UHW2" s="145"/>
      <c r="UHX2" s="145"/>
      <c r="UHY2" s="126"/>
      <c r="UHZ2" s="126"/>
      <c r="UIA2" s="64"/>
      <c r="UIB2" s="72"/>
      <c r="UIC2" s="145"/>
      <c r="UID2" s="145"/>
      <c r="UIE2" s="126"/>
      <c r="UIF2" s="126"/>
      <c r="UIG2" s="64"/>
      <c r="UIH2" s="72"/>
      <c r="UII2" s="145"/>
      <c r="UIJ2" s="145"/>
      <c r="UIK2" s="126"/>
      <c r="UIL2" s="126"/>
      <c r="UIM2" s="64"/>
      <c r="UIN2" s="72"/>
      <c r="UIO2" s="145"/>
      <c r="UIP2" s="145"/>
      <c r="UIQ2" s="126"/>
      <c r="UIR2" s="126"/>
      <c r="UIS2" s="64"/>
      <c r="UIT2" s="72"/>
      <c r="UIU2" s="145"/>
      <c r="UIV2" s="145"/>
      <c r="UIW2" s="126"/>
      <c r="UIX2" s="126"/>
      <c r="UIY2" s="64"/>
      <c r="UIZ2" s="72"/>
      <c r="UJA2" s="145"/>
      <c r="UJB2" s="145"/>
      <c r="UJC2" s="126"/>
      <c r="UJD2" s="126"/>
      <c r="UJE2" s="64"/>
      <c r="UJF2" s="72"/>
      <c r="UJG2" s="145"/>
      <c r="UJH2" s="145"/>
      <c r="UJI2" s="126"/>
      <c r="UJJ2" s="126"/>
      <c r="UJK2" s="64"/>
      <c r="UJL2" s="72"/>
      <c r="UJM2" s="145"/>
      <c r="UJN2" s="145"/>
      <c r="UJO2" s="126"/>
      <c r="UJP2" s="126"/>
      <c r="UJQ2" s="64"/>
      <c r="UJR2" s="72"/>
      <c r="UJS2" s="145"/>
      <c r="UJT2" s="145"/>
      <c r="UJU2" s="126"/>
      <c r="UJV2" s="126"/>
      <c r="UJW2" s="64"/>
      <c r="UJX2" s="72"/>
      <c r="UJY2" s="145"/>
      <c r="UJZ2" s="145"/>
      <c r="UKA2" s="126"/>
      <c r="UKB2" s="126"/>
      <c r="UKC2" s="64"/>
      <c r="UKD2" s="72"/>
      <c r="UKE2" s="145"/>
      <c r="UKF2" s="145"/>
      <c r="UKG2" s="126"/>
      <c r="UKH2" s="126"/>
      <c r="UKI2" s="64"/>
      <c r="UKJ2" s="72"/>
      <c r="UKK2" s="145"/>
      <c r="UKL2" s="145"/>
      <c r="UKM2" s="126"/>
      <c r="UKN2" s="126"/>
      <c r="UKO2" s="64"/>
      <c r="UKP2" s="72"/>
      <c r="UKQ2" s="145"/>
      <c r="UKR2" s="145"/>
      <c r="UKS2" s="126"/>
      <c r="UKT2" s="126"/>
      <c r="UKU2" s="64"/>
      <c r="UKV2" s="72"/>
      <c r="UKW2" s="145"/>
      <c r="UKX2" s="145"/>
      <c r="UKY2" s="126"/>
      <c r="UKZ2" s="126"/>
      <c r="ULA2" s="64"/>
      <c r="ULB2" s="72"/>
      <c r="ULC2" s="145"/>
      <c r="ULD2" s="145"/>
      <c r="ULE2" s="126"/>
      <c r="ULF2" s="126"/>
      <c r="ULG2" s="64"/>
      <c r="ULH2" s="72"/>
      <c r="ULI2" s="145"/>
      <c r="ULJ2" s="145"/>
      <c r="ULK2" s="126"/>
      <c r="ULL2" s="126"/>
      <c r="ULM2" s="64"/>
      <c r="ULN2" s="72"/>
      <c r="ULO2" s="145"/>
      <c r="ULP2" s="145"/>
      <c r="ULQ2" s="126"/>
      <c r="ULR2" s="126"/>
      <c r="ULS2" s="64"/>
      <c r="ULT2" s="72"/>
      <c r="ULU2" s="145"/>
      <c r="ULV2" s="145"/>
      <c r="ULW2" s="126"/>
      <c r="ULX2" s="126"/>
      <c r="ULY2" s="64"/>
      <c r="ULZ2" s="72"/>
      <c r="UMA2" s="145"/>
      <c r="UMB2" s="145"/>
      <c r="UMC2" s="126"/>
      <c r="UMD2" s="126"/>
      <c r="UME2" s="64"/>
      <c r="UMF2" s="72"/>
      <c r="UMG2" s="145"/>
      <c r="UMH2" s="145"/>
      <c r="UMI2" s="126"/>
      <c r="UMJ2" s="126"/>
      <c r="UMK2" s="64"/>
      <c r="UML2" s="72"/>
      <c r="UMM2" s="145"/>
      <c r="UMN2" s="145"/>
      <c r="UMO2" s="126"/>
      <c r="UMP2" s="126"/>
      <c r="UMQ2" s="64"/>
      <c r="UMR2" s="72"/>
      <c r="UMS2" s="145"/>
      <c r="UMT2" s="145"/>
      <c r="UMU2" s="126"/>
      <c r="UMV2" s="126"/>
      <c r="UMW2" s="64"/>
      <c r="UMX2" s="72"/>
      <c r="UMY2" s="145"/>
      <c r="UMZ2" s="145"/>
      <c r="UNA2" s="126"/>
      <c r="UNB2" s="126"/>
      <c r="UNC2" s="64"/>
      <c r="UND2" s="72"/>
      <c r="UNE2" s="145"/>
      <c r="UNF2" s="145"/>
      <c r="UNG2" s="126"/>
      <c r="UNH2" s="126"/>
      <c r="UNI2" s="64"/>
      <c r="UNJ2" s="72"/>
      <c r="UNK2" s="145"/>
      <c r="UNL2" s="145"/>
      <c r="UNM2" s="126"/>
      <c r="UNN2" s="126"/>
      <c r="UNO2" s="64"/>
      <c r="UNP2" s="72"/>
      <c r="UNQ2" s="145"/>
      <c r="UNR2" s="145"/>
      <c r="UNS2" s="126"/>
      <c r="UNT2" s="126"/>
      <c r="UNU2" s="64"/>
      <c r="UNV2" s="72"/>
      <c r="UNW2" s="145"/>
      <c r="UNX2" s="145"/>
      <c r="UNY2" s="126"/>
      <c r="UNZ2" s="126"/>
      <c r="UOA2" s="64"/>
      <c r="UOB2" s="72"/>
      <c r="UOC2" s="145"/>
      <c r="UOD2" s="145"/>
      <c r="UOE2" s="126"/>
      <c r="UOF2" s="126"/>
      <c r="UOG2" s="64"/>
      <c r="UOH2" s="72"/>
      <c r="UOI2" s="145"/>
      <c r="UOJ2" s="145"/>
      <c r="UOK2" s="126"/>
      <c r="UOL2" s="126"/>
      <c r="UOM2" s="64"/>
      <c r="UON2" s="72"/>
      <c r="UOO2" s="145"/>
      <c r="UOP2" s="145"/>
      <c r="UOQ2" s="126"/>
      <c r="UOR2" s="126"/>
      <c r="UOS2" s="64"/>
      <c r="UOT2" s="72"/>
      <c r="UOU2" s="145"/>
      <c r="UOV2" s="145"/>
      <c r="UOW2" s="126"/>
      <c r="UOX2" s="126"/>
      <c r="UOY2" s="64"/>
      <c r="UOZ2" s="72"/>
      <c r="UPA2" s="145"/>
      <c r="UPB2" s="145"/>
      <c r="UPC2" s="126"/>
      <c r="UPD2" s="126"/>
      <c r="UPE2" s="64"/>
      <c r="UPF2" s="72"/>
      <c r="UPG2" s="145"/>
      <c r="UPH2" s="145"/>
      <c r="UPI2" s="126"/>
      <c r="UPJ2" s="126"/>
      <c r="UPK2" s="64"/>
      <c r="UPL2" s="72"/>
      <c r="UPM2" s="145"/>
      <c r="UPN2" s="145"/>
      <c r="UPO2" s="126"/>
      <c r="UPP2" s="126"/>
      <c r="UPQ2" s="64"/>
      <c r="UPR2" s="72"/>
      <c r="UPS2" s="145"/>
      <c r="UPT2" s="145"/>
      <c r="UPU2" s="126"/>
      <c r="UPV2" s="126"/>
      <c r="UPW2" s="64"/>
      <c r="UPX2" s="72"/>
      <c r="UPY2" s="145"/>
      <c r="UPZ2" s="145"/>
      <c r="UQA2" s="126"/>
      <c r="UQB2" s="126"/>
      <c r="UQC2" s="64"/>
      <c r="UQD2" s="72"/>
      <c r="UQE2" s="145"/>
      <c r="UQF2" s="145"/>
      <c r="UQG2" s="126"/>
      <c r="UQH2" s="126"/>
      <c r="UQI2" s="64"/>
      <c r="UQJ2" s="72"/>
      <c r="UQK2" s="145"/>
      <c r="UQL2" s="145"/>
      <c r="UQM2" s="126"/>
      <c r="UQN2" s="126"/>
      <c r="UQO2" s="64"/>
      <c r="UQP2" s="72"/>
      <c r="UQQ2" s="145"/>
      <c r="UQR2" s="145"/>
      <c r="UQS2" s="126"/>
      <c r="UQT2" s="126"/>
      <c r="UQU2" s="64"/>
      <c r="UQV2" s="72"/>
      <c r="UQW2" s="145"/>
      <c r="UQX2" s="145"/>
      <c r="UQY2" s="126"/>
      <c r="UQZ2" s="126"/>
      <c r="URA2" s="64"/>
      <c r="URB2" s="72"/>
      <c r="URC2" s="145"/>
      <c r="URD2" s="145"/>
      <c r="URE2" s="126"/>
      <c r="URF2" s="126"/>
      <c r="URG2" s="64"/>
      <c r="URH2" s="72"/>
      <c r="URI2" s="145"/>
      <c r="URJ2" s="145"/>
      <c r="URK2" s="126"/>
      <c r="URL2" s="126"/>
      <c r="URM2" s="64"/>
      <c r="URN2" s="72"/>
      <c r="URO2" s="145"/>
      <c r="URP2" s="145"/>
      <c r="URQ2" s="126"/>
      <c r="URR2" s="126"/>
      <c r="URS2" s="64"/>
      <c r="URT2" s="72"/>
      <c r="URU2" s="145"/>
      <c r="URV2" s="145"/>
      <c r="URW2" s="126"/>
      <c r="URX2" s="126"/>
      <c r="URY2" s="64"/>
      <c r="URZ2" s="72"/>
      <c r="USA2" s="145"/>
      <c r="USB2" s="145"/>
      <c r="USC2" s="126"/>
      <c r="USD2" s="126"/>
      <c r="USE2" s="64"/>
      <c r="USF2" s="72"/>
      <c r="USG2" s="145"/>
      <c r="USH2" s="145"/>
      <c r="USI2" s="126"/>
      <c r="USJ2" s="126"/>
      <c r="USK2" s="64"/>
      <c r="USL2" s="72"/>
      <c r="USM2" s="145"/>
      <c r="USN2" s="145"/>
      <c r="USO2" s="126"/>
      <c r="USP2" s="126"/>
      <c r="USQ2" s="64"/>
      <c r="USR2" s="72"/>
      <c r="USS2" s="145"/>
      <c r="UST2" s="145"/>
      <c r="USU2" s="126"/>
      <c r="USV2" s="126"/>
      <c r="USW2" s="64"/>
      <c r="USX2" s="72"/>
      <c r="USY2" s="145"/>
      <c r="USZ2" s="145"/>
      <c r="UTA2" s="126"/>
      <c r="UTB2" s="126"/>
      <c r="UTC2" s="64"/>
      <c r="UTD2" s="72"/>
      <c r="UTE2" s="145"/>
      <c r="UTF2" s="145"/>
      <c r="UTG2" s="126"/>
      <c r="UTH2" s="126"/>
      <c r="UTI2" s="64"/>
      <c r="UTJ2" s="72"/>
      <c r="UTK2" s="145"/>
      <c r="UTL2" s="145"/>
      <c r="UTM2" s="126"/>
      <c r="UTN2" s="126"/>
      <c r="UTO2" s="64"/>
      <c r="UTP2" s="72"/>
      <c r="UTQ2" s="145"/>
      <c r="UTR2" s="145"/>
      <c r="UTS2" s="126"/>
      <c r="UTT2" s="126"/>
      <c r="UTU2" s="64"/>
      <c r="UTV2" s="72"/>
      <c r="UTW2" s="145"/>
      <c r="UTX2" s="145"/>
      <c r="UTY2" s="126"/>
      <c r="UTZ2" s="126"/>
      <c r="UUA2" s="64"/>
      <c r="UUB2" s="72"/>
      <c r="UUC2" s="145"/>
      <c r="UUD2" s="145"/>
      <c r="UUE2" s="126"/>
      <c r="UUF2" s="126"/>
      <c r="UUG2" s="64"/>
      <c r="UUH2" s="72"/>
      <c r="UUI2" s="145"/>
      <c r="UUJ2" s="145"/>
      <c r="UUK2" s="126"/>
      <c r="UUL2" s="126"/>
      <c r="UUM2" s="64"/>
      <c r="UUN2" s="72"/>
      <c r="UUO2" s="145"/>
      <c r="UUP2" s="145"/>
      <c r="UUQ2" s="126"/>
      <c r="UUR2" s="126"/>
      <c r="UUS2" s="64"/>
      <c r="UUT2" s="72"/>
      <c r="UUU2" s="145"/>
      <c r="UUV2" s="145"/>
      <c r="UUW2" s="126"/>
      <c r="UUX2" s="126"/>
      <c r="UUY2" s="64"/>
      <c r="UUZ2" s="72"/>
      <c r="UVA2" s="145"/>
      <c r="UVB2" s="145"/>
      <c r="UVC2" s="126"/>
      <c r="UVD2" s="126"/>
      <c r="UVE2" s="64"/>
      <c r="UVF2" s="72"/>
      <c r="UVG2" s="145"/>
      <c r="UVH2" s="145"/>
      <c r="UVI2" s="126"/>
      <c r="UVJ2" s="126"/>
      <c r="UVK2" s="64"/>
      <c r="UVL2" s="72"/>
      <c r="UVM2" s="145"/>
      <c r="UVN2" s="145"/>
      <c r="UVO2" s="126"/>
      <c r="UVP2" s="126"/>
      <c r="UVQ2" s="64"/>
      <c r="UVR2" s="72"/>
      <c r="UVS2" s="145"/>
      <c r="UVT2" s="145"/>
      <c r="UVU2" s="126"/>
      <c r="UVV2" s="126"/>
      <c r="UVW2" s="64"/>
      <c r="UVX2" s="72"/>
      <c r="UVY2" s="145"/>
      <c r="UVZ2" s="145"/>
      <c r="UWA2" s="126"/>
      <c r="UWB2" s="126"/>
      <c r="UWC2" s="64"/>
      <c r="UWD2" s="72"/>
      <c r="UWE2" s="145"/>
      <c r="UWF2" s="145"/>
      <c r="UWG2" s="126"/>
      <c r="UWH2" s="126"/>
      <c r="UWI2" s="64"/>
      <c r="UWJ2" s="72"/>
      <c r="UWK2" s="145"/>
      <c r="UWL2" s="145"/>
      <c r="UWM2" s="126"/>
      <c r="UWN2" s="126"/>
      <c r="UWO2" s="64"/>
      <c r="UWP2" s="72"/>
      <c r="UWQ2" s="145"/>
      <c r="UWR2" s="145"/>
      <c r="UWS2" s="126"/>
      <c r="UWT2" s="126"/>
      <c r="UWU2" s="64"/>
      <c r="UWV2" s="72"/>
      <c r="UWW2" s="145"/>
      <c r="UWX2" s="145"/>
      <c r="UWY2" s="126"/>
      <c r="UWZ2" s="126"/>
      <c r="UXA2" s="64"/>
      <c r="UXB2" s="72"/>
      <c r="UXC2" s="145"/>
      <c r="UXD2" s="145"/>
      <c r="UXE2" s="126"/>
      <c r="UXF2" s="126"/>
      <c r="UXG2" s="64"/>
      <c r="UXH2" s="72"/>
      <c r="UXI2" s="145"/>
      <c r="UXJ2" s="145"/>
      <c r="UXK2" s="126"/>
      <c r="UXL2" s="126"/>
      <c r="UXM2" s="64"/>
      <c r="UXN2" s="72"/>
      <c r="UXO2" s="145"/>
      <c r="UXP2" s="145"/>
      <c r="UXQ2" s="126"/>
      <c r="UXR2" s="126"/>
      <c r="UXS2" s="64"/>
      <c r="UXT2" s="72"/>
      <c r="UXU2" s="145"/>
      <c r="UXV2" s="145"/>
      <c r="UXW2" s="126"/>
      <c r="UXX2" s="126"/>
      <c r="UXY2" s="64"/>
      <c r="UXZ2" s="72"/>
      <c r="UYA2" s="145"/>
      <c r="UYB2" s="145"/>
      <c r="UYC2" s="126"/>
      <c r="UYD2" s="126"/>
      <c r="UYE2" s="64"/>
      <c r="UYF2" s="72"/>
      <c r="UYG2" s="145"/>
      <c r="UYH2" s="145"/>
      <c r="UYI2" s="126"/>
      <c r="UYJ2" s="126"/>
      <c r="UYK2" s="64"/>
      <c r="UYL2" s="72"/>
      <c r="UYM2" s="145"/>
      <c r="UYN2" s="145"/>
      <c r="UYO2" s="126"/>
      <c r="UYP2" s="126"/>
      <c r="UYQ2" s="64"/>
      <c r="UYR2" s="72"/>
      <c r="UYS2" s="145"/>
      <c r="UYT2" s="145"/>
      <c r="UYU2" s="126"/>
      <c r="UYV2" s="126"/>
      <c r="UYW2" s="64"/>
      <c r="UYX2" s="72"/>
      <c r="UYY2" s="145"/>
      <c r="UYZ2" s="145"/>
      <c r="UZA2" s="126"/>
      <c r="UZB2" s="126"/>
      <c r="UZC2" s="64"/>
      <c r="UZD2" s="72"/>
      <c r="UZE2" s="145"/>
      <c r="UZF2" s="145"/>
      <c r="UZG2" s="126"/>
      <c r="UZH2" s="126"/>
      <c r="UZI2" s="64"/>
      <c r="UZJ2" s="72"/>
      <c r="UZK2" s="145"/>
      <c r="UZL2" s="145"/>
      <c r="UZM2" s="126"/>
      <c r="UZN2" s="126"/>
      <c r="UZO2" s="64"/>
      <c r="UZP2" s="72"/>
      <c r="UZQ2" s="145"/>
      <c r="UZR2" s="145"/>
      <c r="UZS2" s="126"/>
      <c r="UZT2" s="126"/>
      <c r="UZU2" s="64"/>
      <c r="UZV2" s="72"/>
      <c r="UZW2" s="145"/>
      <c r="UZX2" s="145"/>
      <c r="UZY2" s="126"/>
      <c r="UZZ2" s="126"/>
      <c r="VAA2" s="64"/>
      <c r="VAB2" s="72"/>
      <c r="VAC2" s="145"/>
      <c r="VAD2" s="145"/>
      <c r="VAE2" s="126"/>
      <c r="VAF2" s="126"/>
      <c r="VAG2" s="64"/>
      <c r="VAH2" s="72"/>
      <c r="VAI2" s="145"/>
      <c r="VAJ2" s="145"/>
      <c r="VAK2" s="126"/>
      <c r="VAL2" s="126"/>
      <c r="VAM2" s="64"/>
      <c r="VAN2" s="72"/>
      <c r="VAO2" s="145"/>
      <c r="VAP2" s="145"/>
      <c r="VAQ2" s="126"/>
      <c r="VAR2" s="126"/>
      <c r="VAS2" s="64"/>
      <c r="VAT2" s="72"/>
      <c r="VAU2" s="145"/>
      <c r="VAV2" s="145"/>
      <c r="VAW2" s="126"/>
      <c r="VAX2" s="126"/>
      <c r="VAY2" s="64"/>
      <c r="VAZ2" s="72"/>
      <c r="VBA2" s="145"/>
      <c r="VBB2" s="145"/>
      <c r="VBC2" s="126"/>
      <c r="VBD2" s="126"/>
      <c r="VBE2" s="64"/>
      <c r="VBF2" s="72"/>
      <c r="VBG2" s="145"/>
      <c r="VBH2" s="145"/>
      <c r="VBI2" s="126"/>
      <c r="VBJ2" s="126"/>
      <c r="VBK2" s="64"/>
      <c r="VBL2" s="72"/>
      <c r="VBM2" s="145"/>
      <c r="VBN2" s="145"/>
      <c r="VBO2" s="126"/>
      <c r="VBP2" s="126"/>
      <c r="VBQ2" s="64"/>
      <c r="VBR2" s="72"/>
      <c r="VBS2" s="145"/>
      <c r="VBT2" s="145"/>
      <c r="VBU2" s="126"/>
      <c r="VBV2" s="126"/>
      <c r="VBW2" s="64"/>
      <c r="VBX2" s="72"/>
      <c r="VBY2" s="145"/>
      <c r="VBZ2" s="145"/>
      <c r="VCA2" s="126"/>
      <c r="VCB2" s="126"/>
      <c r="VCC2" s="64"/>
      <c r="VCD2" s="72"/>
      <c r="VCE2" s="145"/>
      <c r="VCF2" s="145"/>
      <c r="VCG2" s="126"/>
      <c r="VCH2" s="126"/>
      <c r="VCI2" s="64"/>
      <c r="VCJ2" s="72"/>
      <c r="VCK2" s="145"/>
      <c r="VCL2" s="145"/>
      <c r="VCM2" s="126"/>
      <c r="VCN2" s="126"/>
      <c r="VCO2" s="64"/>
      <c r="VCP2" s="72"/>
      <c r="VCQ2" s="145"/>
      <c r="VCR2" s="145"/>
      <c r="VCS2" s="126"/>
      <c r="VCT2" s="126"/>
      <c r="VCU2" s="64"/>
      <c r="VCV2" s="72"/>
      <c r="VCW2" s="145"/>
      <c r="VCX2" s="145"/>
      <c r="VCY2" s="126"/>
      <c r="VCZ2" s="126"/>
      <c r="VDA2" s="64"/>
      <c r="VDB2" s="72"/>
      <c r="VDC2" s="145"/>
      <c r="VDD2" s="145"/>
      <c r="VDE2" s="126"/>
      <c r="VDF2" s="126"/>
      <c r="VDG2" s="64"/>
      <c r="VDH2" s="72"/>
      <c r="VDI2" s="145"/>
      <c r="VDJ2" s="145"/>
      <c r="VDK2" s="126"/>
      <c r="VDL2" s="126"/>
      <c r="VDM2" s="64"/>
      <c r="VDN2" s="72"/>
      <c r="VDO2" s="145"/>
      <c r="VDP2" s="145"/>
      <c r="VDQ2" s="126"/>
      <c r="VDR2" s="126"/>
      <c r="VDS2" s="64"/>
      <c r="VDT2" s="72"/>
      <c r="VDU2" s="145"/>
      <c r="VDV2" s="145"/>
      <c r="VDW2" s="126"/>
      <c r="VDX2" s="126"/>
      <c r="VDY2" s="64"/>
      <c r="VDZ2" s="72"/>
      <c r="VEA2" s="145"/>
      <c r="VEB2" s="145"/>
      <c r="VEC2" s="126"/>
      <c r="VED2" s="126"/>
      <c r="VEE2" s="64"/>
      <c r="VEF2" s="72"/>
      <c r="VEG2" s="145"/>
      <c r="VEH2" s="145"/>
      <c r="VEI2" s="126"/>
      <c r="VEJ2" s="126"/>
      <c r="VEK2" s="64"/>
      <c r="VEL2" s="72"/>
      <c r="VEM2" s="145"/>
      <c r="VEN2" s="145"/>
      <c r="VEO2" s="126"/>
      <c r="VEP2" s="126"/>
      <c r="VEQ2" s="64"/>
      <c r="VER2" s="72"/>
      <c r="VES2" s="145"/>
      <c r="VET2" s="145"/>
      <c r="VEU2" s="126"/>
      <c r="VEV2" s="126"/>
      <c r="VEW2" s="64"/>
      <c r="VEX2" s="72"/>
      <c r="VEY2" s="145"/>
      <c r="VEZ2" s="145"/>
      <c r="VFA2" s="126"/>
      <c r="VFB2" s="126"/>
      <c r="VFC2" s="64"/>
      <c r="VFD2" s="72"/>
      <c r="VFE2" s="145"/>
      <c r="VFF2" s="145"/>
      <c r="VFG2" s="126"/>
      <c r="VFH2" s="126"/>
      <c r="VFI2" s="64"/>
      <c r="VFJ2" s="72"/>
      <c r="VFK2" s="145"/>
      <c r="VFL2" s="145"/>
      <c r="VFM2" s="126"/>
      <c r="VFN2" s="126"/>
      <c r="VFO2" s="64"/>
      <c r="VFP2" s="72"/>
      <c r="VFQ2" s="145"/>
      <c r="VFR2" s="145"/>
      <c r="VFS2" s="126"/>
      <c r="VFT2" s="126"/>
      <c r="VFU2" s="64"/>
      <c r="VFV2" s="72"/>
      <c r="VFW2" s="145"/>
      <c r="VFX2" s="145"/>
      <c r="VFY2" s="126"/>
      <c r="VFZ2" s="126"/>
      <c r="VGA2" s="64"/>
      <c r="VGB2" s="72"/>
      <c r="VGC2" s="145"/>
      <c r="VGD2" s="145"/>
      <c r="VGE2" s="126"/>
      <c r="VGF2" s="126"/>
      <c r="VGG2" s="64"/>
      <c r="VGH2" s="72"/>
      <c r="VGI2" s="145"/>
      <c r="VGJ2" s="145"/>
      <c r="VGK2" s="126"/>
      <c r="VGL2" s="126"/>
      <c r="VGM2" s="64"/>
      <c r="VGN2" s="72"/>
      <c r="VGO2" s="145"/>
      <c r="VGP2" s="145"/>
      <c r="VGQ2" s="126"/>
      <c r="VGR2" s="126"/>
      <c r="VGS2" s="64"/>
      <c r="VGT2" s="72"/>
      <c r="VGU2" s="145"/>
      <c r="VGV2" s="145"/>
      <c r="VGW2" s="126"/>
      <c r="VGX2" s="126"/>
      <c r="VGY2" s="64"/>
      <c r="VGZ2" s="72"/>
      <c r="VHA2" s="145"/>
      <c r="VHB2" s="145"/>
      <c r="VHC2" s="126"/>
      <c r="VHD2" s="126"/>
      <c r="VHE2" s="64"/>
      <c r="VHF2" s="72"/>
      <c r="VHG2" s="145"/>
      <c r="VHH2" s="145"/>
      <c r="VHI2" s="126"/>
      <c r="VHJ2" s="126"/>
      <c r="VHK2" s="64"/>
      <c r="VHL2" s="72"/>
      <c r="VHM2" s="145"/>
      <c r="VHN2" s="145"/>
      <c r="VHO2" s="126"/>
      <c r="VHP2" s="126"/>
      <c r="VHQ2" s="64"/>
      <c r="VHR2" s="72"/>
      <c r="VHS2" s="145"/>
      <c r="VHT2" s="145"/>
      <c r="VHU2" s="126"/>
      <c r="VHV2" s="126"/>
      <c r="VHW2" s="64"/>
      <c r="VHX2" s="72"/>
      <c r="VHY2" s="145"/>
      <c r="VHZ2" s="145"/>
      <c r="VIA2" s="126"/>
      <c r="VIB2" s="126"/>
      <c r="VIC2" s="64"/>
      <c r="VID2" s="72"/>
      <c r="VIE2" s="145"/>
      <c r="VIF2" s="145"/>
      <c r="VIG2" s="126"/>
      <c r="VIH2" s="126"/>
      <c r="VII2" s="64"/>
      <c r="VIJ2" s="72"/>
      <c r="VIK2" s="145"/>
      <c r="VIL2" s="145"/>
      <c r="VIM2" s="126"/>
      <c r="VIN2" s="126"/>
      <c r="VIO2" s="64"/>
      <c r="VIP2" s="72"/>
      <c r="VIQ2" s="145"/>
      <c r="VIR2" s="145"/>
      <c r="VIS2" s="126"/>
      <c r="VIT2" s="126"/>
      <c r="VIU2" s="64"/>
      <c r="VIV2" s="72"/>
      <c r="VIW2" s="145"/>
      <c r="VIX2" s="145"/>
      <c r="VIY2" s="126"/>
      <c r="VIZ2" s="126"/>
      <c r="VJA2" s="64"/>
      <c r="VJB2" s="72"/>
      <c r="VJC2" s="145"/>
      <c r="VJD2" s="145"/>
      <c r="VJE2" s="126"/>
      <c r="VJF2" s="126"/>
      <c r="VJG2" s="64"/>
      <c r="VJH2" s="72"/>
      <c r="VJI2" s="145"/>
      <c r="VJJ2" s="145"/>
      <c r="VJK2" s="126"/>
      <c r="VJL2" s="126"/>
      <c r="VJM2" s="64"/>
      <c r="VJN2" s="72"/>
      <c r="VJO2" s="145"/>
      <c r="VJP2" s="145"/>
      <c r="VJQ2" s="126"/>
      <c r="VJR2" s="126"/>
      <c r="VJS2" s="64"/>
      <c r="VJT2" s="72"/>
      <c r="VJU2" s="145"/>
      <c r="VJV2" s="145"/>
      <c r="VJW2" s="126"/>
      <c r="VJX2" s="126"/>
      <c r="VJY2" s="64"/>
      <c r="VJZ2" s="72"/>
      <c r="VKA2" s="145"/>
      <c r="VKB2" s="145"/>
      <c r="VKC2" s="126"/>
      <c r="VKD2" s="126"/>
      <c r="VKE2" s="64"/>
      <c r="VKF2" s="72"/>
      <c r="VKG2" s="145"/>
      <c r="VKH2" s="145"/>
      <c r="VKI2" s="126"/>
      <c r="VKJ2" s="126"/>
      <c r="VKK2" s="64"/>
      <c r="VKL2" s="72"/>
      <c r="VKM2" s="145"/>
      <c r="VKN2" s="145"/>
      <c r="VKO2" s="126"/>
      <c r="VKP2" s="126"/>
      <c r="VKQ2" s="64"/>
      <c r="VKR2" s="72"/>
      <c r="VKS2" s="145"/>
      <c r="VKT2" s="145"/>
      <c r="VKU2" s="126"/>
      <c r="VKV2" s="126"/>
      <c r="VKW2" s="64"/>
      <c r="VKX2" s="72"/>
      <c r="VKY2" s="145"/>
      <c r="VKZ2" s="145"/>
      <c r="VLA2" s="126"/>
      <c r="VLB2" s="126"/>
      <c r="VLC2" s="64"/>
      <c r="VLD2" s="72"/>
      <c r="VLE2" s="145"/>
      <c r="VLF2" s="145"/>
      <c r="VLG2" s="126"/>
      <c r="VLH2" s="126"/>
      <c r="VLI2" s="64"/>
      <c r="VLJ2" s="72"/>
      <c r="VLK2" s="145"/>
      <c r="VLL2" s="145"/>
      <c r="VLM2" s="126"/>
      <c r="VLN2" s="126"/>
      <c r="VLO2" s="64"/>
      <c r="VLP2" s="72"/>
      <c r="VLQ2" s="145"/>
      <c r="VLR2" s="145"/>
      <c r="VLS2" s="126"/>
      <c r="VLT2" s="126"/>
      <c r="VLU2" s="64"/>
      <c r="VLV2" s="72"/>
      <c r="VLW2" s="145"/>
      <c r="VLX2" s="145"/>
      <c r="VLY2" s="126"/>
      <c r="VLZ2" s="126"/>
      <c r="VMA2" s="64"/>
      <c r="VMB2" s="72"/>
      <c r="VMC2" s="145"/>
      <c r="VMD2" s="145"/>
      <c r="VME2" s="126"/>
      <c r="VMF2" s="126"/>
      <c r="VMG2" s="64"/>
      <c r="VMH2" s="72"/>
      <c r="VMI2" s="145"/>
      <c r="VMJ2" s="145"/>
      <c r="VMK2" s="126"/>
      <c r="VML2" s="126"/>
      <c r="VMM2" s="64"/>
      <c r="VMN2" s="72"/>
      <c r="VMO2" s="145"/>
      <c r="VMP2" s="145"/>
      <c r="VMQ2" s="126"/>
      <c r="VMR2" s="126"/>
      <c r="VMS2" s="64"/>
      <c r="VMT2" s="72"/>
      <c r="VMU2" s="145"/>
      <c r="VMV2" s="145"/>
      <c r="VMW2" s="126"/>
      <c r="VMX2" s="126"/>
      <c r="VMY2" s="64"/>
      <c r="VMZ2" s="72"/>
      <c r="VNA2" s="145"/>
      <c r="VNB2" s="145"/>
      <c r="VNC2" s="126"/>
      <c r="VND2" s="126"/>
      <c r="VNE2" s="64"/>
      <c r="VNF2" s="72"/>
      <c r="VNG2" s="145"/>
      <c r="VNH2" s="145"/>
      <c r="VNI2" s="126"/>
      <c r="VNJ2" s="126"/>
      <c r="VNK2" s="64"/>
      <c r="VNL2" s="72"/>
      <c r="VNM2" s="145"/>
      <c r="VNN2" s="145"/>
      <c r="VNO2" s="126"/>
      <c r="VNP2" s="126"/>
      <c r="VNQ2" s="64"/>
      <c r="VNR2" s="72"/>
      <c r="VNS2" s="145"/>
      <c r="VNT2" s="145"/>
      <c r="VNU2" s="126"/>
      <c r="VNV2" s="126"/>
      <c r="VNW2" s="64"/>
      <c r="VNX2" s="72"/>
      <c r="VNY2" s="145"/>
      <c r="VNZ2" s="145"/>
      <c r="VOA2" s="126"/>
      <c r="VOB2" s="126"/>
      <c r="VOC2" s="64"/>
      <c r="VOD2" s="72"/>
      <c r="VOE2" s="145"/>
      <c r="VOF2" s="145"/>
      <c r="VOG2" s="126"/>
      <c r="VOH2" s="126"/>
      <c r="VOI2" s="64"/>
      <c r="VOJ2" s="72"/>
      <c r="VOK2" s="145"/>
      <c r="VOL2" s="145"/>
      <c r="VOM2" s="126"/>
      <c r="VON2" s="126"/>
      <c r="VOO2" s="64"/>
      <c r="VOP2" s="72"/>
      <c r="VOQ2" s="145"/>
      <c r="VOR2" s="145"/>
      <c r="VOS2" s="126"/>
      <c r="VOT2" s="126"/>
      <c r="VOU2" s="64"/>
      <c r="VOV2" s="72"/>
      <c r="VOW2" s="145"/>
      <c r="VOX2" s="145"/>
      <c r="VOY2" s="126"/>
      <c r="VOZ2" s="126"/>
      <c r="VPA2" s="64"/>
      <c r="VPB2" s="72"/>
      <c r="VPC2" s="145"/>
      <c r="VPD2" s="145"/>
      <c r="VPE2" s="126"/>
      <c r="VPF2" s="126"/>
      <c r="VPG2" s="64"/>
      <c r="VPH2" s="72"/>
      <c r="VPI2" s="145"/>
      <c r="VPJ2" s="145"/>
      <c r="VPK2" s="126"/>
      <c r="VPL2" s="126"/>
      <c r="VPM2" s="64"/>
      <c r="VPN2" s="72"/>
      <c r="VPO2" s="145"/>
      <c r="VPP2" s="145"/>
      <c r="VPQ2" s="126"/>
      <c r="VPR2" s="126"/>
      <c r="VPS2" s="64"/>
      <c r="VPT2" s="72"/>
      <c r="VPU2" s="145"/>
      <c r="VPV2" s="145"/>
      <c r="VPW2" s="126"/>
      <c r="VPX2" s="126"/>
      <c r="VPY2" s="64"/>
      <c r="VPZ2" s="72"/>
      <c r="VQA2" s="145"/>
      <c r="VQB2" s="145"/>
      <c r="VQC2" s="126"/>
      <c r="VQD2" s="126"/>
      <c r="VQE2" s="64"/>
      <c r="VQF2" s="72"/>
      <c r="VQG2" s="145"/>
      <c r="VQH2" s="145"/>
      <c r="VQI2" s="126"/>
      <c r="VQJ2" s="126"/>
      <c r="VQK2" s="64"/>
      <c r="VQL2" s="72"/>
      <c r="VQM2" s="145"/>
      <c r="VQN2" s="145"/>
      <c r="VQO2" s="126"/>
      <c r="VQP2" s="126"/>
      <c r="VQQ2" s="64"/>
      <c r="VQR2" s="72"/>
      <c r="VQS2" s="145"/>
      <c r="VQT2" s="145"/>
      <c r="VQU2" s="126"/>
      <c r="VQV2" s="126"/>
      <c r="VQW2" s="64"/>
      <c r="VQX2" s="72"/>
      <c r="VQY2" s="145"/>
      <c r="VQZ2" s="145"/>
      <c r="VRA2" s="126"/>
      <c r="VRB2" s="126"/>
      <c r="VRC2" s="64"/>
      <c r="VRD2" s="72"/>
      <c r="VRE2" s="145"/>
      <c r="VRF2" s="145"/>
      <c r="VRG2" s="126"/>
      <c r="VRH2" s="126"/>
      <c r="VRI2" s="64"/>
      <c r="VRJ2" s="72"/>
      <c r="VRK2" s="145"/>
      <c r="VRL2" s="145"/>
      <c r="VRM2" s="126"/>
      <c r="VRN2" s="126"/>
      <c r="VRO2" s="64"/>
      <c r="VRP2" s="72"/>
      <c r="VRQ2" s="145"/>
      <c r="VRR2" s="145"/>
      <c r="VRS2" s="126"/>
      <c r="VRT2" s="126"/>
      <c r="VRU2" s="64"/>
      <c r="VRV2" s="72"/>
      <c r="VRW2" s="145"/>
      <c r="VRX2" s="145"/>
      <c r="VRY2" s="126"/>
      <c r="VRZ2" s="126"/>
      <c r="VSA2" s="64"/>
      <c r="VSB2" s="72"/>
      <c r="VSC2" s="145"/>
      <c r="VSD2" s="145"/>
      <c r="VSE2" s="126"/>
      <c r="VSF2" s="126"/>
      <c r="VSG2" s="64"/>
      <c r="VSH2" s="72"/>
      <c r="VSI2" s="145"/>
      <c r="VSJ2" s="145"/>
      <c r="VSK2" s="126"/>
      <c r="VSL2" s="126"/>
      <c r="VSM2" s="64"/>
      <c r="VSN2" s="72"/>
      <c r="VSO2" s="145"/>
      <c r="VSP2" s="145"/>
      <c r="VSQ2" s="126"/>
      <c r="VSR2" s="126"/>
      <c r="VSS2" s="64"/>
      <c r="VST2" s="72"/>
      <c r="VSU2" s="145"/>
      <c r="VSV2" s="145"/>
      <c r="VSW2" s="126"/>
      <c r="VSX2" s="126"/>
      <c r="VSY2" s="64"/>
      <c r="VSZ2" s="72"/>
      <c r="VTA2" s="145"/>
      <c r="VTB2" s="145"/>
      <c r="VTC2" s="126"/>
      <c r="VTD2" s="126"/>
      <c r="VTE2" s="64"/>
      <c r="VTF2" s="72"/>
      <c r="VTG2" s="145"/>
      <c r="VTH2" s="145"/>
      <c r="VTI2" s="126"/>
      <c r="VTJ2" s="126"/>
      <c r="VTK2" s="64"/>
      <c r="VTL2" s="72"/>
      <c r="VTM2" s="145"/>
      <c r="VTN2" s="145"/>
      <c r="VTO2" s="126"/>
      <c r="VTP2" s="126"/>
      <c r="VTQ2" s="64"/>
      <c r="VTR2" s="72"/>
      <c r="VTS2" s="145"/>
      <c r="VTT2" s="145"/>
      <c r="VTU2" s="126"/>
      <c r="VTV2" s="126"/>
      <c r="VTW2" s="64"/>
      <c r="VTX2" s="72"/>
      <c r="VTY2" s="145"/>
      <c r="VTZ2" s="145"/>
      <c r="VUA2" s="126"/>
      <c r="VUB2" s="126"/>
      <c r="VUC2" s="64"/>
      <c r="VUD2" s="72"/>
      <c r="VUE2" s="145"/>
      <c r="VUF2" s="145"/>
      <c r="VUG2" s="126"/>
      <c r="VUH2" s="126"/>
      <c r="VUI2" s="64"/>
      <c r="VUJ2" s="72"/>
      <c r="VUK2" s="145"/>
      <c r="VUL2" s="145"/>
      <c r="VUM2" s="126"/>
      <c r="VUN2" s="126"/>
      <c r="VUO2" s="64"/>
      <c r="VUP2" s="72"/>
      <c r="VUQ2" s="145"/>
      <c r="VUR2" s="145"/>
      <c r="VUS2" s="126"/>
      <c r="VUT2" s="126"/>
      <c r="VUU2" s="64"/>
      <c r="VUV2" s="72"/>
      <c r="VUW2" s="145"/>
      <c r="VUX2" s="145"/>
      <c r="VUY2" s="126"/>
      <c r="VUZ2" s="126"/>
      <c r="VVA2" s="64"/>
      <c r="VVB2" s="72"/>
      <c r="VVC2" s="145"/>
      <c r="VVD2" s="145"/>
      <c r="VVE2" s="126"/>
      <c r="VVF2" s="126"/>
      <c r="VVG2" s="64"/>
      <c r="VVH2" s="72"/>
      <c r="VVI2" s="145"/>
      <c r="VVJ2" s="145"/>
      <c r="VVK2" s="126"/>
      <c r="VVL2" s="126"/>
      <c r="VVM2" s="64"/>
      <c r="VVN2" s="72"/>
      <c r="VVO2" s="145"/>
      <c r="VVP2" s="145"/>
      <c r="VVQ2" s="126"/>
      <c r="VVR2" s="126"/>
      <c r="VVS2" s="64"/>
      <c r="VVT2" s="72"/>
      <c r="VVU2" s="145"/>
      <c r="VVV2" s="145"/>
      <c r="VVW2" s="126"/>
      <c r="VVX2" s="126"/>
      <c r="VVY2" s="64"/>
      <c r="VVZ2" s="72"/>
      <c r="VWA2" s="145"/>
      <c r="VWB2" s="145"/>
      <c r="VWC2" s="126"/>
      <c r="VWD2" s="126"/>
      <c r="VWE2" s="64"/>
      <c r="VWF2" s="72"/>
      <c r="VWG2" s="145"/>
      <c r="VWH2" s="145"/>
      <c r="VWI2" s="126"/>
      <c r="VWJ2" s="126"/>
      <c r="VWK2" s="64"/>
      <c r="VWL2" s="72"/>
      <c r="VWM2" s="145"/>
      <c r="VWN2" s="145"/>
      <c r="VWO2" s="126"/>
      <c r="VWP2" s="126"/>
      <c r="VWQ2" s="64"/>
      <c r="VWR2" s="72"/>
      <c r="VWS2" s="145"/>
      <c r="VWT2" s="145"/>
      <c r="VWU2" s="126"/>
      <c r="VWV2" s="126"/>
      <c r="VWW2" s="64"/>
      <c r="VWX2" s="72"/>
      <c r="VWY2" s="145"/>
      <c r="VWZ2" s="145"/>
      <c r="VXA2" s="126"/>
      <c r="VXB2" s="126"/>
      <c r="VXC2" s="64"/>
      <c r="VXD2" s="72"/>
      <c r="VXE2" s="145"/>
      <c r="VXF2" s="145"/>
      <c r="VXG2" s="126"/>
      <c r="VXH2" s="126"/>
      <c r="VXI2" s="64"/>
      <c r="VXJ2" s="72"/>
      <c r="VXK2" s="145"/>
      <c r="VXL2" s="145"/>
      <c r="VXM2" s="126"/>
      <c r="VXN2" s="126"/>
      <c r="VXO2" s="64"/>
      <c r="VXP2" s="72"/>
      <c r="VXQ2" s="145"/>
      <c r="VXR2" s="145"/>
      <c r="VXS2" s="126"/>
      <c r="VXT2" s="126"/>
      <c r="VXU2" s="64"/>
      <c r="VXV2" s="72"/>
      <c r="VXW2" s="145"/>
      <c r="VXX2" s="145"/>
      <c r="VXY2" s="126"/>
      <c r="VXZ2" s="126"/>
      <c r="VYA2" s="64"/>
      <c r="VYB2" s="72"/>
      <c r="VYC2" s="145"/>
      <c r="VYD2" s="145"/>
      <c r="VYE2" s="126"/>
      <c r="VYF2" s="126"/>
      <c r="VYG2" s="64"/>
      <c r="VYH2" s="72"/>
      <c r="VYI2" s="145"/>
      <c r="VYJ2" s="145"/>
      <c r="VYK2" s="126"/>
      <c r="VYL2" s="126"/>
      <c r="VYM2" s="64"/>
      <c r="VYN2" s="72"/>
      <c r="VYO2" s="145"/>
      <c r="VYP2" s="145"/>
      <c r="VYQ2" s="126"/>
      <c r="VYR2" s="126"/>
      <c r="VYS2" s="64"/>
      <c r="VYT2" s="72"/>
      <c r="VYU2" s="145"/>
      <c r="VYV2" s="145"/>
      <c r="VYW2" s="126"/>
      <c r="VYX2" s="126"/>
      <c r="VYY2" s="64"/>
      <c r="VYZ2" s="72"/>
      <c r="VZA2" s="145"/>
      <c r="VZB2" s="145"/>
      <c r="VZC2" s="126"/>
      <c r="VZD2" s="126"/>
      <c r="VZE2" s="64"/>
      <c r="VZF2" s="72"/>
      <c r="VZG2" s="145"/>
      <c r="VZH2" s="145"/>
      <c r="VZI2" s="126"/>
      <c r="VZJ2" s="126"/>
      <c r="VZK2" s="64"/>
      <c r="VZL2" s="72"/>
      <c r="VZM2" s="145"/>
      <c r="VZN2" s="145"/>
      <c r="VZO2" s="126"/>
      <c r="VZP2" s="126"/>
      <c r="VZQ2" s="64"/>
      <c r="VZR2" s="72"/>
      <c r="VZS2" s="145"/>
      <c r="VZT2" s="145"/>
      <c r="VZU2" s="126"/>
      <c r="VZV2" s="126"/>
      <c r="VZW2" s="64"/>
      <c r="VZX2" s="72"/>
      <c r="VZY2" s="145"/>
      <c r="VZZ2" s="145"/>
      <c r="WAA2" s="126"/>
      <c r="WAB2" s="126"/>
      <c r="WAC2" s="64"/>
      <c r="WAD2" s="72"/>
      <c r="WAE2" s="145"/>
      <c r="WAF2" s="145"/>
      <c r="WAG2" s="126"/>
      <c r="WAH2" s="126"/>
      <c r="WAI2" s="64"/>
      <c r="WAJ2" s="72"/>
      <c r="WAK2" s="145"/>
      <c r="WAL2" s="145"/>
      <c r="WAM2" s="126"/>
      <c r="WAN2" s="126"/>
      <c r="WAO2" s="64"/>
      <c r="WAP2" s="72"/>
      <c r="WAQ2" s="145"/>
      <c r="WAR2" s="145"/>
      <c r="WAS2" s="126"/>
      <c r="WAT2" s="126"/>
      <c r="WAU2" s="64"/>
      <c r="WAV2" s="72"/>
      <c r="WAW2" s="145"/>
      <c r="WAX2" s="145"/>
      <c r="WAY2" s="126"/>
      <c r="WAZ2" s="126"/>
      <c r="WBA2" s="64"/>
      <c r="WBB2" s="72"/>
      <c r="WBC2" s="145"/>
      <c r="WBD2" s="145"/>
      <c r="WBE2" s="126"/>
      <c r="WBF2" s="126"/>
      <c r="WBG2" s="64"/>
      <c r="WBH2" s="72"/>
      <c r="WBI2" s="145"/>
      <c r="WBJ2" s="145"/>
      <c r="WBK2" s="126"/>
      <c r="WBL2" s="126"/>
      <c r="WBM2" s="64"/>
      <c r="WBN2" s="72"/>
      <c r="WBO2" s="145"/>
      <c r="WBP2" s="145"/>
      <c r="WBQ2" s="126"/>
      <c r="WBR2" s="126"/>
      <c r="WBS2" s="64"/>
      <c r="WBT2" s="72"/>
      <c r="WBU2" s="145"/>
      <c r="WBV2" s="145"/>
      <c r="WBW2" s="126"/>
      <c r="WBX2" s="126"/>
      <c r="WBY2" s="64"/>
      <c r="WBZ2" s="72"/>
      <c r="WCA2" s="145"/>
      <c r="WCB2" s="145"/>
      <c r="WCC2" s="126"/>
      <c r="WCD2" s="126"/>
      <c r="WCE2" s="64"/>
      <c r="WCF2" s="72"/>
      <c r="WCG2" s="145"/>
      <c r="WCH2" s="145"/>
      <c r="WCI2" s="126"/>
      <c r="WCJ2" s="126"/>
      <c r="WCK2" s="64"/>
      <c r="WCL2" s="72"/>
      <c r="WCM2" s="145"/>
      <c r="WCN2" s="145"/>
      <c r="WCO2" s="126"/>
      <c r="WCP2" s="126"/>
      <c r="WCQ2" s="64"/>
      <c r="WCR2" s="72"/>
      <c r="WCS2" s="145"/>
      <c r="WCT2" s="145"/>
      <c r="WCU2" s="126"/>
      <c r="WCV2" s="126"/>
      <c r="WCW2" s="64"/>
      <c r="WCX2" s="72"/>
      <c r="WCY2" s="145"/>
      <c r="WCZ2" s="145"/>
      <c r="WDA2" s="126"/>
      <c r="WDB2" s="126"/>
      <c r="WDC2" s="64"/>
      <c r="WDD2" s="72"/>
      <c r="WDE2" s="145"/>
      <c r="WDF2" s="145"/>
      <c r="WDG2" s="126"/>
      <c r="WDH2" s="126"/>
      <c r="WDI2" s="64"/>
      <c r="WDJ2" s="72"/>
      <c r="WDK2" s="145"/>
      <c r="WDL2" s="145"/>
      <c r="WDM2" s="126"/>
      <c r="WDN2" s="126"/>
      <c r="WDO2" s="64"/>
      <c r="WDP2" s="72"/>
      <c r="WDQ2" s="145"/>
      <c r="WDR2" s="145"/>
      <c r="WDS2" s="126"/>
      <c r="WDT2" s="126"/>
      <c r="WDU2" s="64"/>
      <c r="WDV2" s="72"/>
      <c r="WDW2" s="145"/>
      <c r="WDX2" s="145"/>
      <c r="WDY2" s="126"/>
      <c r="WDZ2" s="126"/>
      <c r="WEA2" s="64"/>
      <c r="WEB2" s="72"/>
      <c r="WEC2" s="145"/>
      <c r="WED2" s="145"/>
      <c r="WEE2" s="126"/>
      <c r="WEF2" s="126"/>
      <c r="WEG2" s="64"/>
      <c r="WEH2" s="72"/>
      <c r="WEI2" s="145"/>
      <c r="WEJ2" s="145"/>
      <c r="WEK2" s="126"/>
      <c r="WEL2" s="126"/>
      <c r="WEM2" s="64"/>
      <c r="WEN2" s="72"/>
      <c r="WEO2" s="145"/>
      <c r="WEP2" s="145"/>
      <c r="WEQ2" s="126"/>
      <c r="WER2" s="126"/>
      <c r="WES2" s="64"/>
      <c r="WET2" s="72"/>
      <c r="WEU2" s="145"/>
      <c r="WEV2" s="145"/>
      <c r="WEW2" s="126"/>
      <c r="WEX2" s="126"/>
      <c r="WEY2" s="64"/>
      <c r="WEZ2" s="72"/>
      <c r="WFA2" s="145"/>
      <c r="WFB2" s="145"/>
      <c r="WFC2" s="126"/>
      <c r="WFD2" s="126"/>
      <c r="WFE2" s="64"/>
      <c r="WFF2" s="72"/>
      <c r="WFG2" s="145"/>
      <c r="WFH2" s="145"/>
      <c r="WFI2" s="126"/>
      <c r="WFJ2" s="126"/>
      <c r="WFK2" s="64"/>
      <c r="WFL2" s="72"/>
      <c r="WFM2" s="145"/>
      <c r="WFN2" s="145"/>
      <c r="WFO2" s="126"/>
      <c r="WFP2" s="126"/>
      <c r="WFQ2" s="64"/>
      <c r="WFR2" s="72"/>
      <c r="WFS2" s="145"/>
      <c r="WFT2" s="145"/>
      <c r="WFU2" s="126"/>
      <c r="WFV2" s="126"/>
      <c r="WFW2" s="64"/>
      <c r="WFX2" s="72"/>
      <c r="WFY2" s="145"/>
      <c r="WFZ2" s="145"/>
      <c r="WGA2" s="126"/>
      <c r="WGB2" s="126"/>
      <c r="WGC2" s="64"/>
      <c r="WGD2" s="72"/>
      <c r="WGE2" s="145"/>
      <c r="WGF2" s="145"/>
      <c r="WGG2" s="126"/>
      <c r="WGH2" s="126"/>
      <c r="WGI2" s="64"/>
      <c r="WGJ2" s="72"/>
      <c r="WGK2" s="145"/>
      <c r="WGL2" s="145"/>
      <c r="WGM2" s="126"/>
      <c r="WGN2" s="126"/>
      <c r="WGO2" s="64"/>
      <c r="WGP2" s="72"/>
      <c r="WGQ2" s="145"/>
      <c r="WGR2" s="145"/>
      <c r="WGS2" s="126"/>
      <c r="WGT2" s="126"/>
      <c r="WGU2" s="64"/>
      <c r="WGV2" s="72"/>
      <c r="WGW2" s="145"/>
      <c r="WGX2" s="145"/>
      <c r="WGY2" s="126"/>
      <c r="WGZ2" s="126"/>
      <c r="WHA2" s="64"/>
      <c r="WHB2" s="72"/>
      <c r="WHC2" s="145"/>
      <c r="WHD2" s="145"/>
      <c r="WHE2" s="126"/>
      <c r="WHF2" s="126"/>
      <c r="WHG2" s="64"/>
      <c r="WHH2" s="72"/>
      <c r="WHI2" s="145"/>
      <c r="WHJ2" s="145"/>
      <c r="WHK2" s="126"/>
      <c r="WHL2" s="126"/>
      <c r="WHM2" s="64"/>
      <c r="WHN2" s="72"/>
      <c r="WHO2" s="145"/>
      <c r="WHP2" s="145"/>
      <c r="WHQ2" s="126"/>
      <c r="WHR2" s="126"/>
      <c r="WHS2" s="64"/>
      <c r="WHT2" s="72"/>
      <c r="WHU2" s="145"/>
      <c r="WHV2" s="145"/>
      <c r="WHW2" s="126"/>
      <c r="WHX2" s="126"/>
      <c r="WHY2" s="64"/>
      <c r="WHZ2" s="72"/>
      <c r="WIA2" s="145"/>
      <c r="WIB2" s="145"/>
      <c r="WIC2" s="126"/>
      <c r="WID2" s="126"/>
      <c r="WIE2" s="64"/>
      <c r="WIF2" s="72"/>
      <c r="WIG2" s="145"/>
      <c r="WIH2" s="145"/>
      <c r="WII2" s="126"/>
      <c r="WIJ2" s="126"/>
      <c r="WIK2" s="64"/>
      <c r="WIL2" s="72"/>
      <c r="WIM2" s="145"/>
      <c r="WIN2" s="145"/>
      <c r="WIO2" s="126"/>
      <c r="WIP2" s="126"/>
      <c r="WIQ2" s="64"/>
      <c r="WIR2" s="72"/>
      <c r="WIS2" s="145"/>
      <c r="WIT2" s="145"/>
      <c r="WIU2" s="126"/>
      <c r="WIV2" s="126"/>
      <c r="WIW2" s="64"/>
      <c r="WIX2" s="72"/>
      <c r="WIY2" s="145"/>
      <c r="WIZ2" s="145"/>
      <c r="WJA2" s="126"/>
      <c r="WJB2" s="126"/>
      <c r="WJC2" s="64"/>
      <c r="WJD2" s="72"/>
      <c r="WJE2" s="145"/>
      <c r="WJF2" s="145"/>
      <c r="WJG2" s="126"/>
      <c r="WJH2" s="126"/>
      <c r="WJI2" s="64"/>
      <c r="WJJ2" s="72"/>
      <c r="WJK2" s="145"/>
      <c r="WJL2" s="145"/>
      <c r="WJM2" s="126"/>
      <c r="WJN2" s="126"/>
      <c r="WJO2" s="64"/>
      <c r="WJP2" s="72"/>
      <c r="WJQ2" s="145"/>
      <c r="WJR2" s="145"/>
      <c r="WJS2" s="126"/>
      <c r="WJT2" s="126"/>
      <c r="WJU2" s="64"/>
      <c r="WJV2" s="72"/>
      <c r="WJW2" s="145"/>
      <c r="WJX2" s="145"/>
      <c r="WJY2" s="126"/>
      <c r="WJZ2" s="126"/>
      <c r="WKA2" s="64"/>
      <c r="WKB2" s="72"/>
      <c r="WKC2" s="145"/>
      <c r="WKD2" s="145"/>
      <c r="WKE2" s="126"/>
      <c r="WKF2" s="126"/>
      <c r="WKG2" s="64"/>
      <c r="WKH2" s="72"/>
      <c r="WKI2" s="145"/>
      <c r="WKJ2" s="145"/>
      <c r="WKK2" s="126"/>
      <c r="WKL2" s="126"/>
      <c r="WKM2" s="64"/>
      <c r="WKN2" s="72"/>
      <c r="WKO2" s="145"/>
      <c r="WKP2" s="145"/>
      <c r="WKQ2" s="126"/>
      <c r="WKR2" s="126"/>
      <c r="WKS2" s="64"/>
      <c r="WKT2" s="72"/>
      <c r="WKU2" s="145"/>
      <c r="WKV2" s="145"/>
      <c r="WKW2" s="126"/>
      <c r="WKX2" s="126"/>
      <c r="WKY2" s="64"/>
      <c r="WKZ2" s="72"/>
      <c r="WLA2" s="145"/>
      <c r="WLB2" s="145"/>
      <c r="WLC2" s="126"/>
      <c r="WLD2" s="126"/>
      <c r="WLE2" s="64"/>
      <c r="WLF2" s="72"/>
      <c r="WLG2" s="145"/>
      <c r="WLH2" s="145"/>
      <c r="WLI2" s="126"/>
      <c r="WLJ2" s="126"/>
      <c r="WLK2" s="64"/>
      <c r="WLL2" s="72"/>
      <c r="WLM2" s="145"/>
      <c r="WLN2" s="145"/>
      <c r="WLO2" s="126"/>
      <c r="WLP2" s="126"/>
      <c r="WLQ2" s="64"/>
      <c r="WLR2" s="72"/>
      <c r="WLS2" s="145"/>
      <c r="WLT2" s="145"/>
      <c r="WLU2" s="126"/>
      <c r="WLV2" s="126"/>
      <c r="WLW2" s="64"/>
      <c r="WLX2" s="72"/>
      <c r="WLY2" s="145"/>
      <c r="WLZ2" s="145"/>
      <c r="WMA2" s="126"/>
      <c r="WMB2" s="126"/>
      <c r="WMC2" s="64"/>
      <c r="WMD2" s="72"/>
      <c r="WME2" s="145"/>
      <c r="WMF2" s="145"/>
      <c r="WMG2" s="126"/>
      <c r="WMH2" s="126"/>
      <c r="WMI2" s="64"/>
      <c r="WMJ2" s="72"/>
      <c r="WMK2" s="145"/>
      <c r="WML2" s="145"/>
      <c r="WMM2" s="126"/>
      <c r="WMN2" s="126"/>
      <c r="WMO2" s="64"/>
      <c r="WMP2" s="72"/>
      <c r="WMQ2" s="145"/>
      <c r="WMR2" s="145"/>
      <c r="WMS2" s="126"/>
      <c r="WMT2" s="126"/>
      <c r="WMU2" s="64"/>
      <c r="WMV2" s="72"/>
      <c r="WMW2" s="145"/>
      <c r="WMX2" s="145"/>
      <c r="WMY2" s="126"/>
      <c r="WMZ2" s="126"/>
      <c r="WNA2" s="64"/>
      <c r="WNB2" s="72"/>
      <c r="WNC2" s="145"/>
      <c r="WND2" s="145"/>
      <c r="WNE2" s="126"/>
      <c r="WNF2" s="126"/>
      <c r="WNG2" s="64"/>
      <c r="WNH2" s="72"/>
      <c r="WNI2" s="145"/>
      <c r="WNJ2" s="145"/>
      <c r="WNK2" s="126"/>
      <c r="WNL2" s="126"/>
      <c r="WNM2" s="64"/>
      <c r="WNN2" s="72"/>
      <c r="WNO2" s="145"/>
      <c r="WNP2" s="145"/>
      <c r="WNQ2" s="126"/>
      <c r="WNR2" s="126"/>
      <c r="WNS2" s="64"/>
      <c r="WNT2" s="72"/>
      <c r="WNU2" s="145"/>
      <c r="WNV2" s="145"/>
      <c r="WNW2" s="126"/>
      <c r="WNX2" s="126"/>
      <c r="WNY2" s="64"/>
      <c r="WNZ2" s="72"/>
      <c r="WOA2" s="145"/>
      <c r="WOB2" s="145"/>
      <c r="WOC2" s="126"/>
      <c r="WOD2" s="126"/>
      <c r="WOE2" s="64"/>
      <c r="WOF2" s="72"/>
      <c r="WOG2" s="145"/>
      <c r="WOH2" s="145"/>
      <c r="WOI2" s="126"/>
      <c r="WOJ2" s="126"/>
      <c r="WOK2" s="64"/>
      <c r="WOL2" s="72"/>
      <c r="WOM2" s="145"/>
      <c r="WON2" s="145"/>
      <c r="WOO2" s="126"/>
      <c r="WOP2" s="126"/>
      <c r="WOQ2" s="64"/>
      <c r="WOR2" s="72"/>
      <c r="WOS2" s="145"/>
      <c r="WOT2" s="145"/>
      <c r="WOU2" s="126"/>
      <c r="WOV2" s="126"/>
      <c r="WOW2" s="64"/>
      <c r="WOX2" s="72"/>
      <c r="WOY2" s="145"/>
      <c r="WOZ2" s="145"/>
      <c r="WPA2" s="126"/>
      <c r="WPB2" s="126"/>
      <c r="WPC2" s="64"/>
      <c r="WPD2" s="72"/>
      <c r="WPE2" s="145"/>
      <c r="WPF2" s="145"/>
      <c r="WPG2" s="126"/>
      <c r="WPH2" s="126"/>
      <c r="WPI2" s="64"/>
      <c r="WPJ2" s="72"/>
      <c r="WPK2" s="145"/>
      <c r="WPL2" s="145"/>
      <c r="WPM2" s="126"/>
      <c r="WPN2" s="126"/>
      <c r="WPO2" s="64"/>
      <c r="WPP2" s="72"/>
      <c r="WPQ2" s="145"/>
      <c r="WPR2" s="145"/>
      <c r="WPS2" s="126"/>
      <c r="WPT2" s="126"/>
      <c r="WPU2" s="64"/>
      <c r="WPV2" s="72"/>
      <c r="WPW2" s="145"/>
      <c r="WPX2" s="145"/>
      <c r="WPY2" s="126"/>
      <c r="WPZ2" s="126"/>
      <c r="WQA2" s="64"/>
      <c r="WQB2" s="72"/>
      <c r="WQC2" s="145"/>
      <c r="WQD2" s="145"/>
      <c r="WQE2" s="126"/>
      <c r="WQF2" s="126"/>
      <c r="WQG2" s="64"/>
      <c r="WQH2" s="72"/>
      <c r="WQI2" s="145"/>
      <c r="WQJ2" s="145"/>
      <c r="WQK2" s="126"/>
      <c r="WQL2" s="126"/>
      <c r="WQM2" s="64"/>
      <c r="WQN2" s="72"/>
      <c r="WQO2" s="145"/>
      <c r="WQP2" s="145"/>
      <c r="WQQ2" s="126"/>
      <c r="WQR2" s="126"/>
      <c r="WQS2" s="64"/>
      <c r="WQT2" s="72"/>
      <c r="WQU2" s="145"/>
      <c r="WQV2" s="145"/>
      <c r="WQW2" s="126"/>
      <c r="WQX2" s="126"/>
      <c r="WQY2" s="64"/>
      <c r="WQZ2" s="72"/>
      <c r="WRA2" s="145"/>
      <c r="WRB2" s="145"/>
      <c r="WRC2" s="126"/>
      <c r="WRD2" s="126"/>
      <c r="WRE2" s="64"/>
      <c r="WRF2" s="72"/>
      <c r="WRG2" s="145"/>
      <c r="WRH2" s="145"/>
      <c r="WRI2" s="126"/>
      <c r="WRJ2" s="126"/>
      <c r="WRK2" s="64"/>
      <c r="WRL2" s="72"/>
      <c r="WRM2" s="145"/>
      <c r="WRN2" s="145"/>
      <c r="WRO2" s="126"/>
      <c r="WRP2" s="126"/>
      <c r="WRQ2" s="64"/>
      <c r="WRR2" s="72"/>
      <c r="WRS2" s="145"/>
      <c r="WRT2" s="145"/>
      <c r="WRU2" s="126"/>
      <c r="WRV2" s="126"/>
      <c r="WRW2" s="64"/>
      <c r="WRX2" s="72"/>
      <c r="WRY2" s="145"/>
      <c r="WRZ2" s="145"/>
      <c r="WSA2" s="126"/>
      <c r="WSB2" s="126"/>
      <c r="WSC2" s="64"/>
      <c r="WSD2" s="72"/>
      <c r="WSE2" s="145"/>
      <c r="WSF2" s="145"/>
      <c r="WSG2" s="126"/>
      <c r="WSH2" s="126"/>
      <c r="WSI2" s="64"/>
      <c r="WSJ2" s="72"/>
      <c r="WSK2" s="145"/>
      <c r="WSL2" s="145"/>
      <c r="WSM2" s="126"/>
      <c r="WSN2" s="126"/>
      <c r="WSO2" s="64"/>
      <c r="WSP2" s="72"/>
      <c r="WSQ2" s="145"/>
      <c r="WSR2" s="145"/>
      <c r="WSS2" s="126"/>
      <c r="WST2" s="126"/>
      <c r="WSU2" s="64"/>
      <c r="WSV2" s="72"/>
      <c r="WSW2" s="145"/>
      <c r="WSX2" s="145"/>
      <c r="WSY2" s="126"/>
      <c r="WSZ2" s="126"/>
      <c r="WTA2" s="64"/>
      <c r="WTB2" s="72"/>
      <c r="WTC2" s="145"/>
      <c r="WTD2" s="145"/>
      <c r="WTE2" s="126"/>
      <c r="WTF2" s="126"/>
      <c r="WTG2" s="64"/>
      <c r="WTH2" s="72"/>
      <c r="WTI2" s="145"/>
      <c r="WTJ2" s="145"/>
      <c r="WTK2" s="126"/>
      <c r="WTL2" s="126"/>
      <c r="WTM2" s="64"/>
      <c r="WTN2" s="72"/>
      <c r="WTO2" s="145"/>
      <c r="WTP2" s="145"/>
      <c r="WTQ2" s="126"/>
      <c r="WTR2" s="126"/>
      <c r="WTS2" s="64"/>
      <c r="WTT2" s="72"/>
      <c r="WTU2" s="145"/>
      <c r="WTV2" s="145"/>
      <c r="WTW2" s="126"/>
      <c r="WTX2" s="126"/>
      <c r="WTY2" s="64"/>
      <c r="WTZ2" s="72"/>
      <c r="WUA2" s="145"/>
      <c r="WUB2" s="145"/>
      <c r="WUC2" s="126"/>
      <c r="WUD2" s="126"/>
      <c r="WUE2" s="64"/>
      <c r="WUF2" s="72"/>
      <c r="WUG2" s="145"/>
      <c r="WUH2" s="145"/>
      <c r="WUI2" s="126"/>
      <c r="WUJ2" s="126"/>
      <c r="WUK2" s="64"/>
      <c r="WUL2" s="72"/>
      <c r="WUM2" s="145"/>
      <c r="WUN2" s="145"/>
      <c r="WUO2" s="126"/>
      <c r="WUP2" s="126"/>
      <c r="WUQ2" s="64"/>
      <c r="WUR2" s="72"/>
      <c r="WUS2" s="145"/>
      <c r="WUT2" s="145"/>
      <c r="WUU2" s="126"/>
      <c r="WUV2" s="126"/>
      <c r="WUW2" s="64"/>
      <c r="WUX2" s="72"/>
      <c r="WUY2" s="145"/>
      <c r="WUZ2" s="145"/>
      <c r="WVA2" s="126"/>
      <c r="WVB2" s="126"/>
      <c r="WVC2" s="64"/>
      <c r="WVD2" s="72"/>
      <c r="WVE2" s="145"/>
      <c r="WVF2" s="145"/>
      <c r="WVG2" s="126"/>
      <c r="WVH2" s="126"/>
      <c r="WVI2" s="64"/>
      <c r="WVJ2" s="72"/>
      <c r="WVK2" s="145"/>
      <c r="WVL2" s="145"/>
      <c r="WVM2" s="126"/>
      <c r="WVN2" s="126"/>
      <c r="WVO2" s="64"/>
      <c r="WVP2" s="72"/>
      <c r="WVQ2" s="145"/>
      <c r="WVR2" s="145"/>
      <c r="WVS2" s="126"/>
      <c r="WVT2" s="126"/>
      <c r="WVU2" s="64"/>
      <c r="WVV2" s="72"/>
      <c r="WVW2" s="145"/>
      <c r="WVX2" s="145"/>
      <c r="WVY2" s="126"/>
      <c r="WVZ2" s="126"/>
      <c r="WWA2" s="64"/>
      <c r="WWB2" s="72"/>
      <c r="WWC2" s="145"/>
      <c r="WWD2" s="145"/>
      <c r="WWE2" s="126"/>
      <c r="WWF2" s="126"/>
      <c r="WWG2" s="64"/>
      <c r="WWH2" s="72"/>
      <c r="WWI2" s="145"/>
      <c r="WWJ2" s="145"/>
      <c r="WWK2" s="126"/>
      <c r="WWL2" s="126"/>
      <c r="WWM2" s="64"/>
      <c r="WWN2" s="72"/>
      <c r="WWO2" s="145"/>
      <c r="WWP2" s="145"/>
      <c r="WWQ2" s="126"/>
      <c r="WWR2" s="126"/>
      <c r="WWS2" s="64"/>
      <c r="WWT2" s="72"/>
      <c r="WWU2" s="145"/>
      <c r="WWV2" s="145"/>
      <c r="WWW2" s="126"/>
      <c r="WWX2" s="126"/>
      <c r="WWY2" s="64"/>
      <c r="WWZ2" s="72"/>
      <c r="WXA2" s="145"/>
      <c r="WXB2" s="145"/>
      <c r="WXC2" s="126"/>
      <c r="WXD2" s="126"/>
      <c r="WXE2" s="64"/>
      <c r="WXF2" s="72"/>
      <c r="WXG2" s="145"/>
      <c r="WXH2" s="145"/>
      <c r="WXI2" s="126"/>
      <c r="WXJ2" s="126"/>
      <c r="WXK2" s="64"/>
      <c r="WXL2" s="72"/>
      <c r="WXM2" s="145"/>
      <c r="WXN2" s="145"/>
      <c r="WXO2" s="126"/>
      <c r="WXP2" s="126"/>
      <c r="WXQ2" s="64"/>
      <c r="WXR2" s="72"/>
      <c r="WXS2" s="145"/>
      <c r="WXT2" s="145"/>
      <c r="WXU2" s="126"/>
      <c r="WXV2" s="126"/>
      <c r="WXW2" s="64"/>
      <c r="WXX2" s="72"/>
      <c r="WXY2" s="145"/>
      <c r="WXZ2" s="145"/>
      <c r="WYA2" s="126"/>
      <c r="WYB2" s="126"/>
      <c r="WYC2" s="64"/>
      <c r="WYD2" s="72"/>
      <c r="WYE2" s="145"/>
      <c r="WYF2" s="145"/>
      <c r="WYG2" s="126"/>
      <c r="WYH2" s="126"/>
      <c r="WYI2" s="64"/>
      <c r="WYJ2" s="72"/>
      <c r="WYK2" s="145"/>
      <c r="WYL2" s="145"/>
      <c r="WYM2" s="126"/>
      <c r="WYN2" s="126"/>
      <c r="WYO2" s="64"/>
      <c r="WYP2" s="72"/>
      <c r="WYQ2" s="145"/>
      <c r="WYR2" s="145"/>
      <c r="WYS2" s="126"/>
      <c r="WYT2" s="126"/>
      <c r="WYU2" s="64"/>
      <c r="WYV2" s="72"/>
      <c r="WYW2" s="145"/>
      <c r="WYX2" s="145"/>
      <c r="WYY2" s="126"/>
      <c r="WYZ2" s="126"/>
      <c r="WZA2" s="64"/>
      <c r="WZB2" s="72"/>
      <c r="WZC2" s="145"/>
      <c r="WZD2" s="145"/>
      <c r="WZE2" s="126"/>
      <c r="WZF2" s="126"/>
      <c r="WZG2" s="64"/>
      <c r="WZH2" s="72"/>
      <c r="WZI2" s="145"/>
      <c r="WZJ2" s="145"/>
      <c r="WZK2" s="126"/>
      <c r="WZL2" s="126"/>
      <c r="WZM2" s="64"/>
      <c r="WZN2" s="72"/>
      <c r="WZO2" s="145"/>
      <c r="WZP2" s="145"/>
      <c r="WZQ2" s="126"/>
      <c r="WZR2" s="126"/>
      <c r="WZS2" s="64"/>
      <c r="WZT2" s="72"/>
      <c r="WZU2" s="145"/>
      <c r="WZV2" s="145"/>
      <c r="WZW2" s="126"/>
      <c r="WZX2" s="126"/>
      <c r="WZY2" s="64"/>
      <c r="WZZ2" s="72"/>
      <c r="XAA2" s="145"/>
      <c r="XAB2" s="145"/>
      <c r="XAC2" s="126"/>
      <c r="XAD2" s="126"/>
      <c r="XAE2" s="64"/>
      <c r="XAF2" s="72"/>
      <c r="XAG2" s="145"/>
      <c r="XAH2" s="145"/>
      <c r="XAI2" s="126"/>
      <c r="XAJ2" s="126"/>
      <c r="XAK2" s="64"/>
      <c r="XAL2" s="72"/>
      <c r="XAM2" s="145"/>
      <c r="XAN2" s="145"/>
      <c r="XAO2" s="126"/>
      <c r="XAP2" s="126"/>
      <c r="XAQ2" s="64"/>
      <c r="XAR2" s="72"/>
      <c r="XAS2" s="145"/>
      <c r="XAT2" s="145"/>
      <c r="XAU2" s="126"/>
      <c r="XAV2" s="126"/>
      <c r="XAW2" s="64"/>
      <c r="XAX2" s="72"/>
      <c r="XAY2" s="145"/>
      <c r="XAZ2" s="145"/>
      <c r="XBA2" s="126"/>
      <c r="XBB2" s="126"/>
      <c r="XBC2" s="64"/>
      <c r="XBD2" s="72"/>
      <c r="XBE2" s="145"/>
      <c r="XBF2" s="145"/>
      <c r="XBG2" s="126"/>
      <c r="XBH2" s="126"/>
      <c r="XBI2" s="64"/>
      <c r="XBJ2" s="72"/>
      <c r="XBK2" s="145"/>
      <c r="XBL2" s="145"/>
      <c r="XBM2" s="126"/>
      <c r="XBN2" s="126"/>
      <c r="XBO2" s="64"/>
      <c r="XBP2" s="72"/>
      <c r="XBQ2" s="145"/>
      <c r="XBR2" s="145"/>
      <c r="XBS2" s="126"/>
      <c r="XBT2" s="126"/>
      <c r="XBU2" s="64"/>
      <c r="XBV2" s="72"/>
      <c r="XBW2" s="145"/>
      <c r="XBX2" s="145"/>
      <c r="XBY2" s="126"/>
      <c r="XBZ2" s="126"/>
      <c r="XCA2" s="64"/>
      <c r="XCB2" s="72"/>
      <c r="XCC2" s="145"/>
      <c r="XCD2" s="145"/>
      <c r="XCE2" s="126"/>
      <c r="XCF2" s="126"/>
      <c r="XCG2" s="64"/>
      <c r="XCH2" s="72"/>
      <c r="XCI2" s="145"/>
      <c r="XCJ2" s="145"/>
      <c r="XCK2" s="126"/>
      <c r="XCL2" s="126"/>
      <c r="XCM2" s="64"/>
      <c r="XCN2" s="72"/>
      <c r="XCO2" s="145"/>
      <c r="XCP2" s="145"/>
      <c r="XCQ2" s="126"/>
      <c r="XCR2" s="126"/>
      <c r="XCS2" s="64"/>
      <c r="XCT2" s="72"/>
      <c r="XCU2" s="145"/>
      <c r="XCV2" s="145"/>
      <c r="XCW2" s="126"/>
      <c r="XCX2" s="126"/>
      <c r="XCY2" s="64"/>
      <c r="XCZ2" s="72"/>
      <c r="XDA2" s="145"/>
      <c r="XDB2" s="145"/>
      <c r="XDC2" s="126"/>
      <c r="XDD2" s="126"/>
      <c r="XDE2" s="64"/>
      <c r="XDF2" s="72"/>
      <c r="XDG2" s="145"/>
      <c r="XDH2" s="145"/>
      <c r="XDI2" s="126"/>
      <c r="XDJ2" s="126"/>
      <c r="XDK2" s="64"/>
      <c r="XDL2" s="72"/>
      <c r="XDM2" s="145"/>
      <c r="XDN2" s="145"/>
      <c r="XDO2" s="126"/>
      <c r="XDP2" s="126"/>
      <c r="XDQ2" s="64"/>
      <c r="XDR2" s="72"/>
      <c r="XDS2" s="145"/>
      <c r="XDT2" s="145"/>
      <c r="XDU2" s="126"/>
      <c r="XDV2" s="126"/>
      <c r="XDW2" s="64"/>
      <c r="XDX2" s="72"/>
      <c r="XDY2" s="145"/>
      <c r="XDZ2" s="145"/>
      <c r="XEA2" s="126"/>
      <c r="XEB2" s="126"/>
      <c r="XEC2" s="64"/>
      <c r="XED2" s="72"/>
      <c r="XEE2" s="145"/>
      <c r="XEF2" s="145"/>
      <c r="XEG2" s="126"/>
      <c r="XEH2" s="126"/>
      <c r="XEI2" s="64"/>
      <c r="XEJ2" s="72"/>
      <c r="XEK2" s="145"/>
      <c r="XEL2" s="145"/>
      <c r="XEM2" s="126"/>
      <c r="XEN2" s="126"/>
      <c r="XEO2" s="64"/>
      <c r="XEP2" s="72"/>
      <c r="XEQ2" s="145"/>
      <c r="XER2" s="145"/>
      <c r="XES2" s="126"/>
      <c r="XET2" s="126"/>
      <c r="XEU2" s="64"/>
      <c r="XEV2" s="72"/>
      <c r="XEW2" s="145"/>
      <c r="XEX2" s="145"/>
      <c r="XEY2" s="126"/>
      <c r="XEZ2" s="126"/>
      <c r="XFA2" s="64"/>
      <c r="XFB2" s="72"/>
      <c r="XFC2" s="145"/>
      <c r="XFD2" s="145"/>
    </row>
    <row r="3" spans="1:16384">
      <c r="A3" s="66">
        <v>2001</v>
      </c>
      <c r="B3" s="66">
        <v>2166.9421259000001</v>
      </c>
      <c r="C3" s="66">
        <v>2102.9295480999999</v>
      </c>
      <c r="D3" s="66">
        <v>2675682</v>
      </c>
      <c r="E3" s="177">
        <v>10.408114057000001</v>
      </c>
      <c r="F3" s="177">
        <v>11.812050498</v>
      </c>
      <c r="G3" s="66">
        <v>2675740</v>
      </c>
    </row>
    <row r="4" spans="1:16384">
      <c r="A4" s="66">
        <v>2002</v>
      </c>
      <c r="B4" s="66">
        <v>2195.3284099000002</v>
      </c>
      <c r="C4" s="66">
        <v>2130.4176948999998</v>
      </c>
      <c r="D4" s="66">
        <v>2774250</v>
      </c>
      <c r="E4" s="177">
        <v>10.538479598</v>
      </c>
      <c r="F4" s="177">
        <v>11.947491210999999</v>
      </c>
      <c r="G4" s="66">
        <v>2774307</v>
      </c>
    </row>
    <row r="5" spans="1:16384">
      <c r="A5" s="66">
        <v>2003</v>
      </c>
      <c r="B5" s="66">
        <v>2227.3606046</v>
      </c>
      <c r="C5" s="66">
        <v>2160.6081263999999</v>
      </c>
      <c r="D5" s="66">
        <v>2897904</v>
      </c>
      <c r="E5" s="177">
        <v>10.617482805</v>
      </c>
      <c r="F5" s="177">
        <v>12.0347054</v>
      </c>
      <c r="G5" s="66">
        <v>2897964</v>
      </c>
    </row>
    <row r="6" spans="1:16384">
      <c r="A6" s="66">
        <v>2004</v>
      </c>
      <c r="B6" s="66">
        <v>2263.8159721000002</v>
      </c>
      <c r="C6" s="66">
        <v>2191.0129450999998</v>
      </c>
      <c r="D6" s="66">
        <v>3020378</v>
      </c>
      <c r="E6" s="177">
        <v>10.638624948</v>
      </c>
      <c r="F6" s="177">
        <v>12.139725219000001</v>
      </c>
      <c r="G6" s="66">
        <v>3020439</v>
      </c>
    </row>
    <row r="7" spans="1:16384">
      <c r="A7" s="66">
        <v>2005</v>
      </c>
      <c r="B7" s="66">
        <v>2293.4040734999999</v>
      </c>
      <c r="C7" s="66">
        <v>2215.5664096</v>
      </c>
      <c r="D7" s="66">
        <v>3136257</v>
      </c>
      <c r="E7" s="177">
        <v>10.683469828</v>
      </c>
      <c r="F7" s="177">
        <v>12.254722016000001</v>
      </c>
      <c r="G7" s="66">
        <v>3136319</v>
      </c>
    </row>
    <row r="8" spans="1:16384">
      <c r="A8" s="66">
        <v>2006</v>
      </c>
      <c r="B8" s="66">
        <v>2313.6464679000001</v>
      </c>
      <c r="C8" s="66">
        <v>2234.4061695</v>
      </c>
      <c r="D8" s="66">
        <v>3209448</v>
      </c>
      <c r="E8" s="177">
        <v>10.734715159</v>
      </c>
      <c r="F8" s="177">
        <v>12.435678383999999</v>
      </c>
      <c r="G8" s="66">
        <v>3209512</v>
      </c>
    </row>
    <row r="9" spans="1:16384">
      <c r="A9" s="66">
        <v>2007</v>
      </c>
      <c r="B9" s="66">
        <v>2333.0548837000001</v>
      </c>
      <c r="C9" s="66">
        <v>2252.8821588999999</v>
      </c>
      <c r="D9" s="66">
        <v>3274901</v>
      </c>
      <c r="E9" s="177">
        <v>10.866673333</v>
      </c>
      <c r="F9" s="177">
        <v>12.612570024</v>
      </c>
      <c r="G9" s="66">
        <v>3274966</v>
      </c>
    </row>
    <row r="10" spans="1:16384">
      <c r="A10" s="66">
        <v>2008</v>
      </c>
      <c r="B10" s="66">
        <v>2342.5621299999998</v>
      </c>
      <c r="C10" s="66">
        <v>2266.6639808</v>
      </c>
      <c r="D10" s="66">
        <v>3299347</v>
      </c>
      <c r="E10" s="177">
        <v>10.964349465</v>
      </c>
      <c r="F10" s="177">
        <v>12.847189136000001</v>
      </c>
      <c r="G10" s="66">
        <v>3299412</v>
      </c>
    </row>
    <row r="11" spans="1:16384">
      <c r="A11" s="66">
        <v>2009</v>
      </c>
      <c r="B11" s="66">
        <v>2348.0839801000002</v>
      </c>
      <c r="C11" s="66">
        <v>2275.3200025000001</v>
      </c>
      <c r="D11" s="66">
        <v>3272215</v>
      </c>
      <c r="E11" s="177">
        <v>11.235902656</v>
      </c>
      <c r="F11" s="177">
        <v>13.196769355000001</v>
      </c>
      <c r="G11" s="66">
        <v>3272288</v>
      </c>
    </row>
    <row r="12" spans="1:16384">
      <c r="A12" s="66">
        <v>2010</v>
      </c>
      <c r="B12" s="66">
        <v>2345.0935869</v>
      </c>
      <c r="C12" s="66">
        <v>2281.1840946000002</v>
      </c>
      <c r="D12" s="66">
        <v>3295632</v>
      </c>
      <c r="E12" s="177">
        <v>11.546352378</v>
      </c>
      <c r="F12" s="177">
        <v>13.495428303000001</v>
      </c>
      <c r="G12" s="66">
        <v>3295713</v>
      </c>
    </row>
    <row r="13" spans="1:16384">
      <c r="A13" s="66">
        <v>2011</v>
      </c>
      <c r="B13" s="66">
        <v>2340.1783230000001</v>
      </c>
      <c r="C13" s="66">
        <v>2285.7309042000002</v>
      </c>
      <c r="D13" s="66">
        <v>3319197</v>
      </c>
      <c r="E13" s="177">
        <v>11.729568501999999</v>
      </c>
      <c r="F13" s="177">
        <v>13.798846592</v>
      </c>
      <c r="G13" s="66">
        <v>3319295</v>
      </c>
    </row>
    <row r="14" spans="1:16384">
      <c r="A14" s="66">
        <v>2012</v>
      </c>
      <c r="B14" s="66">
        <v>2337.0162488999999</v>
      </c>
      <c r="C14" s="66">
        <v>2288.2344382000001</v>
      </c>
      <c r="D14" s="66">
        <v>3333181</v>
      </c>
      <c r="E14" s="177">
        <v>11.896007872</v>
      </c>
      <c r="F14" s="177">
        <v>13.974218372999999</v>
      </c>
      <c r="G14" s="66">
        <v>3333304</v>
      </c>
    </row>
    <row r="15" spans="1:16384">
      <c r="A15" s="66">
        <v>2013</v>
      </c>
      <c r="B15" s="66">
        <v>2330.3927229000001</v>
      </c>
      <c r="C15" s="66">
        <v>2287.8799660999998</v>
      </c>
      <c r="D15" s="66">
        <v>3409494</v>
      </c>
      <c r="E15" s="177">
        <v>11.955316745999999</v>
      </c>
      <c r="F15" s="177">
        <v>14.093237538</v>
      </c>
      <c r="G15" s="66">
        <v>3409646</v>
      </c>
    </row>
    <row r="16" spans="1:16384">
      <c r="A16" s="66">
        <v>2014</v>
      </c>
      <c r="B16" s="66">
        <v>2324.5613131999999</v>
      </c>
      <c r="C16" s="66">
        <v>2286.5656064</v>
      </c>
      <c r="D16" s="66">
        <v>3528054</v>
      </c>
      <c r="E16" s="177">
        <v>11.926567438999999</v>
      </c>
      <c r="F16" s="177">
        <v>14.124091599</v>
      </c>
      <c r="G16" s="66">
        <v>3528317</v>
      </c>
    </row>
    <row r="17" spans="1:7">
      <c r="A17" s="66">
        <v>2015</v>
      </c>
      <c r="B17" s="66">
        <v>2320.7731878999998</v>
      </c>
      <c r="C17" s="66">
        <v>2285.5891323000001</v>
      </c>
      <c r="D17" s="66">
        <v>3661901</v>
      </c>
      <c r="E17" s="177">
        <v>11.859979409999999</v>
      </c>
      <c r="F17" s="177">
        <v>14.138062683999999</v>
      </c>
      <c r="G17" s="66">
        <v>3662427</v>
      </c>
    </row>
    <row r="18" spans="1:7">
      <c r="A18" s="66">
        <v>2016</v>
      </c>
      <c r="B18" s="66">
        <v>2317.0346657999999</v>
      </c>
      <c r="C18" s="66">
        <v>2285.306638</v>
      </c>
      <c r="D18" s="66">
        <v>3805122</v>
      </c>
      <c r="E18" s="177">
        <v>11.798907871999999</v>
      </c>
      <c r="F18" s="177">
        <v>14.128857516</v>
      </c>
      <c r="G18" s="66">
        <v>3806724</v>
      </c>
    </row>
    <row r="19" spans="1:7">
      <c r="A19" s="66">
        <v>2017</v>
      </c>
      <c r="B19" s="66">
        <v>2311.7733549999998</v>
      </c>
      <c r="C19" s="66">
        <v>2284.8190039999999</v>
      </c>
      <c r="D19" s="66">
        <v>3979436</v>
      </c>
      <c r="E19" s="177">
        <v>11.696824881</v>
      </c>
      <c r="F19" s="177">
        <v>14.105438712</v>
      </c>
      <c r="G19" s="66">
        <v>3983921</v>
      </c>
    </row>
    <row r="20" spans="1:7">
      <c r="A20" s="66">
        <v>2018</v>
      </c>
      <c r="B20" s="66">
        <v>2304.5242641</v>
      </c>
      <c r="C20" s="66">
        <v>2283.2615799999999</v>
      </c>
      <c r="D20" s="66">
        <v>4108739</v>
      </c>
      <c r="E20" s="177">
        <v>11.591708517000001</v>
      </c>
      <c r="F20" s="177">
        <v>14.115554469999999</v>
      </c>
      <c r="G20" s="66">
        <v>4117543</v>
      </c>
    </row>
    <row r="21" spans="1:7">
      <c r="A21" s="66">
        <v>2019</v>
      </c>
      <c r="B21" s="66">
        <v>2298.0494263999999</v>
      </c>
      <c r="C21" s="66">
        <v>2279.1638079999998</v>
      </c>
      <c r="D21" s="66">
        <v>4204452</v>
      </c>
      <c r="E21" s="177">
        <v>11.550368966000001</v>
      </c>
      <c r="F21" s="177">
        <v>14.14573684</v>
      </c>
      <c r="G21" s="66">
        <v>4218573</v>
      </c>
    </row>
    <row r="22" spans="1:7">
      <c r="A22" s="66">
        <v>2020</v>
      </c>
      <c r="B22" s="66">
        <v>2297.4440069000002</v>
      </c>
      <c r="C22" s="66">
        <v>2277.8069558000002</v>
      </c>
      <c r="D22" s="66">
        <v>4232767</v>
      </c>
      <c r="E22" s="177">
        <v>11.653672266999999</v>
      </c>
      <c r="F22" s="177">
        <v>14.315366063000001</v>
      </c>
      <c r="G22" s="66">
        <v>4250822</v>
      </c>
    </row>
    <row r="23" spans="1:7">
      <c r="A23" s="66">
        <v>2021</v>
      </c>
      <c r="B23" s="66">
        <v>2292.5929227000001</v>
      </c>
      <c r="C23" s="66">
        <v>2275.7012866999999</v>
      </c>
      <c r="D23" s="66">
        <v>4315878</v>
      </c>
      <c r="E23" s="177">
        <v>11.746400331</v>
      </c>
      <c r="F23" s="177">
        <v>14.350041028</v>
      </c>
      <c r="G23" s="66">
        <v>4343428</v>
      </c>
    </row>
    <row r="24" spans="1:7">
      <c r="A24" s="66">
        <v>2022</v>
      </c>
      <c r="B24" s="66">
        <v>2279.0260793000002</v>
      </c>
      <c r="C24" s="66">
        <v>2271.2797123999999</v>
      </c>
      <c r="D24" s="66">
        <v>4369681</v>
      </c>
      <c r="E24" s="177">
        <v>11.630611661</v>
      </c>
      <c r="F24" s="177">
        <v>14.406449123</v>
      </c>
      <c r="G24" s="66">
        <v>4417019</v>
      </c>
    </row>
    <row r="25" spans="1:7">
      <c r="A25" s="66">
        <v>2023</v>
      </c>
      <c r="B25" s="66">
        <v>2261.3612103</v>
      </c>
      <c r="C25" s="66">
        <v>2260.4118858000002</v>
      </c>
      <c r="D25" s="66">
        <v>4400125</v>
      </c>
      <c r="E25" s="177">
        <v>11.626312936</v>
      </c>
      <c r="F25" s="177">
        <v>14.508325705000001</v>
      </c>
      <c r="G25" s="66">
        <v>4473615</v>
      </c>
    </row>
    <row r="26" spans="1:7">
      <c r="A26" s="66"/>
      <c r="B26" s="66"/>
      <c r="C26" s="66"/>
      <c r="D26" s="177"/>
      <c r="E26" s="177"/>
      <c r="F26" s="66"/>
    </row>
    <row r="27" spans="1:7">
      <c r="A27" s="66"/>
      <c r="B27" s="66"/>
      <c r="C27" s="66"/>
      <c r="D27" s="177"/>
      <c r="E27" s="177"/>
      <c r="F27" s="66"/>
    </row>
    <row r="28" spans="1:7">
      <c r="A28" s="37" t="s">
        <v>665</v>
      </c>
    </row>
    <row r="29" spans="1:7">
      <c r="A29" s="37" t="s">
        <v>666</v>
      </c>
    </row>
    <row r="30" spans="1:7">
      <c r="A30" t="s">
        <v>667</v>
      </c>
    </row>
    <row r="58" spans="14:14" ht="14">
      <c r="N58" s="24"/>
    </row>
  </sheetData>
  <mergeCells count="1">
    <mergeCell ref="I1:J1"/>
  </mergeCells>
  <phoneticPr fontId="0" type="noConversion"/>
  <hyperlinks>
    <hyperlink ref="I1:J1" location="Contents!A1" display="Back to Contents" xr:uid="{00000000-0004-0000-2500-000000000000}"/>
  </hyperlinks>
  <pageMargins left="0.75" right="0.75" top="1" bottom="1" header="0.5" footer="0.5"/>
  <pageSetup paperSize="9" scale="60" orientation="landscape" horizontalDpi="4294967292" verticalDpi="4294967292"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39997558519241921"/>
  </sheetPr>
  <dimension ref="A1:R44"/>
  <sheetViews>
    <sheetView zoomScaleNormal="100" workbookViewId="0"/>
  </sheetViews>
  <sheetFormatPr defaultColWidth="8.81640625" defaultRowHeight="12.5"/>
  <cols>
    <col min="1" max="1" width="6.81640625" customWidth="1"/>
    <col min="2" max="2" width="11.453125" customWidth="1"/>
    <col min="3" max="5" width="10.453125" bestFit="1" customWidth="1"/>
    <col min="10" max="10" width="13.453125" customWidth="1"/>
  </cols>
  <sheetData>
    <row r="1" spans="1:18" ht="22.5" customHeight="1">
      <c r="A1" s="17" t="s">
        <v>668</v>
      </c>
      <c r="B1" s="18"/>
      <c r="C1" s="18"/>
      <c r="D1" s="18"/>
      <c r="E1" s="18"/>
      <c r="F1" s="18"/>
      <c r="G1" s="18"/>
      <c r="H1" s="18"/>
      <c r="I1" s="18"/>
      <c r="J1" s="53"/>
      <c r="K1" s="18"/>
      <c r="L1" s="212" t="s">
        <v>79</v>
      </c>
      <c r="M1" s="212"/>
      <c r="N1" s="18"/>
      <c r="O1" s="18"/>
      <c r="P1" s="18"/>
      <c r="Q1" s="18"/>
      <c r="R1" s="18"/>
    </row>
    <row r="2" spans="1:18" ht="30">
      <c r="A2" s="67" t="s">
        <v>80</v>
      </c>
      <c r="B2" s="228" t="s">
        <v>669</v>
      </c>
      <c r="C2" s="228"/>
      <c r="D2" s="228"/>
      <c r="E2" s="228"/>
      <c r="F2" s="228"/>
      <c r="G2" s="67" t="s">
        <v>670</v>
      </c>
      <c r="H2" s="67" t="s">
        <v>671</v>
      </c>
      <c r="I2" s="42"/>
    </row>
    <row r="3" spans="1:18" ht="30">
      <c r="A3" s="68"/>
      <c r="B3" s="152" t="s">
        <v>672</v>
      </c>
      <c r="C3" s="152" t="s">
        <v>673</v>
      </c>
      <c r="D3" s="152" t="s">
        <v>674</v>
      </c>
      <c r="E3" s="152" t="s">
        <v>675</v>
      </c>
      <c r="F3" s="152" t="s">
        <v>676</v>
      </c>
      <c r="G3" s="153"/>
      <c r="H3" s="68"/>
      <c r="I3" s="42"/>
    </row>
    <row r="4" spans="1:18">
      <c r="A4" s="147">
        <v>2001</v>
      </c>
      <c r="B4" s="148">
        <v>17750</v>
      </c>
      <c r="C4" s="147"/>
      <c r="D4" s="148">
        <v>2229</v>
      </c>
      <c r="E4" s="148">
        <v>988</v>
      </c>
      <c r="F4" s="149">
        <v>8</v>
      </c>
      <c r="G4" s="60">
        <f>B4/B$4</f>
        <v>1</v>
      </c>
      <c r="H4" s="60">
        <f t="shared" ref="H4:H17" si="0">D4/D$4</f>
        <v>1</v>
      </c>
      <c r="I4" s="42"/>
      <c r="J4" s="169"/>
    </row>
    <row r="5" spans="1:18">
      <c r="A5" s="147">
        <v>2002</v>
      </c>
      <c r="B5" s="148">
        <v>17942</v>
      </c>
      <c r="C5" s="150">
        <f>B5/B4-1</f>
        <v>1.0816901408450708E-2</v>
      </c>
      <c r="D5" s="151">
        <v>2353</v>
      </c>
      <c r="E5" s="151">
        <v>1042</v>
      </c>
      <c r="F5" s="149">
        <v>7.6</v>
      </c>
      <c r="G5" s="60">
        <f t="shared" ref="G5:G18" si="1">B5/B$4</f>
        <v>1.0108169014084507</v>
      </c>
      <c r="H5" s="60">
        <f t="shared" si="0"/>
        <v>1.0556303275011216</v>
      </c>
      <c r="I5" s="42"/>
      <c r="J5" s="169"/>
    </row>
    <row r="6" spans="1:18">
      <c r="A6" s="147">
        <v>2003</v>
      </c>
      <c r="B6" s="148">
        <v>18410</v>
      </c>
      <c r="C6" s="150">
        <f t="shared" ref="C6:C20" si="2">B6/B5-1</f>
        <v>2.6084048601047849E-2</v>
      </c>
      <c r="D6" s="151">
        <v>2436</v>
      </c>
      <c r="E6" s="151">
        <v>1078</v>
      </c>
      <c r="F6" s="149">
        <v>7.6</v>
      </c>
      <c r="G6" s="60">
        <f t="shared" si="1"/>
        <v>1.0371830985915493</v>
      </c>
      <c r="H6" s="60">
        <f t="shared" si="0"/>
        <v>1.0928667563930012</v>
      </c>
      <c r="I6" s="42"/>
      <c r="J6" s="169"/>
    </row>
    <row r="7" spans="1:18">
      <c r="A7" s="147">
        <v>2004</v>
      </c>
      <c r="B7" s="148">
        <v>20472</v>
      </c>
      <c r="C7" s="150">
        <f t="shared" si="2"/>
        <v>0.11200434546442151</v>
      </c>
      <c r="D7" s="151">
        <v>2601</v>
      </c>
      <c r="E7" s="151">
        <v>1148</v>
      </c>
      <c r="F7" s="149">
        <v>7.9</v>
      </c>
      <c r="G7" s="60">
        <f t="shared" si="1"/>
        <v>1.1533521126760564</v>
      </c>
      <c r="H7" s="60">
        <f t="shared" si="0"/>
        <v>1.1668909825033646</v>
      </c>
      <c r="I7" s="42"/>
      <c r="J7" s="169"/>
    </row>
    <row r="8" spans="1:18">
      <c r="A8" s="147">
        <v>2005</v>
      </c>
      <c r="B8" s="148">
        <v>20296</v>
      </c>
      <c r="C8" s="150">
        <f t="shared" si="2"/>
        <v>-8.5971082454083803E-3</v>
      </c>
      <c r="D8" s="151">
        <v>2652</v>
      </c>
      <c r="E8" s="151">
        <v>1146</v>
      </c>
      <c r="F8" s="149">
        <v>7.7</v>
      </c>
      <c r="G8" s="60">
        <f t="shared" si="1"/>
        <v>1.1434366197183099</v>
      </c>
      <c r="H8" s="60">
        <f t="shared" si="0"/>
        <v>1.1897711978465679</v>
      </c>
      <c r="I8" s="42"/>
      <c r="J8" s="169"/>
    </row>
    <row r="9" spans="1:18">
      <c r="A9" s="147">
        <v>2006</v>
      </c>
      <c r="B9" s="148">
        <v>20200</v>
      </c>
      <c r="C9" s="150">
        <f t="shared" si="2"/>
        <v>-4.7299960583365719E-3</v>
      </c>
      <c r="D9" s="151">
        <v>2652</v>
      </c>
      <c r="E9" s="151">
        <v>1149</v>
      </c>
      <c r="F9" s="149">
        <v>7.6</v>
      </c>
      <c r="G9" s="60">
        <f t="shared" si="1"/>
        <v>1.1380281690140845</v>
      </c>
      <c r="H9" s="60">
        <f t="shared" si="0"/>
        <v>1.1897711978465679</v>
      </c>
      <c r="I9" s="42"/>
      <c r="J9" s="169"/>
    </row>
    <row r="10" spans="1:18">
      <c r="A10" s="147">
        <v>2007</v>
      </c>
      <c r="B10" s="148">
        <v>20828</v>
      </c>
      <c r="C10" s="150">
        <f t="shared" si="2"/>
        <v>3.1089108910891117E-2</v>
      </c>
      <c r="D10" s="151">
        <v>2753</v>
      </c>
      <c r="E10" s="151">
        <v>1185</v>
      </c>
      <c r="F10" s="149">
        <v>7.6</v>
      </c>
      <c r="G10" s="60">
        <f t="shared" si="1"/>
        <v>1.1734084507042253</v>
      </c>
      <c r="H10" s="60">
        <f t="shared" si="0"/>
        <v>1.2350829968595782</v>
      </c>
      <c r="I10" s="42"/>
      <c r="J10" s="169"/>
      <c r="O10" s="48"/>
    </row>
    <row r="11" spans="1:18">
      <c r="A11" s="147">
        <v>2008</v>
      </c>
      <c r="B11" s="148">
        <v>22207</v>
      </c>
      <c r="C11" s="150">
        <f t="shared" si="2"/>
        <v>6.6208949491069813E-2</v>
      </c>
      <c r="D11" s="151">
        <v>2734</v>
      </c>
      <c r="E11" s="151">
        <v>1194</v>
      </c>
      <c r="F11" s="149">
        <v>8.1</v>
      </c>
      <c r="G11" s="60">
        <f t="shared" si="1"/>
        <v>1.2510985915492958</v>
      </c>
      <c r="H11" s="60">
        <f t="shared" si="0"/>
        <v>1.2265589950650515</v>
      </c>
      <c r="I11" s="42"/>
      <c r="J11" s="169"/>
      <c r="O11" s="48"/>
    </row>
    <row r="12" spans="1:18">
      <c r="A12" s="147">
        <v>2009</v>
      </c>
      <c r="B12" s="148">
        <v>18807</v>
      </c>
      <c r="C12" s="150">
        <f t="shared" si="2"/>
        <v>-0.15310487684063578</v>
      </c>
      <c r="D12" s="151">
        <v>2591</v>
      </c>
      <c r="E12" s="151">
        <v>1098</v>
      </c>
      <c r="F12" s="149">
        <v>7.3</v>
      </c>
      <c r="G12" s="60">
        <f t="shared" si="1"/>
        <v>1.059549295774648</v>
      </c>
      <c r="H12" s="60">
        <f t="shared" si="0"/>
        <v>1.1624046657694034</v>
      </c>
      <c r="I12" s="42"/>
      <c r="J12" s="169"/>
      <c r="O12" s="48"/>
    </row>
    <row r="13" spans="1:18">
      <c r="A13" s="147">
        <v>2010</v>
      </c>
      <c r="B13" s="148">
        <v>21265</v>
      </c>
      <c r="C13" s="150">
        <f t="shared" si="2"/>
        <v>0.13069601744031467</v>
      </c>
      <c r="D13" s="151">
        <v>2653</v>
      </c>
      <c r="E13" s="151">
        <v>1175</v>
      </c>
      <c r="F13" s="149">
        <v>8</v>
      </c>
      <c r="G13" s="60">
        <f t="shared" si="1"/>
        <v>1.1980281690140846</v>
      </c>
      <c r="H13" s="60">
        <f t="shared" si="0"/>
        <v>1.1902198295199642</v>
      </c>
      <c r="I13" s="42"/>
      <c r="J13" s="169"/>
      <c r="O13" s="48"/>
    </row>
    <row r="14" spans="1:18">
      <c r="A14" s="147">
        <v>2011</v>
      </c>
      <c r="B14" s="148">
        <v>21568</v>
      </c>
      <c r="C14" s="150">
        <f t="shared" si="2"/>
        <v>1.4248765577239642E-2</v>
      </c>
      <c r="D14" s="151">
        <v>2675</v>
      </c>
      <c r="E14" s="151">
        <v>1222</v>
      </c>
      <c r="F14" s="149">
        <v>8.1</v>
      </c>
      <c r="G14" s="60">
        <f t="shared" si="1"/>
        <v>1.2150985915492958</v>
      </c>
      <c r="H14" s="60">
        <f t="shared" si="0"/>
        <v>1.2000897263346793</v>
      </c>
      <c r="I14" s="42"/>
      <c r="J14" s="169"/>
      <c r="O14" s="48"/>
    </row>
    <row r="15" spans="1:18">
      <c r="A15" s="147">
        <v>2012</v>
      </c>
      <c r="B15" s="148">
        <v>21754</v>
      </c>
      <c r="C15" s="150">
        <f t="shared" si="2"/>
        <v>8.6238872403561206E-3</v>
      </c>
      <c r="D15" s="151">
        <v>2738</v>
      </c>
      <c r="E15" s="151">
        <v>1247</v>
      </c>
      <c r="F15" s="149">
        <v>7.9</v>
      </c>
      <c r="G15" s="60">
        <f t="shared" si="1"/>
        <v>1.2255774647887323</v>
      </c>
      <c r="H15" s="60">
        <f t="shared" si="0"/>
        <v>1.2283535217586361</v>
      </c>
      <c r="I15" s="42"/>
      <c r="J15" s="169"/>
      <c r="O15" s="48"/>
    </row>
    <row r="16" spans="1:18">
      <c r="A16" s="147">
        <v>2013</v>
      </c>
      <c r="B16" s="148">
        <v>21773</v>
      </c>
      <c r="C16" s="150">
        <f t="shared" si="2"/>
        <v>8.7340259262669306E-4</v>
      </c>
      <c r="D16" s="151">
        <v>2665</v>
      </c>
      <c r="E16" s="151">
        <v>1238</v>
      </c>
      <c r="F16" s="149">
        <v>8.1999999999999993</v>
      </c>
      <c r="G16" s="60">
        <f t="shared" si="1"/>
        <v>1.2266478873239437</v>
      </c>
      <c r="H16" s="60">
        <f t="shared" si="0"/>
        <v>1.1956034096007178</v>
      </c>
      <c r="I16" s="42"/>
      <c r="J16" s="169"/>
      <c r="O16" s="48"/>
    </row>
    <row r="17" spans="1:15">
      <c r="A17" s="147">
        <v>2014</v>
      </c>
      <c r="B17" s="148">
        <v>23746</v>
      </c>
      <c r="C17" s="150">
        <f t="shared" si="2"/>
        <v>9.0616818996004156E-2</v>
      </c>
      <c r="D17" s="151">
        <v>2831</v>
      </c>
      <c r="E17" s="151">
        <v>1309</v>
      </c>
      <c r="F17" s="149">
        <v>8.4</v>
      </c>
      <c r="G17" s="60">
        <f t="shared" si="1"/>
        <v>1.3378028169014085</v>
      </c>
      <c r="H17" s="60">
        <f t="shared" si="0"/>
        <v>1.2700762673844774</v>
      </c>
      <c r="I17" s="42"/>
      <c r="J17" s="169"/>
      <c r="O17" s="48"/>
    </row>
    <row r="18" spans="1:15">
      <c r="A18" s="147">
        <v>2015</v>
      </c>
      <c r="B18" s="148">
        <v>23078</v>
      </c>
      <c r="C18" s="150">
        <f t="shared" si="2"/>
        <v>-2.8131053651141213E-2</v>
      </c>
      <c r="D18" s="151">
        <v>2787</v>
      </c>
      <c r="E18" s="151">
        <v>1275</v>
      </c>
      <c r="F18" s="149">
        <v>8.3000000000000007</v>
      </c>
      <c r="G18" s="60">
        <f t="shared" si="1"/>
        <v>1.300169014084507</v>
      </c>
      <c r="H18" s="60">
        <f t="shared" ref="H18" si="3">D18/D$4</f>
        <v>1.2503364737550471</v>
      </c>
      <c r="I18" s="42"/>
      <c r="J18" s="169"/>
      <c r="O18" s="48"/>
    </row>
    <row r="19" spans="1:15">
      <c r="A19" s="147">
        <v>2016</v>
      </c>
      <c r="B19" s="148">
        <v>23349</v>
      </c>
      <c r="C19" s="150">
        <f t="shared" si="2"/>
        <v>1.1742785336684269E-2</v>
      </c>
      <c r="D19" s="151">
        <v>2809</v>
      </c>
      <c r="E19" s="151">
        <v>1284</v>
      </c>
      <c r="F19" s="149">
        <v>8.3000000000000007</v>
      </c>
      <c r="G19" s="60">
        <f t="shared" ref="G19" si="4">B19/B$4</f>
        <v>1.3154366197183098</v>
      </c>
      <c r="H19" s="60">
        <f t="shared" ref="H19" si="5">D19/D$4</f>
        <v>1.2602063705697621</v>
      </c>
      <c r="I19" s="42"/>
      <c r="J19" s="169"/>
      <c r="O19" s="48"/>
    </row>
    <row r="20" spans="1:15">
      <c r="A20" s="147">
        <v>2017</v>
      </c>
      <c r="B20" s="148">
        <v>24994</v>
      </c>
      <c r="C20" s="150">
        <f t="shared" si="2"/>
        <v>7.0452696046939822E-2</v>
      </c>
      <c r="D20" s="151">
        <v>2982</v>
      </c>
      <c r="E20" s="151">
        <v>1383</v>
      </c>
      <c r="F20" s="149">
        <v>8.4</v>
      </c>
      <c r="G20" s="60">
        <f t="shared" ref="G20" si="6">B20/B$4</f>
        <v>1.4081126760563381</v>
      </c>
      <c r="H20" s="60">
        <f t="shared" ref="H20" si="7">D20/D$4</f>
        <v>1.3378196500672948</v>
      </c>
      <c r="I20" s="42"/>
      <c r="J20" s="169"/>
      <c r="O20" s="48"/>
    </row>
    <row r="21" spans="1:15">
      <c r="A21" s="147">
        <v>2018</v>
      </c>
      <c r="B21" s="148">
        <v>25432</v>
      </c>
      <c r="C21" s="150">
        <f t="shared" ref="C21:C22" si="8">B21/B20-1</f>
        <v>1.7524205809394289E-2</v>
      </c>
      <c r="D21" s="151">
        <v>3080</v>
      </c>
      <c r="E21" s="151">
        <v>1384</v>
      </c>
      <c r="F21" s="149">
        <v>8.3000000000000007</v>
      </c>
      <c r="G21" s="60">
        <f t="shared" ref="G21" si="9">B21/B$4</f>
        <v>1.4327887323943662</v>
      </c>
      <c r="H21" s="60">
        <f t="shared" ref="H21" si="10">D21/D$4</f>
        <v>1.3817855540601167</v>
      </c>
      <c r="I21" s="42"/>
      <c r="J21" s="169"/>
      <c r="O21" s="48"/>
    </row>
    <row r="22" spans="1:15">
      <c r="A22" s="147">
        <v>2019</v>
      </c>
      <c r="B22" s="148">
        <v>25491</v>
      </c>
      <c r="C22" s="150">
        <f t="shared" si="8"/>
        <v>2.3199119219881048E-3</v>
      </c>
      <c r="D22" s="151">
        <v>3057</v>
      </c>
      <c r="E22" s="151">
        <v>1386</v>
      </c>
      <c r="F22" s="149">
        <v>8.3000000000000007</v>
      </c>
      <c r="G22" s="60">
        <f t="shared" ref="G22" si="11">B22/B$4</f>
        <v>1.4361126760563381</v>
      </c>
      <c r="H22" s="60">
        <f t="shared" ref="H22" si="12">D22/D$4</f>
        <v>1.3714670255720054</v>
      </c>
      <c r="I22" s="42"/>
      <c r="J22" s="169"/>
      <c r="O22" s="48"/>
    </row>
    <row r="23" spans="1:15">
      <c r="A23" s="147">
        <v>2020</v>
      </c>
      <c r="B23" s="148">
        <v>25641</v>
      </c>
      <c r="C23" s="150">
        <f t="shared" ref="C23:C24" si="13">B23/B22-1</f>
        <v>5.8844297987525884E-3</v>
      </c>
      <c r="D23" s="151">
        <v>2913</v>
      </c>
      <c r="E23" s="151">
        <v>1366</v>
      </c>
      <c r="F23" s="149">
        <v>8.8000000000000007</v>
      </c>
      <c r="G23" s="60">
        <f t="shared" ref="G23" si="14">B23/B$4</f>
        <v>1.4445633802816902</v>
      </c>
      <c r="H23" s="60">
        <f t="shared" ref="H23" si="15">D23/D$4</f>
        <v>1.306864064602961</v>
      </c>
      <c r="I23" s="42"/>
      <c r="J23" s="169"/>
      <c r="O23" s="48"/>
    </row>
    <row r="24" spans="1:15">
      <c r="A24" s="147">
        <v>2021</v>
      </c>
      <c r="B24" s="148">
        <v>27332</v>
      </c>
      <c r="C24" s="150">
        <f t="shared" si="13"/>
        <v>6.5949065949066021E-2</v>
      </c>
      <c r="D24" s="151">
        <v>3044</v>
      </c>
      <c r="E24" s="151">
        <v>1440</v>
      </c>
      <c r="F24" s="149">
        <v>9</v>
      </c>
      <c r="G24" s="60">
        <f t="shared" ref="G24" si="16">B24/B$4</f>
        <v>1.5398309859154931</v>
      </c>
      <c r="H24" s="60">
        <f t="shared" ref="H24" si="17">D24/D$4</f>
        <v>1.3656348138178556</v>
      </c>
      <c r="I24" s="42"/>
      <c r="J24" s="169"/>
      <c r="O24" s="48"/>
    </row>
    <row r="25" spans="1:15">
      <c r="A25" s="147">
        <v>2022</v>
      </c>
      <c r="B25" s="148">
        <v>27597</v>
      </c>
      <c r="C25" s="150">
        <f t="shared" ref="C25" si="18">B25/B24-1</f>
        <v>9.6955949070687275E-3</v>
      </c>
      <c r="D25" s="151">
        <v>3222</v>
      </c>
      <c r="E25" s="151">
        <v>1482</v>
      </c>
      <c r="F25" s="149">
        <v>8.6</v>
      </c>
      <c r="G25" s="60">
        <f t="shared" ref="G25" si="19">B25/B$4</f>
        <v>1.5547605633802817</v>
      </c>
      <c r="H25" s="60">
        <f t="shared" ref="H25" si="20">D25/D$4</f>
        <v>1.4454912516823688</v>
      </c>
      <c r="I25" s="146"/>
      <c r="J25" s="8"/>
      <c r="O25" s="48"/>
    </row>
    <row r="26" spans="1:15">
      <c r="A26" s="147">
        <v>2023</v>
      </c>
      <c r="B26" s="148">
        <v>25939</v>
      </c>
      <c r="C26" s="150">
        <f t="shared" ref="C26" si="21">B26/B25-1</f>
        <v>-6.0078994093560878E-2</v>
      </c>
      <c r="D26" s="151">
        <v>3095</v>
      </c>
      <c r="E26" s="151">
        <v>1390</v>
      </c>
      <c r="F26" s="149">
        <v>8.4</v>
      </c>
      <c r="G26" s="60">
        <f t="shared" ref="G26" si="22">B26/B$4</f>
        <v>1.4613521126760562</v>
      </c>
      <c r="H26" s="60">
        <f t="shared" ref="H26" si="23">D26/D$4</f>
        <v>1.3885150291610588</v>
      </c>
      <c r="I26" s="146"/>
      <c r="J26" s="8"/>
      <c r="O26" s="48"/>
    </row>
    <row r="27" spans="1:15">
      <c r="A27" s="37"/>
      <c r="C27" s="3"/>
      <c r="D27" s="3"/>
      <c r="E27" s="3"/>
      <c r="F27" s="3"/>
      <c r="G27" s="23"/>
      <c r="H27" s="4"/>
      <c r="I27" s="28"/>
      <c r="O27" s="48"/>
    </row>
    <row r="28" spans="1:15">
      <c r="A28" s="37"/>
      <c r="C28" s="3"/>
      <c r="D28" s="3"/>
      <c r="E28" s="3"/>
      <c r="F28" s="3"/>
      <c r="G28" s="23"/>
      <c r="H28" s="4"/>
      <c r="I28" s="28"/>
      <c r="O28" s="48"/>
    </row>
    <row r="29" spans="1:15" ht="12.75" customHeight="1">
      <c r="A29" s="37" t="s">
        <v>677</v>
      </c>
      <c r="O29" s="48"/>
    </row>
    <row r="30" spans="1:15" ht="12.75" customHeight="1">
      <c r="A30" t="s">
        <v>678</v>
      </c>
      <c r="O30" s="48"/>
    </row>
    <row r="31" spans="1:15" ht="12.75" customHeight="1">
      <c r="A31" t="s">
        <v>679</v>
      </c>
      <c r="O31" s="48"/>
    </row>
    <row r="32" spans="1:15" ht="12.75" customHeight="1">
      <c r="A32" s="104" t="s">
        <v>680</v>
      </c>
      <c r="O32" s="48"/>
    </row>
    <row r="33" spans="1:15" ht="12.75" customHeight="1">
      <c r="A33" s="104" t="s">
        <v>681</v>
      </c>
      <c r="O33" s="48"/>
    </row>
    <row r="34" spans="1:15" ht="12.75" customHeight="1">
      <c r="A34" s="1"/>
    </row>
    <row r="35" spans="1:15" ht="12.75" customHeight="1">
      <c r="A35" s="1"/>
    </row>
    <row r="36" spans="1:15" ht="38.25" customHeight="1">
      <c r="A36" s="1"/>
    </row>
    <row r="37" spans="1:15" ht="12.75" customHeight="1">
      <c r="A37" s="1"/>
      <c r="F37" s="29"/>
    </row>
    <row r="38" spans="1:15" ht="39" customHeight="1">
      <c r="A38" s="1"/>
    </row>
    <row r="39" spans="1:15" ht="12.75" customHeight="1">
      <c r="A39" s="1"/>
    </row>
    <row r="40" spans="1:15" ht="12.75" customHeight="1">
      <c r="A40" s="1"/>
    </row>
    <row r="41" spans="1:15" ht="12.75" customHeight="1">
      <c r="A41" s="1"/>
    </row>
    <row r="42" spans="1:15" ht="12.75" customHeight="1"/>
    <row r="43" spans="1:15" ht="12.75" customHeight="1"/>
    <row r="44" spans="1:15" ht="12.75" customHeight="1"/>
  </sheetData>
  <mergeCells count="2">
    <mergeCell ref="B2:F2"/>
    <mergeCell ref="L1:M1"/>
  </mergeCells>
  <phoneticPr fontId="5" type="noConversion"/>
  <hyperlinks>
    <hyperlink ref="J1" location="Contents!A1" display="Back to Contents" xr:uid="{00000000-0004-0000-2600-000000000000}"/>
    <hyperlink ref="L1:M1" location="Contents!A1" display="Back to Contents" xr:uid="{00000000-0004-0000-2600-000001000000}"/>
  </hyperlinks>
  <pageMargins left="0.7" right="0.7" top="0.75" bottom="0.75" header="0.3" footer="0.3"/>
  <pageSetup paperSize="8" scale="8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852E26D53214697B0E6D1B589F117" ma:contentTypeVersion="16" ma:contentTypeDescription="Create a new document." ma:contentTypeScope="" ma:versionID="135fcafc89132d8dd97854f3e823e99c">
  <xsd:schema xmlns:xsd="http://www.w3.org/2001/XMLSchema" xmlns:xs="http://www.w3.org/2001/XMLSchema" xmlns:p="http://schemas.microsoft.com/office/2006/metadata/properties" xmlns:ns2="2ab704b8-fbbd-4a88-bc3b-8747c8dd019f" xmlns:ns3="e1a6c933-e2f9-4565-8366-99f4b941a1ba" targetNamespace="http://schemas.microsoft.com/office/2006/metadata/properties" ma:root="true" ma:fieldsID="11bb6c41b1b1adb954f18c51fdae6622" ns2:_="" ns3:_="">
    <xsd:import namespace="2ab704b8-fbbd-4a88-bc3b-8747c8dd019f"/>
    <xsd:import namespace="e1a6c933-e2f9-4565-8366-99f4b941a1b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b704b8-fbbd-4a88-bc3b-8747c8dd01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10464bf-8dd1-4a76-bea6-cbe64bb4eab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a6c933-e2f9-4565-8366-99f4b941a1b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9eb9df8-0f40-41e4-888d-96432e878055}" ma:internalName="TaxCatchAll" ma:showField="CatchAllData" ma:web="e1a6c933-e2f9-4565-8366-99f4b941a1b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b704b8-fbbd-4a88-bc3b-8747c8dd019f">
      <Terms xmlns="http://schemas.microsoft.com/office/infopath/2007/PartnerControls"/>
    </lcf76f155ced4ddcb4097134ff3c332f>
    <TaxCatchAll xmlns="e1a6c933-e2f9-4565-8366-99f4b941a1b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39DB01-E6D5-4765-9612-C3E6F2407E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b704b8-fbbd-4a88-bc3b-8747c8dd019f"/>
    <ds:schemaRef ds:uri="e1a6c933-e2f9-4565-8366-99f4b941a1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EB729E-8772-4200-8A5C-BC4C51475F91}">
  <ds:schemaRefs>
    <ds:schemaRef ds:uri="http://schemas.microsoft.com/office/2006/metadata/properties"/>
    <ds:schemaRef ds:uri="http://schemas.microsoft.com/office/infopath/2007/PartnerControls"/>
    <ds:schemaRef ds:uri="2ab704b8-fbbd-4a88-bc3b-8747c8dd019f"/>
    <ds:schemaRef ds:uri="e1a6c933-e2f9-4565-8366-99f4b941a1ba"/>
  </ds:schemaRefs>
</ds:datastoreItem>
</file>

<file path=customXml/itemProps3.xml><?xml version="1.0" encoding="utf-8"?>
<ds:datastoreItem xmlns:ds="http://schemas.openxmlformats.org/officeDocument/2006/customXml" ds:itemID="{1FB4DD6F-C180-41EB-BCE1-D3C248D77C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15</vt:i4>
      </vt:variant>
    </vt:vector>
  </HeadingPairs>
  <TitlesOfParts>
    <vt:vector size="51" baseType="lpstr">
      <vt:lpstr>Contents</vt:lpstr>
      <vt:lpstr>1.1, 1.2</vt:lpstr>
      <vt:lpstr>1.1extra</vt:lpstr>
      <vt:lpstr>1.3</vt:lpstr>
      <vt:lpstr>1.4 to 1.7</vt:lpstr>
      <vt:lpstr>1.4b</vt:lpstr>
      <vt:lpstr>1.5b</vt:lpstr>
      <vt:lpstr>2.1, 2.2, 2.3,2.4</vt:lpstr>
      <vt:lpstr>2.5a-2.8a</vt:lpstr>
      <vt:lpstr>2.9</vt:lpstr>
      <vt:lpstr>2.10</vt:lpstr>
      <vt:lpstr>3.1,3.2,3.4,8.3</vt:lpstr>
      <vt:lpstr>3.5</vt:lpstr>
      <vt:lpstr>3.6</vt:lpstr>
      <vt:lpstr>4.1, 4.2</vt:lpstr>
      <vt:lpstr>4.3a,b</vt:lpstr>
      <vt:lpstr>4.4</vt:lpstr>
      <vt:lpstr>5.1</vt:lpstr>
      <vt:lpstr>5.2abcd</vt:lpstr>
      <vt:lpstr>6.1,6.2c</vt:lpstr>
      <vt:lpstr>6.2b</vt:lpstr>
      <vt:lpstr>6.3</vt:lpstr>
      <vt:lpstr>6.4a,b</vt:lpstr>
      <vt:lpstr>6.5a,b</vt:lpstr>
      <vt:lpstr>6.7a, b</vt:lpstr>
      <vt:lpstr>7.1,7.2</vt:lpstr>
      <vt:lpstr>7.3abc</vt:lpstr>
      <vt:lpstr>7.3de</vt:lpstr>
      <vt:lpstr>8.1a,b</vt:lpstr>
      <vt:lpstr>8.2a,b</vt:lpstr>
      <vt:lpstr>8.4</vt:lpstr>
      <vt:lpstr>8.5</vt:lpstr>
      <vt:lpstr>9.1</vt:lpstr>
      <vt:lpstr>9.2</vt:lpstr>
      <vt:lpstr>10.1, 10.2</vt:lpstr>
      <vt:lpstr>11.1,11.2</vt:lpstr>
      <vt:lpstr>'10.1, 10.2'!Print_Area</vt:lpstr>
      <vt:lpstr>'2.1, 2.2, 2.3,2.4'!Print_Area</vt:lpstr>
      <vt:lpstr>'2.9'!Print_Area</vt:lpstr>
      <vt:lpstr>'3.1,3.2,3.4,8.3'!Print_Area</vt:lpstr>
      <vt:lpstr>'4.3a,b'!Print_Area</vt:lpstr>
      <vt:lpstr>'5.2abcd'!Print_Area</vt:lpstr>
      <vt:lpstr>'6.2b'!Print_Area</vt:lpstr>
      <vt:lpstr>'6.3'!Print_Area</vt:lpstr>
      <vt:lpstr>'6.4a,b'!Print_Area</vt:lpstr>
      <vt:lpstr>'6.5a,b'!Print_Area</vt:lpstr>
      <vt:lpstr>'6.7a, b'!Print_Area</vt:lpstr>
      <vt:lpstr>'7.1,7.2'!Print_Area</vt:lpstr>
      <vt:lpstr>'8.1a,b'!Print_Area</vt:lpstr>
      <vt:lpstr>'8.2a,b'!Print_Area</vt:lpstr>
      <vt:lpstr>Contents!Print_Area</vt:lpstr>
    </vt:vector>
  </TitlesOfParts>
  <Manager/>
  <Company>Ministry of Transport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Fleet Statistics</dc:title>
  <dc:subject/>
  <dc:creator>Ministry of Transport</dc:creator>
  <cp:keywords/>
  <dc:description/>
  <cp:lastModifiedBy>Achini Weerasinghe</cp:lastModifiedBy>
  <cp:revision/>
  <dcterms:created xsi:type="dcterms:W3CDTF">2006-12-05T20:28:39Z</dcterms:created>
  <dcterms:modified xsi:type="dcterms:W3CDTF">2025-02-02T21:08:43Z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AdHocReviewCycleID">
    <vt:i4>-32135808</vt:i4>
  </property>
  <property fmtid="{D5CDD505-2E9C-101B-9397-08002B2CF9AE}" pid="4" name="_EmailSubject">
    <vt:lpwstr>Stats again</vt:lpwstr>
  </property>
  <property fmtid="{D5CDD505-2E9C-101B-9397-08002B2CF9AE}" pid="5" name="_AuthorEmail">
    <vt:lpwstr>s.badger@transport.govt.nz</vt:lpwstr>
  </property>
  <property fmtid="{D5CDD505-2E9C-101B-9397-08002B2CF9AE}" pid="6" name="_AuthorEmailDisplayName">
    <vt:lpwstr>Stuart Badger</vt:lpwstr>
  </property>
  <property fmtid="{D5CDD505-2E9C-101B-9397-08002B2CF9AE}" pid="7" name="_PreviousAdHocReviewCycleID">
    <vt:i4>-566783392</vt:i4>
  </property>
  <property fmtid="{D5CDD505-2E9C-101B-9397-08002B2CF9AE}" pid="8" name="_ReviewingToolsShownOnce">
    <vt:lpwstr/>
  </property>
  <property fmtid="{D5CDD505-2E9C-101B-9397-08002B2CF9AE}" pid="9" name="ContentTypeId">
    <vt:lpwstr>0x01010069B852E26D53214697B0E6D1B589F117</vt:lpwstr>
  </property>
  <property fmtid="{D5CDD505-2E9C-101B-9397-08002B2CF9AE}" pid="10" name="MediaServiceImageTags">
    <vt:lpwstr/>
  </property>
</Properties>
</file>