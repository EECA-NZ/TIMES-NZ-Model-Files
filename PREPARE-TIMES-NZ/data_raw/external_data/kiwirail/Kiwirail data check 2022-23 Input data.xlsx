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eerasa\Transport coding\raw_data\"/>
    </mc:Choice>
  </mc:AlternateContent>
  <xr:revisionPtr revIDLastSave="0" documentId="13_ncr:1_{40ABE18E-5C0B-4315-B0A8-DBFEB2B7065F}" xr6:coauthVersionLast="47" xr6:coauthVersionMax="47" xr10:uidLastSave="{00000000-0000-0000-0000-000000000000}"/>
  <bookViews>
    <workbookView xWindow="-6768" yWindow="-15432" windowWidth="30960" windowHeight="12120" xr2:uid="{00000000-000D-0000-FFFF-FFFF0000000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91" i="1" l="1"/>
  <c r="D390" i="1"/>
  <c r="E390" i="1" s="1"/>
  <c r="C373" i="1" s="1"/>
  <c r="D373" i="1" s="1"/>
  <c r="D389" i="1"/>
  <c r="C381" i="1"/>
  <c r="C375" i="1" s="1"/>
  <c r="D375" i="1" s="1"/>
  <c r="C380" i="1"/>
  <c r="C376" i="1" s="1"/>
  <c r="D376" i="1" s="1"/>
  <c r="D344" i="1"/>
  <c r="D343" i="1"/>
  <c r="C350" i="1"/>
  <c r="C346" i="1" s="1"/>
  <c r="D346" i="1" s="1"/>
  <c r="C345" i="1"/>
  <c r="D345" i="1" s="1"/>
  <c r="C344" i="1"/>
  <c r="C343" i="1"/>
  <c r="E361" i="1"/>
  <c r="E360" i="1"/>
  <c r="E359" i="1"/>
  <c r="D361" i="1"/>
  <c r="D360" i="1"/>
  <c r="D359" i="1"/>
  <c r="C361" i="1"/>
  <c r="C316" i="1"/>
  <c r="C315" i="1"/>
  <c r="C351" i="1"/>
  <c r="D315" i="1"/>
  <c r="D316" i="1"/>
  <c r="C321" i="1"/>
  <c r="C320" i="1"/>
  <c r="C15" i="1"/>
  <c r="D229" i="1"/>
  <c r="D228" i="1"/>
  <c r="E330" i="1"/>
  <c r="D330" i="1"/>
  <c r="D329" i="1"/>
  <c r="D331" i="1" s="1"/>
  <c r="C331" i="1"/>
  <c r="E8" i="1"/>
  <c r="D259" i="1"/>
  <c r="D258" i="1"/>
  <c r="D273" i="1"/>
  <c r="E273" i="1" s="1"/>
  <c r="C256" i="1" s="1"/>
  <c r="D256" i="1" s="1"/>
  <c r="D272" i="1"/>
  <c r="E272" i="1" s="1"/>
  <c r="D391" i="1" l="1"/>
  <c r="E389" i="1"/>
  <c r="C257" i="1"/>
  <c r="D257" i="1" s="1"/>
  <c r="E274" i="1"/>
  <c r="E329" i="1"/>
  <c r="D274" i="1"/>
  <c r="C313" i="1"/>
  <c r="D313" i="1" s="1"/>
  <c r="C274" i="1"/>
  <c r="C243" i="1"/>
  <c r="C374" i="1" l="1"/>
  <c r="D374" i="1" s="1"/>
  <c r="E391" i="1"/>
  <c r="C314" i="1"/>
  <c r="D314" i="1" s="1"/>
  <c r="E331" i="1"/>
  <c r="D243" i="1"/>
  <c r="E243" i="1" s="1"/>
  <c r="D242" i="1"/>
  <c r="D244" i="1" s="1"/>
  <c r="C244" i="1"/>
  <c r="E242" i="1" l="1"/>
  <c r="C226" i="1"/>
  <c r="D226" i="1" s="1"/>
  <c r="E244" i="1"/>
  <c r="C227" i="1"/>
  <c r="D227" i="1" s="1"/>
  <c r="B30" i="1"/>
  <c r="C30" i="1"/>
  <c r="I37" i="1" l="1"/>
  <c r="F30" i="1"/>
  <c r="I33" i="1"/>
  <c r="D213" i="1" l="1"/>
  <c r="E213" i="1" s="1"/>
  <c r="D212" i="1"/>
  <c r="E212" i="1"/>
  <c r="C214" i="1"/>
  <c r="E214" i="1" l="1"/>
  <c r="D184" i="1"/>
  <c r="E184" i="1" s="1"/>
  <c r="C167" i="1" s="1"/>
  <c r="C196" i="1"/>
  <c r="D196" i="1" s="1"/>
  <c r="C197" i="1"/>
  <c r="D214" i="1" l="1"/>
  <c r="D199" i="1"/>
  <c r="D198" i="1"/>
  <c r="D197" i="1" l="1"/>
  <c r="C185" i="1"/>
  <c r="D183" i="1"/>
  <c r="E183" i="1" s="1"/>
  <c r="D170" i="1"/>
  <c r="D169" i="1"/>
  <c r="C156" i="1"/>
  <c r="D155" i="1"/>
  <c r="E155" i="1" s="1"/>
  <c r="D154" i="1"/>
  <c r="E154" i="1" s="1"/>
  <c r="C139" i="1" s="1"/>
  <c r="D139" i="1" s="1"/>
  <c r="B146" i="1"/>
  <c r="B145" i="1"/>
  <c r="D141" i="1"/>
  <c r="D140" i="1"/>
  <c r="C122" i="1"/>
  <c r="D121" i="1"/>
  <c r="E121" i="1" s="1"/>
  <c r="D120" i="1"/>
  <c r="D107" i="1"/>
  <c r="D106" i="1"/>
  <c r="D103" i="1"/>
  <c r="C103" i="1"/>
  <c r="C90" i="1"/>
  <c r="D89" i="1"/>
  <c r="E89" i="1" s="1"/>
  <c r="D88" i="1"/>
  <c r="E88" i="1" s="1"/>
  <c r="C80" i="1"/>
  <c r="C79" i="1"/>
  <c r="D76" i="1"/>
  <c r="D75" i="1"/>
  <c r="D72" i="1"/>
  <c r="C72" i="1"/>
  <c r="C58" i="1"/>
  <c r="D57" i="1"/>
  <c r="E57" i="1" s="1"/>
  <c r="D56" i="1"/>
  <c r="B48" i="1"/>
  <c r="C48" i="1" s="1"/>
  <c r="C47" i="1"/>
  <c r="D43" i="1"/>
  <c r="D42" i="1"/>
  <c r="C25" i="1"/>
  <c r="D25" i="1" s="1"/>
  <c r="C24" i="1"/>
  <c r="D24" i="1" s="1"/>
  <c r="B16" i="1"/>
  <c r="C16" i="1" s="1"/>
  <c r="D12" i="1"/>
  <c r="D11" i="1"/>
  <c r="C49" i="1" l="1"/>
  <c r="D185" i="1"/>
  <c r="E25" i="1"/>
  <c r="C9" i="1" s="1"/>
  <c r="D9" i="1" s="1"/>
  <c r="D58" i="1"/>
  <c r="C81" i="1"/>
  <c r="D90" i="1"/>
  <c r="C138" i="1"/>
  <c r="D138" i="1" s="1"/>
  <c r="C17" i="1"/>
  <c r="C40" i="1"/>
  <c r="D40" i="1" s="1"/>
  <c r="D122" i="1"/>
  <c r="C73" i="1"/>
  <c r="D73" i="1" s="1"/>
  <c r="E120" i="1"/>
  <c r="C105" i="1" s="1"/>
  <c r="D105" i="1" s="1"/>
  <c r="C168" i="1"/>
  <c r="D168" i="1" s="1"/>
  <c r="E24" i="1"/>
  <c r="D26" i="1"/>
  <c r="C74" i="1"/>
  <c r="D74" i="1" s="1"/>
  <c r="E90" i="1"/>
  <c r="C104" i="1"/>
  <c r="D104" i="1" s="1"/>
  <c r="D156" i="1"/>
  <c r="C26" i="1"/>
  <c r="E56" i="1"/>
  <c r="E72" i="1"/>
  <c r="D167" i="1"/>
  <c r="E122" i="1" l="1"/>
  <c r="D77" i="1"/>
  <c r="E156" i="1"/>
  <c r="E26" i="1"/>
  <c r="C10" i="1"/>
  <c r="E58" i="1"/>
  <c r="C41" i="1"/>
  <c r="D41" i="1" s="1"/>
  <c r="E185" i="1"/>
  <c r="C77" i="1"/>
  <c r="D10" i="1" l="1"/>
  <c r="D13" i="1" s="1"/>
  <c r="C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Malia Vehikite</author>
    <author>Hien Dang</author>
    <author>Martin Lynch</author>
    <author>Anand Krishnan</author>
    <author>tc={45738F65-6D33-4A7F-9E62-B4AEA8511713}</author>
    <author>tc={BE6760B7-D0BF-41D4-8706-26590B963718}</author>
    <author>tc={65A1E083-8A99-4444-B43D-F215CB5F3984}</author>
    <author>tc={D95DB5FF-6272-4191-8AA3-71E24030B76F}</author>
    <author>tc={E1C7AB0C-371E-4D94-9F35-68D8CC5379A8}</author>
    <author>tc={07B9C3FD-FF8E-417E-A700-0C12C055C424}</author>
    <author>tc={A18893D6-91AA-4A0B-B7E1-221EAADF104E}</author>
    <author>tc={D2D9E7C1-106E-404A-9BCE-BB09499479EA}</author>
    <author>tc={4C5BAE0B-8041-4B2B-A18F-098E0F42E5DD}</author>
    <author>tc={0775B2C8-095F-431B-809E-E18E52A1036D}</author>
    <author>tc={449C01DE-D772-4B9F-A030-F91C703A975F}</author>
    <author>tc={6C6C7E0C-FBFF-48AA-B2EF-2FD3A7543DD5}</author>
    <author>tc={9959959D-BD53-4F9A-840B-E9EEA3FE73BE}</author>
    <author>tc={6D6BD974-2ED3-42A9-B8E5-31D4BEE23D1C}</author>
    <author>tc={F8231E4D-169B-4A11-ADBB-98342FEC675B}</author>
    <author>tc={B9524F14-066F-400B-8ACB-60A9E242EFE6}</author>
    <author>tc={358CC477-5817-4A7C-8771-FA83D590F1B5}</author>
    <author>tc={23117A18-46F8-4CC7-BE33-5152A4879D8D}</author>
    <author>tc={247C3EE3-AE67-47CF-B0EF-DA4C777DEB25}</author>
    <author>tc={A1181686-8DE9-4FFD-840F-709A18A4FD62}</author>
    <author>tc={4FEA9275-ADDC-4487-A79A-BAB654A6481E}</author>
    <author>tc={AA8EF130-F0FD-4509-9B47-9E2C53FAD70C}</author>
    <author>tc={134AE7D6-A195-4EC1-AD2B-5618C5B566AD}</author>
    <author>tc={97EE753D-5BFD-4153-8717-FA6AF87EE739}</author>
    <author>tc={959EFF7C-B043-4B19-AFFB-F34563BF41A0}</author>
    <author>tc={3EB5F9BF-2103-48C1-957E-FC821292CA23}</author>
  </authors>
  <commentList>
    <comment ref="E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Provided by KR - Mobil deliveries to Pukekohe site/AT</t>
        </r>
      </text>
    </comment>
    <comment ref="C7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Hien Dang:</t>
        </r>
        <r>
          <rPr>
            <sz val="9"/>
            <color indexed="81"/>
            <rFont val="Tahoma"/>
            <family val="2"/>
          </rPr>
          <t xml:space="preserve">
estimated.</t>
        </r>
      </text>
    </comment>
    <comment ref="D7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Hien Dang:</t>
        </r>
        <r>
          <rPr>
            <sz val="9"/>
            <color indexed="81"/>
            <rFont val="Tahoma"/>
            <family val="2"/>
          </rPr>
          <t xml:space="preserve">
estimated.</t>
        </r>
      </text>
    </comment>
    <comment ref="C10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Hien Dang:</t>
        </r>
        <r>
          <rPr>
            <sz val="9"/>
            <color indexed="81"/>
            <rFont val="Tahoma"/>
            <family val="2"/>
          </rPr>
          <t xml:space="preserve">
estimated.</t>
        </r>
      </text>
    </comment>
    <comment ref="D10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Hien Dang:</t>
        </r>
        <r>
          <rPr>
            <sz val="9"/>
            <color indexed="81"/>
            <rFont val="Tahoma"/>
            <family val="2"/>
          </rPr>
          <t xml:space="preserve">
estimated.</t>
        </r>
      </text>
    </comment>
    <comment ref="B146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C154" authorId="0" shapeId="0" xr:uid="{00000000-0006-0000-0000-000007000000}">
      <text>
        <r>
          <rPr>
            <b/>
            <sz val="11"/>
            <color indexed="81"/>
            <rFont val="Tahoma"/>
            <family val="2"/>
          </rPr>
          <t xml:space="preserve">Malia Vehikite:
</t>
        </r>
        <r>
          <rPr>
            <u/>
            <sz val="11"/>
            <color indexed="81"/>
            <rFont val="Tahoma"/>
            <family val="2"/>
          </rPr>
          <t>Calendar year</t>
        </r>
        <r>
          <rPr>
            <sz val="11"/>
            <color indexed="81"/>
            <rFont val="Tahoma"/>
            <family val="2"/>
          </rPr>
          <t xml:space="preserve"> from Sustainability Spreadsheet</t>
        </r>
      </text>
    </comment>
    <comment ref="B174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Traction electricity for Freight is steadily decreasing as electric locomotives as phased out on the NIMT.</t>
        </r>
      </text>
    </comment>
    <comment ref="B175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C183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Only 11 months data available, last month estimated to give 12 months.</t>
        </r>
      </text>
    </comment>
    <comment ref="C184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Only 11 months data available, last month estimated to give 12 months.</t>
        </r>
      </text>
    </comment>
    <comment ref="E184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Anand Krishnan:</t>
        </r>
        <r>
          <rPr>
            <sz val="9"/>
            <color indexed="81"/>
            <rFont val="Tahoma"/>
            <family val="2"/>
          </rPr>
          <t xml:space="preserve">
this originally used B30 - the 2012 Diesel Auck value.  I changed it to the 2018 value</t>
        </r>
      </text>
    </comment>
    <comment ref="C19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B203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2017 - Traction electricity for Freight is steadily decreasing as electric locomotives as phased out on the NIMT.
</t>
        </r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2018 - simliar to 2017 comment, however, decision made by Govt to keep EF's.</t>
        </r>
      </text>
    </comment>
    <comment ref="B204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C220" authorId="0" shapeId="0" xr:uid="{7643D713-7CE3-4520-95BD-BB7B95C73115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B233" authorId="2" shapeId="0" xr:uid="{0C43A2EF-4D86-4A1F-A92D-C29099D3020C}">
      <text>
        <r>
          <rPr>
            <b/>
            <sz val="9"/>
            <color indexed="81"/>
            <rFont val="Tahoma"/>
            <family val="2"/>
          </rPr>
          <t xml:space="preserve">Malia Vehikite: 
</t>
        </r>
        <r>
          <rPr>
            <sz val="9"/>
            <color indexed="81"/>
            <rFont val="Tahoma"/>
            <family val="2"/>
          </rPr>
          <t xml:space="preserve">Electric loco refurbishment programme a factor in decline of traction electricity for freight. </t>
        </r>
      </text>
    </comment>
    <comment ref="B234" authorId="2" shapeId="0" xr:uid="{DE0DB286-4190-4B82-A6E0-285528049DF0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B242" authorId="4" shapeId="0" xr:uid="{45738F65-6D33-4A7F-9E62-B4AEA8511713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B243" authorId="5" shapeId="0" xr:uid="{BE6760B7-D0BF-41D4-8706-26590B963718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243" authorId="6" shapeId="0" xr:uid="{65A1E083-8A99-4444-B43D-F215CB5F398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Wairarapa passenger train fuel which is on-charged to Transdev WEL</t>
      </text>
    </comment>
    <comment ref="E243" authorId="7" shapeId="0" xr:uid="{D95DB5FF-6272-4191-8AA3-71E24030B7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adding AT (Pukekohe) fuel here as AT contact was provided to EECA last year for AT to provide data going foward</t>
      </text>
    </comment>
    <comment ref="C250" authorId="0" shapeId="0" xr:uid="{0D516057-055B-4DDF-AD06-EA47453D68C6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B263" authorId="2" shapeId="0" xr:uid="{24D325D7-47A4-4817-883C-EE40C3035055}">
      <text>
        <r>
          <rPr>
            <b/>
            <sz val="9"/>
            <color indexed="81"/>
            <rFont val="Tahoma"/>
            <family val="2"/>
          </rPr>
          <t xml:space="preserve">Malia Vehikite: 
</t>
        </r>
        <r>
          <rPr>
            <sz val="9"/>
            <color indexed="81"/>
            <rFont val="Tahoma"/>
            <family val="2"/>
          </rPr>
          <t xml:space="preserve">Electric loco refurbishment programme a factor in decline of traction electricity for freight. </t>
        </r>
      </text>
    </comment>
    <comment ref="B264" authorId="2" shapeId="0" xr:uid="{54234F35-E96A-4AC3-BFFF-2031199BCDCE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B272" authorId="8" shapeId="0" xr:uid="{E1C7AB0C-371E-4D94-9F35-68D8CC5379A8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B273" authorId="9" shapeId="0" xr:uid="{07B9C3FD-FF8E-417E-A700-0C12C055C424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273" authorId="10" shapeId="0" xr:uid="{A18893D6-91AA-4A0B-B7E1-221EAADF10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Wairarapa passenger train fuel which is on-charged to Transdev WEL</t>
      </text>
    </comment>
    <comment ref="E273" authorId="11" shapeId="0" xr:uid="{D2D9E7C1-106E-404A-9BCE-BB09499479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adding AT (Pukekohe) fuel here as AT contact was provided to EECA last year for AT to provide data going foward</t>
      </text>
    </comment>
    <comment ref="C307" authorId="0" shapeId="0" xr:uid="{C5FE878C-D4B2-4315-9380-EB8B1F007128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C319" authorId="12" shapeId="0" xr:uid="{4C5BAE0B-8041-4B2B-A18F-098E0F42E5DD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highlighted - updated for PJ / TJ conversion</t>
      </text>
    </comment>
    <comment ref="B320" authorId="2" shapeId="0" xr:uid="{4C69EE03-4BE2-45A3-8700-50A38A6A00FC}">
      <text>
        <r>
          <rPr>
            <b/>
            <sz val="9"/>
            <color indexed="81"/>
            <rFont val="Tahoma"/>
            <family val="2"/>
          </rPr>
          <t xml:space="preserve">Malia Vehikite: 
</t>
        </r>
        <r>
          <rPr>
            <sz val="9"/>
            <color indexed="81"/>
            <rFont val="Tahoma"/>
            <family val="2"/>
          </rPr>
          <t xml:space="preserve">Electric loco refurbishment programme a factor in decline of traction electricity for freight. </t>
        </r>
      </text>
    </comment>
    <comment ref="B321" authorId="2" shapeId="0" xr:uid="{D63B1214-AFF4-4DAC-89D6-D76D2A9E97AE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B329" authorId="13" shapeId="0" xr:uid="{0775B2C8-095F-431B-809E-E18E52A10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29" authorId="14" shapeId="0" xr:uid="{449C01DE-D772-4B9F-A030-F91C703A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Freight only fuel - excludes passenger and work train fuel</t>
      </text>
    </comment>
    <comment ref="B330" authorId="15" shapeId="0" xr:uid="{6C6C7E0C-FBFF-48AA-B2EF-2FD3A7543DD5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30" authorId="16" shapeId="0" xr:uid="{9959959D-BD53-4F9A-840B-E9EEA3FE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Wairarapa passenger train fuel which is on-charged to Transdev WEL
Reply:
    Also includes Te Huia passenger train fuel which is on-charged to Waikato Regional Council</t>
      </text>
    </comment>
    <comment ref="E330" authorId="17" shapeId="0" xr:uid="{6D6BD974-2ED3-42A9-B8E5-31D4BEE23D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adding AT (Pukekohe) fuel here as AT contact was provided to EECA last year for AT to provide data going foward</t>
      </text>
    </comment>
    <comment ref="C337" authorId="0" shapeId="0" xr:uid="{EF45E7FB-8A52-4882-8452-91160268C455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C349" authorId="18" shapeId="0" xr:uid="{F8231E4D-169B-4A11-ADBB-98342FEC675B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highlighted - updated for PJ / TJ conversion</t>
      </text>
    </comment>
    <comment ref="B350" authorId="2" shapeId="0" xr:uid="{CA64C049-BA46-41B5-B11F-C753CFDBBE9A}">
      <text>
        <r>
          <rPr>
            <b/>
            <sz val="9"/>
            <color indexed="81"/>
            <rFont val="Tahoma"/>
            <family val="2"/>
          </rPr>
          <t xml:space="preserve">Malia Vehikite: 
</t>
        </r>
        <r>
          <rPr>
            <sz val="9"/>
            <color indexed="81"/>
            <rFont val="Tahoma"/>
            <family val="2"/>
          </rPr>
          <t xml:space="preserve">Electric loco refurbishment programme a factor in decline of traction electricity for freight. </t>
        </r>
      </text>
    </comment>
    <comment ref="B351" authorId="2" shapeId="0" xr:uid="{103A2105-C269-4359-8AE2-8F8A1721EC5E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B359" authorId="19" shapeId="0" xr:uid="{B9524F14-066F-400B-8ACB-60A9E242EFE6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59" authorId="20" shapeId="0" xr:uid="{358CC477-5817-4A7C-8771-FA83D590F1B5}">
      <text>
        <t>[Threaded comment]
Your version of Excel allows you to read this threaded comment; however, any edits to it will get removed if the file is opened in a newer version of Excel. Learn more: https://go.microsoft.com/fwlink/?linkid=870924
Comment:
    Freight only fuel - excludes passenger and work train fuel</t>
      </text>
    </comment>
    <comment ref="B360" authorId="21" shapeId="0" xr:uid="{23117A18-46F8-4CC7-BE33-5152A4879D8D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60" authorId="22" shapeId="0" xr:uid="{247C3EE3-AE67-47CF-B0EF-DA4C777DEB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scenic, Capital Connection, Te Huia and Wairarapa.</t>
      </text>
    </comment>
    <comment ref="E360" authorId="23" shapeId="0" xr:uid="{A1181686-8DE9-4FFD-840F-709A18A4FD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adding AT (Pukekohe) fuel here as AT contact was provided to EECA last year for AT to provide data going foward</t>
      </text>
    </comment>
    <comment ref="C367" authorId="0" shapeId="0" xr:uid="{F4397BDC-CAEA-4984-B838-C6BD0CD041A3}">
      <text>
        <r>
          <rPr>
            <b/>
            <sz val="9"/>
            <color indexed="81"/>
            <rFont val="Tahoma"/>
            <family val="2"/>
          </rPr>
          <t>Malia Vehikite:</t>
        </r>
        <r>
          <rPr>
            <sz val="9"/>
            <color indexed="81"/>
            <rFont val="Tahoma"/>
            <family val="2"/>
          </rPr>
          <t xml:space="preserve">
CALENDAR YEAR</t>
        </r>
      </text>
    </comment>
    <comment ref="C379" authorId="24" shapeId="0" xr:uid="{4FEA9275-ADDC-4487-A79A-BAB654A6481E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highlighted - updated for PJ / TJ conversion</t>
      </text>
    </comment>
    <comment ref="B380" authorId="2" shapeId="0" xr:uid="{1BB40DA9-1450-4C27-9E6D-947B2EE62B5A}">
      <text>
        <r>
          <rPr>
            <b/>
            <sz val="9"/>
            <color indexed="81"/>
            <rFont val="Tahoma"/>
            <family val="2"/>
          </rPr>
          <t xml:space="preserve">Malia Vehikite: 
</t>
        </r>
        <r>
          <rPr>
            <sz val="9"/>
            <color indexed="81"/>
            <rFont val="Tahoma"/>
            <family val="2"/>
          </rPr>
          <t xml:space="preserve">Electric loco refurbishment programme a factor in decline of traction electricity for freight. </t>
        </r>
      </text>
    </comment>
    <comment ref="B381" authorId="2" shapeId="0" xr:uid="{C0E99258-F41F-43A4-BC58-2413B204B63C}">
      <text>
        <r>
          <rPr>
            <b/>
            <sz val="9"/>
            <color indexed="81"/>
            <rFont val="Tahoma"/>
            <family val="2"/>
          </rPr>
          <t>Martin Lynch:</t>
        </r>
        <r>
          <rPr>
            <sz val="9"/>
            <color indexed="81"/>
            <rFont val="Tahoma"/>
            <family val="2"/>
          </rPr>
          <t xml:space="preserve">
Please note this is traction electricity used by Auckland and Wellington commuter trains. Kiwirail oncharges this electricity to Auckland Transport and Wellington Regional Council.</t>
        </r>
      </text>
    </comment>
    <comment ref="B389" authorId="25" shapeId="0" xr:uid="{AA8EF130-F0FD-4509-9B47-9E2C53FAD70C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89" authorId="26" shapeId="0" xr:uid="{134AE7D6-A195-4EC1-AD2B-5618C5B566AD}">
      <text>
        <t>[Threaded comment]
Your version of Excel allows you to read this threaded comment; however, any edits to it will get removed if the file is opened in a newer version of Excel. Learn more: https://go.microsoft.com/fwlink/?linkid=870924
Comment:
    Freight only fuel - excludes passenger and work train fuel</t>
      </text>
    </comment>
    <comment ref="B390" authorId="27" shapeId="0" xr:uid="{97EE753D-5BFD-4153-8717-FA6AF87EE739}">
      <text>
        <t>[Threaded comment]
Your version of Excel allows you to read this threaded comment; however, any edits to it will get removed if the file is opened in a newer version of Excel. Learn more: https://go.microsoft.com/fwlink/?linkid=870924
Comment:
    MBIE Fuel Oil Properties, 2019</t>
      </text>
    </comment>
    <comment ref="C390" authorId="28" shapeId="0" xr:uid="{959EFF7C-B043-4B19-AFFB-F34563BF41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scenic, Capital Connection, Te Huia and Wairarapa.</t>
      </text>
    </comment>
    <comment ref="E390" authorId="29" shapeId="0" xr:uid="{3EB5F9BF-2103-48C1-957E-FC821292CA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longer adding AT (Pukekohe) fuel here as AT contact was provided to EECA last year for AT to provide data going foward</t>
      </text>
    </comment>
  </commentList>
</comments>
</file>

<file path=xl/sharedStrings.xml><?xml version="1.0" encoding="utf-8"?>
<sst xmlns="http://schemas.openxmlformats.org/spreadsheetml/2006/main" count="408" uniqueCount="58">
  <si>
    <t>Tel (09) 363 7733 Karl Check - This is the national data but excluding diesel used for passenger in Auckland*.</t>
  </si>
  <si>
    <t>Energy used for Rail Transport (Unit: Terajoules)</t>
  </si>
  <si>
    <t>December Year 2012</t>
  </si>
  <si>
    <t>Fuel Type</t>
  </si>
  <si>
    <t>Transport</t>
  </si>
  <si>
    <t>Delivered Energy (input energy)</t>
  </si>
  <si>
    <t xml:space="preserve"> End-use Energy (output energy)</t>
  </si>
  <si>
    <t xml:space="preserve"> Energy Efficiency</t>
  </si>
  <si>
    <t>Diesel</t>
  </si>
  <si>
    <t>Road Freight</t>
  </si>
  <si>
    <t>Passenger Rail</t>
  </si>
  <si>
    <t>Rail Freight</t>
  </si>
  <si>
    <t>Electricity</t>
  </si>
  <si>
    <t>kWh</t>
  </si>
  <si>
    <t>PJ</t>
  </si>
  <si>
    <t>Freight</t>
  </si>
  <si>
    <t>Passenger</t>
  </si>
  <si>
    <t>Source to convert kwH to TJ</t>
  </si>
  <si>
    <t>http://www.convert-measurement-units.com/conversion-calculator.php?type=energy</t>
  </si>
  <si>
    <t>Converting diesel to energy (Joules)</t>
  </si>
  <si>
    <t>Diesel used excl. Auckland</t>
  </si>
  <si>
    <t>National diesel used</t>
  </si>
  <si>
    <t>PJ per litre</t>
  </si>
  <si>
    <t>litres</t>
  </si>
  <si>
    <t xml:space="preserve">PJ </t>
  </si>
  <si>
    <t>TJ</t>
  </si>
  <si>
    <t>freight</t>
  </si>
  <si>
    <t>passenger (excluding Auckland =8.9 Mlitres of diesel)</t>
  </si>
  <si>
    <t>*Note: In June year 2012 Auckland used 9.3 millions of diesel and June year 2013 is about 8.9 millions of diesel.</t>
  </si>
  <si>
    <t>Average Diesel used in Auckland</t>
  </si>
  <si>
    <t>2016 (TJ)</t>
  </si>
  <si>
    <t>2016 (litres)</t>
  </si>
  <si>
    <t>8.9 Mlitres</t>
  </si>
  <si>
    <t>December Year 2013</t>
  </si>
  <si>
    <t>passenger</t>
  </si>
  <si>
    <t>December Year 2014</t>
  </si>
  <si>
    <t>December Year 2015</t>
  </si>
  <si>
    <t>December Year 2016</t>
  </si>
  <si>
    <t>N/A</t>
  </si>
  <si>
    <t>December Year 2017</t>
  </si>
  <si>
    <t>December Year 2018</t>
  </si>
  <si>
    <t>2018 (litres)</t>
  </si>
  <si>
    <t>2018 (TJ)</t>
  </si>
  <si>
    <t>Updated by Anand - kwh were not updated properly it appears for the 2018 box</t>
  </si>
  <si>
    <t>MBIE Electricity Transport TJ</t>
  </si>
  <si>
    <t>Kiwirail (Electricity/Passenger rail and Rail Freight) TJ</t>
  </si>
  <si>
    <t>Comparison for analysis</t>
  </si>
  <si>
    <t>Year</t>
  </si>
  <si>
    <t>Electricty/Passenger rail</t>
  </si>
  <si>
    <t>Diesel/Passenger rail</t>
  </si>
  <si>
    <t>Electricty/Rail Freight</t>
  </si>
  <si>
    <t>Diesel/Rail Freight</t>
  </si>
  <si>
    <t>December Year 2019</t>
  </si>
  <si>
    <t>December Year 2020</t>
  </si>
  <si>
    <t>December Year 2021</t>
  </si>
  <si>
    <t>December Year 2022</t>
  </si>
  <si>
    <t>December Year 2023</t>
  </si>
  <si>
    <t>End-use Energy (output energy)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</si>
</sst>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_-;\-* #,##0.0_-;_-* &quot;-&quot;??_-;_-@_-"/>
    <numFmt numFmtId="165" formatCode="0.0%"/>
    <numFmt numFmtId="166" formatCode="_-* #,##0_-;\-* #,##0_-;_-* &quot;-&quot;??_-;_-@_-"/>
    <numFmt numFmtId="167" formatCode="_-* #,##0.0000_-;\-* #,##0.0000_-;_-* &quot;-&quot;??_-;_-@_-"/>
    <numFmt numFmtId="168" formatCode="_-* #,##0.000_-;\-* #,##0.000_-;_-* &quot;-&quot;??_-;_-@_-"/>
    <numFmt numFmtId="169" formatCode="_-* #,##0.00000_-;\-* #,##0.00000_-;_-* &quot;-&quot;??_-;_-@_-"/>
    <numFmt numFmtId="170" formatCode="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u/>
      <sz val="10"/>
      <color theme="10"/>
      <name val="Arial"/>
      <family val="2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u/>
      <sz val="11"/>
      <color indexed="81"/>
      <name val="Tahoma"/>
      <family val="2"/>
    </font>
    <font>
      <sz val="11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89">
    <xf numFmtId="0" fontId="0" fillId="0" borderId="0" xfId="0"/>
    <xf numFmtId="0" fontId="4" fillId="0" borderId="1" xfId="2" applyFont="1" applyBorder="1"/>
    <xf numFmtId="0" fontId="3" fillId="0" borderId="2" xfId="2" applyBorder="1"/>
    <xf numFmtId="0" fontId="3" fillId="0" borderId="3" xfId="2" applyBorder="1"/>
    <xf numFmtId="0" fontId="3" fillId="0" borderId="0" xfId="2"/>
    <xf numFmtId="0" fontId="3" fillId="2" borderId="1" xfId="2" applyFill="1" applyBorder="1"/>
    <xf numFmtId="0" fontId="3" fillId="2" borderId="2" xfId="2" applyFill="1" applyBorder="1"/>
    <xf numFmtId="0" fontId="5" fillId="2" borderId="2" xfId="2" applyFont="1" applyFill="1" applyBorder="1"/>
    <xf numFmtId="0" fontId="3" fillId="2" borderId="3" xfId="2" applyFill="1" applyBorder="1"/>
    <xf numFmtId="0" fontId="3" fillId="2" borderId="4" xfId="2" applyFill="1" applyBorder="1"/>
    <xf numFmtId="0" fontId="3" fillId="2" borderId="0" xfId="2" applyFill="1"/>
    <xf numFmtId="0" fontId="5" fillId="2" borderId="0" xfId="2" applyFont="1" applyFill="1"/>
    <xf numFmtId="0" fontId="3" fillId="2" borderId="5" xfId="2" applyFill="1" applyBorder="1"/>
    <xf numFmtId="0" fontId="6" fillId="2" borderId="4" xfId="2" applyFont="1" applyFill="1" applyBorder="1"/>
    <xf numFmtId="0" fontId="6" fillId="2" borderId="0" xfId="2" applyFont="1" applyFill="1"/>
    <xf numFmtId="0" fontId="6" fillId="2" borderId="0" xfId="2" applyFont="1" applyFill="1" applyAlignment="1">
      <alignment horizontal="right"/>
    </xf>
    <xf numFmtId="0" fontId="7" fillId="2" borderId="0" xfId="2" applyFont="1" applyFill="1"/>
    <xf numFmtId="0" fontId="3" fillId="2" borderId="0" xfId="2" applyFill="1" applyAlignment="1">
      <alignment horizontal="right"/>
    </xf>
    <xf numFmtId="0" fontId="8" fillId="2" borderId="0" xfId="2" applyFont="1" applyFill="1"/>
    <xf numFmtId="164" fontId="0" fillId="2" borderId="0" xfId="3" applyNumberFormat="1" applyFont="1" applyFill="1" applyBorder="1" applyAlignment="1">
      <alignment horizontal="right"/>
    </xf>
    <xf numFmtId="165" fontId="8" fillId="2" borderId="0" xfId="4" applyNumberFormat="1" applyFont="1" applyFill="1" applyBorder="1"/>
    <xf numFmtId="43" fontId="9" fillId="2" borderId="0" xfId="3" applyFont="1" applyFill="1" applyBorder="1" applyAlignment="1">
      <alignment horizontal="right"/>
    </xf>
    <xf numFmtId="0" fontId="3" fillId="2" borderId="6" xfId="2" applyFill="1" applyBorder="1"/>
    <xf numFmtId="0" fontId="3" fillId="2" borderId="7" xfId="2" applyFill="1" applyBorder="1"/>
    <xf numFmtId="164" fontId="3" fillId="2" borderId="7" xfId="2" applyNumberFormat="1" applyFill="1" applyBorder="1"/>
    <xf numFmtId="0" fontId="3" fillId="2" borderId="8" xfId="2" applyFill="1" applyBorder="1"/>
    <xf numFmtId="166" fontId="0" fillId="2" borderId="0" xfId="3" applyNumberFormat="1" applyFont="1" applyFill="1" applyBorder="1"/>
    <xf numFmtId="167" fontId="3" fillId="2" borderId="0" xfId="2" applyNumberFormat="1" applyFill="1"/>
    <xf numFmtId="168" fontId="3" fillId="2" borderId="0" xfId="2" applyNumberFormat="1" applyFill="1"/>
    <xf numFmtId="169" fontId="6" fillId="2" borderId="0" xfId="2" applyNumberFormat="1" applyFont="1" applyFill="1"/>
    <xf numFmtId="0" fontId="10" fillId="2" borderId="4" xfId="5" applyFill="1" applyBorder="1"/>
    <xf numFmtId="0" fontId="8" fillId="2" borderId="0" xfId="2" applyFont="1" applyFill="1" applyAlignment="1">
      <alignment horizontal="right"/>
    </xf>
    <xf numFmtId="0" fontId="3" fillId="2" borderId="4" xfId="2" applyFill="1" applyBorder="1" applyAlignment="1">
      <alignment horizontal="right"/>
    </xf>
    <xf numFmtId="0" fontId="3" fillId="2" borderId="5" xfId="2" applyFill="1" applyBorder="1" applyAlignment="1">
      <alignment horizontal="right"/>
    </xf>
    <xf numFmtId="0" fontId="3" fillId="0" borderId="0" xfId="2" applyAlignment="1">
      <alignment horizontal="right"/>
    </xf>
    <xf numFmtId="166" fontId="3" fillId="2" borderId="0" xfId="2" applyNumberFormat="1" applyFill="1"/>
    <xf numFmtId="166" fontId="6" fillId="2" borderId="7" xfId="3" applyNumberFormat="1" applyFont="1" applyFill="1" applyBorder="1"/>
    <xf numFmtId="168" fontId="6" fillId="2" borderId="7" xfId="3" applyNumberFormat="1" applyFont="1" applyFill="1" applyBorder="1"/>
    <xf numFmtId="168" fontId="0" fillId="2" borderId="7" xfId="3" applyNumberFormat="1" applyFont="1" applyFill="1" applyBorder="1"/>
    <xf numFmtId="166" fontId="0" fillId="0" borderId="0" xfId="3" applyNumberFormat="1" applyFont="1" applyFill="1" applyBorder="1"/>
    <xf numFmtId="0" fontId="6" fillId="0" borderId="0" xfId="2" applyFont="1"/>
    <xf numFmtId="43" fontId="8" fillId="0" borderId="0" xfId="2" applyNumberFormat="1" applyFont="1" applyAlignment="1">
      <alignment horizontal="right"/>
    </xf>
    <xf numFmtId="164" fontId="3" fillId="0" borderId="0" xfId="1" applyNumberFormat="1" applyFont="1" applyFill="1" applyBorder="1"/>
    <xf numFmtId="0" fontId="3" fillId="3" borderId="1" xfId="2" applyFill="1" applyBorder="1"/>
    <xf numFmtId="0" fontId="3" fillId="3" borderId="2" xfId="2" applyFill="1" applyBorder="1"/>
    <xf numFmtId="0" fontId="5" fillId="3" borderId="2" xfId="2" applyFont="1" applyFill="1" applyBorder="1"/>
    <xf numFmtId="0" fontId="3" fillId="3" borderId="3" xfId="2" applyFill="1" applyBorder="1"/>
    <xf numFmtId="0" fontId="3" fillId="3" borderId="4" xfId="2" applyFill="1" applyBorder="1"/>
    <xf numFmtId="0" fontId="3" fillId="3" borderId="0" xfId="2" applyFill="1"/>
    <xf numFmtId="0" fontId="5" fillId="3" borderId="0" xfId="2" applyFont="1" applyFill="1"/>
    <xf numFmtId="0" fontId="3" fillId="3" borderId="5" xfId="2" applyFill="1" applyBorder="1"/>
    <xf numFmtId="0" fontId="6" fillId="3" borderId="4" xfId="2" applyFont="1" applyFill="1" applyBorder="1"/>
    <xf numFmtId="0" fontId="6" fillId="3" borderId="0" xfId="2" applyFont="1" applyFill="1"/>
    <xf numFmtId="0" fontId="6" fillId="3" borderId="0" xfId="2" applyFont="1" applyFill="1" applyAlignment="1">
      <alignment horizontal="right"/>
    </xf>
    <xf numFmtId="0" fontId="7" fillId="3" borderId="0" xfId="2" applyFont="1" applyFill="1"/>
    <xf numFmtId="0" fontId="3" fillId="3" borderId="0" xfId="2" applyFill="1" applyAlignment="1">
      <alignment horizontal="right"/>
    </xf>
    <xf numFmtId="0" fontId="8" fillId="3" borderId="0" xfId="2" applyFont="1" applyFill="1"/>
    <xf numFmtId="164" fontId="0" fillId="3" borderId="0" xfId="3" applyNumberFormat="1" applyFont="1" applyFill="1" applyBorder="1" applyAlignment="1">
      <alignment horizontal="right"/>
    </xf>
    <xf numFmtId="165" fontId="8" fillId="3" borderId="0" xfId="4" applyNumberFormat="1" applyFont="1" applyFill="1" applyBorder="1"/>
    <xf numFmtId="43" fontId="0" fillId="3" borderId="0" xfId="3" applyFont="1" applyFill="1" applyBorder="1" applyAlignment="1">
      <alignment horizontal="right"/>
    </xf>
    <xf numFmtId="164" fontId="6" fillId="3" borderId="0" xfId="2" applyNumberFormat="1" applyFont="1" applyFill="1"/>
    <xf numFmtId="166" fontId="0" fillId="3" borderId="0" xfId="3" applyNumberFormat="1" applyFont="1" applyFill="1" applyBorder="1"/>
    <xf numFmtId="170" fontId="3" fillId="3" borderId="0" xfId="2" applyNumberFormat="1" applyFill="1" applyAlignment="1">
      <alignment horizontal="right"/>
    </xf>
    <xf numFmtId="170" fontId="6" fillId="3" borderId="0" xfId="2" applyNumberFormat="1" applyFont="1" applyFill="1" applyAlignment="1">
      <alignment horizontal="right"/>
    </xf>
    <xf numFmtId="0" fontId="10" fillId="3" borderId="4" xfId="5" applyFill="1" applyBorder="1"/>
    <xf numFmtId="0" fontId="8" fillId="3" borderId="0" xfId="2" applyFont="1" applyFill="1" applyAlignment="1">
      <alignment horizontal="right"/>
    </xf>
    <xf numFmtId="0" fontId="3" fillId="3" borderId="4" xfId="2" applyFill="1" applyBorder="1" applyAlignment="1">
      <alignment horizontal="right"/>
    </xf>
    <xf numFmtId="0" fontId="3" fillId="3" borderId="5" xfId="2" applyFill="1" applyBorder="1" applyAlignment="1">
      <alignment horizontal="right"/>
    </xf>
    <xf numFmtId="168" fontId="3" fillId="3" borderId="0" xfId="2" applyNumberFormat="1" applyFill="1"/>
    <xf numFmtId="43" fontId="3" fillId="3" borderId="0" xfId="1" applyFont="1" applyFill="1" applyBorder="1"/>
    <xf numFmtId="168" fontId="6" fillId="3" borderId="0" xfId="2" applyNumberFormat="1" applyFont="1" applyFill="1"/>
    <xf numFmtId="43" fontId="6" fillId="3" borderId="0" xfId="1" applyFont="1" applyFill="1" applyBorder="1"/>
    <xf numFmtId="0" fontId="3" fillId="3" borderId="6" xfId="2" applyFill="1" applyBorder="1"/>
    <xf numFmtId="0" fontId="3" fillId="3" borderId="7" xfId="2" applyFill="1" applyBorder="1"/>
    <xf numFmtId="0" fontId="3" fillId="3" borderId="8" xfId="2" applyFill="1" applyBorder="1"/>
    <xf numFmtId="0" fontId="3" fillId="0" borderId="1" xfId="2" applyBorder="1"/>
    <xf numFmtId="164" fontId="11" fillId="2" borderId="0" xfId="3" applyNumberFormat="1" applyFont="1" applyFill="1" applyBorder="1" applyAlignment="1">
      <alignment horizontal="right"/>
    </xf>
    <xf numFmtId="165" fontId="9" fillId="2" borderId="0" xfId="4" applyNumberFormat="1" applyFont="1" applyFill="1" applyBorder="1"/>
    <xf numFmtId="43" fontId="12" fillId="2" borderId="0" xfId="3" applyFont="1" applyFill="1" applyBorder="1" applyAlignment="1">
      <alignment horizontal="right"/>
    </xf>
    <xf numFmtId="164" fontId="11" fillId="3" borderId="0" xfId="3" applyNumberFormat="1" applyFont="1" applyFill="1" applyBorder="1" applyAlignment="1">
      <alignment horizontal="right"/>
    </xf>
    <xf numFmtId="0" fontId="3" fillId="4" borderId="1" xfId="2" applyFill="1" applyBorder="1"/>
    <xf numFmtId="0" fontId="3" fillId="4" borderId="2" xfId="2" applyFill="1" applyBorder="1"/>
    <xf numFmtId="0" fontId="5" fillId="4" borderId="2" xfId="2" applyFont="1" applyFill="1" applyBorder="1"/>
    <xf numFmtId="0" fontId="3" fillId="4" borderId="3" xfId="2" applyFill="1" applyBorder="1"/>
    <xf numFmtId="0" fontId="3" fillId="4" borderId="4" xfId="2" applyFill="1" applyBorder="1"/>
    <xf numFmtId="0" fontId="3" fillId="4" borderId="0" xfId="2" applyFill="1"/>
    <xf numFmtId="0" fontId="5" fillId="4" borderId="0" xfId="2" applyFont="1" applyFill="1"/>
    <xf numFmtId="0" fontId="3" fillId="4" borderId="5" xfId="2" applyFill="1" applyBorder="1"/>
    <xf numFmtId="0" fontId="6" fillId="4" borderId="4" xfId="2" applyFont="1" applyFill="1" applyBorder="1"/>
    <xf numFmtId="0" fontId="6" fillId="4" borderId="0" xfId="2" applyFont="1" applyFill="1"/>
    <xf numFmtId="0" fontId="6" fillId="4" borderId="0" xfId="2" applyFont="1" applyFill="1" applyAlignment="1">
      <alignment horizontal="right"/>
    </xf>
    <xf numFmtId="0" fontId="7" fillId="4" borderId="0" xfId="2" applyFont="1" applyFill="1"/>
    <xf numFmtId="0" fontId="3" fillId="4" borderId="0" xfId="2" applyFill="1" applyAlignment="1">
      <alignment horizontal="right"/>
    </xf>
    <xf numFmtId="0" fontId="8" fillId="4" borderId="0" xfId="2" applyFont="1" applyFill="1"/>
    <xf numFmtId="164" fontId="0" fillId="4" borderId="0" xfId="3" applyNumberFormat="1" applyFont="1" applyFill="1" applyBorder="1" applyAlignment="1">
      <alignment horizontal="right"/>
    </xf>
    <xf numFmtId="165" fontId="8" fillId="4" borderId="0" xfId="4" applyNumberFormat="1" applyFont="1" applyFill="1" applyBorder="1"/>
    <xf numFmtId="164" fontId="6" fillId="4" borderId="0" xfId="2" applyNumberFormat="1" applyFont="1" applyFill="1"/>
    <xf numFmtId="166" fontId="0" fillId="4" borderId="0" xfId="3" applyNumberFormat="1" applyFont="1" applyFill="1" applyBorder="1"/>
    <xf numFmtId="0" fontId="10" fillId="4" borderId="4" xfId="5" applyFill="1" applyBorder="1"/>
    <xf numFmtId="166" fontId="13" fillId="4" borderId="0" xfId="3" applyNumberFormat="1" applyFont="1" applyFill="1" applyBorder="1"/>
    <xf numFmtId="167" fontId="3" fillId="4" borderId="0" xfId="2" applyNumberFormat="1" applyFill="1"/>
    <xf numFmtId="43" fontId="3" fillId="4" borderId="0" xfId="2" applyNumberFormat="1" applyFill="1"/>
    <xf numFmtId="168" fontId="6" fillId="4" borderId="0" xfId="2" applyNumberFormat="1" applyFont="1" applyFill="1"/>
    <xf numFmtId="0" fontId="3" fillId="4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1" xfId="2" applyFill="1" applyBorder="1"/>
    <xf numFmtId="0" fontId="3" fillId="5" borderId="2" xfId="2" applyFill="1" applyBorder="1"/>
    <xf numFmtId="0" fontId="5" fillId="5" borderId="2" xfId="2" applyFont="1" applyFill="1" applyBorder="1"/>
    <xf numFmtId="0" fontId="3" fillId="5" borderId="3" xfId="2" applyFill="1" applyBorder="1"/>
    <xf numFmtId="0" fontId="3" fillId="5" borderId="4" xfId="2" applyFill="1" applyBorder="1"/>
    <xf numFmtId="0" fontId="3" fillId="5" borderId="0" xfId="2" applyFill="1"/>
    <xf numFmtId="0" fontId="5" fillId="5" borderId="0" xfId="2" applyFont="1" applyFill="1"/>
    <xf numFmtId="0" fontId="3" fillId="5" borderId="5" xfId="2" applyFill="1" applyBorder="1"/>
    <xf numFmtId="0" fontId="6" fillId="5" borderId="4" xfId="2" applyFont="1" applyFill="1" applyBorder="1"/>
    <xf numFmtId="0" fontId="6" fillId="5" borderId="0" xfId="2" applyFont="1" applyFill="1"/>
    <xf numFmtId="0" fontId="6" fillId="5" borderId="0" xfId="2" applyFont="1" applyFill="1" applyAlignment="1">
      <alignment horizontal="right"/>
    </xf>
    <xf numFmtId="0" fontId="7" fillId="5" borderId="0" xfId="2" applyFont="1" applyFill="1"/>
    <xf numFmtId="0" fontId="3" fillId="5" borderId="0" xfId="2" applyFill="1" applyAlignment="1">
      <alignment horizontal="right"/>
    </xf>
    <xf numFmtId="0" fontId="8" fillId="5" borderId="0" xfId="2" applyFont="1" applyFill="1"/>
    <xf numFmtId="164" fontId="0" fillId="5" borderId="0" xfId="3" applyNumberFormat="1" applyFont="1" applyFill="1" applyBorder="1" applyAlignment="1">
      <alignment horizontal="right"/>
    </xf>
    <xf numFmtId="165" fontId="8" fillId="5" borderId="0" xfId="4" applyNumberFormat="1" applyFont="1" applyFill="1" applyBorder="1"/>
    <xf numFmtId="164" fontId="6" fillId="5" borderId="0" xfId="2" applyNumberFormat="1" applyFont="1" applyFill="1"/>
    <xf numFmtId="166" fontId="0" fillId="5" borderId="0" xfId="3" applyNumberFormat="1" applyFont="1" applyFill="1" applyBorder="1"/>
    <xf numFmtId="0" fontId="10" fillId="5" borderId="4" xfId="5" applyFill="1" applyBorder="1"/>
    <xf numFmtId="166" fontId="2" fillId="5" borderId="0" xfId="3" applyNumberFormat="1" applyFont="1" applyFill="1" applyBorder="1"/>
    <xf numFmtId="168" fontId="6" fillId="5" borderId="0" xfId="2" applyNumberFormat="1" applyFont="1" applyFill="1"/>
    <xf numFmtId="0" fontId="3" fillId="5" borderId="6" xfId="2" applyFill="1" applyBorder="1"/>
    <xf numFmtId="0" fontId="3" fillId="5" borderId="7" xfId="2" applyFill="1" applyBorder="1"/>
    <xf numFmtId="0" fontId="3" fillId="5" borderId="8" xfId="2" applyFill="1" applyBorder="1"/>
    <xf numFmtId="0" fontId="3" fillId="6" borderId="1" xfId="2" applyFill="1" applyBorder="1"/>
    <xf numFmtId="0" fontId="3" fillId="6" borderId="2" xfId="2" applyFill="1" applyBorder="1"/>
    <xf numFmtId="0" fontId="5" fillId="6" borderId="2" xfId="2" applyFont="1" applyFill="1" applyBorder="1"/>
    <xf numFmtId="0" fontId="3" fillId="6" borderId="3" xfId="2" applyFill="1" applyBorder="1"/>
    <xf numFmtId="0" fontId="3" fillId="6" borderId="4" xfId="2" applyFill="1" applyBorder="1"/>
    <xf numFmtId="0" fontId="3" fillId="6" borderId="0" xfId="2" applyFill="1"/>
    <xf numFmtId="0" fontId="5" fillId="6" borderId="0" xfId="2" applyFont="1" applyFill="1"/>
    <xf numFmtId="0" fontId="3" fillId="6" borderId="5" xfId="2" applyFill="1" applyBorder="1"/>
    <xf numFmtId="0" fontId="6" fillId="6" borderId="4" xfId="2" applyFont="1" applyFill="1" applyBorder="1"/>
    <xf numFmtId="0" fontId="6" fillId="6" borderId="0" xfId="2" applyFont="1" applyFill="1"/>
    <xf numFmtId="0" fontId="6" fillId="6" borderId="0" xfId="2" applyFont="1" applyFill="1" applyAlignment="1">
      <alignment horizontal="right"/>
    </xf>
    <xf numFmtId="0" fontId="7" fillId="6" borderId="0" xfId="2" applyFont="1" applyFill="1"/>
    <xf numFmtId="0" fontId="3" fillId="6" borderId="0" xfId="2" applyFill="1" applyAlignment="1">
      <alignment horizontal="right"/>
    </xf>
    <xf numFmtId="0" fontId="8" fillId="6" borderId="0" xfId="2" applyFont="1" applyFill="1"/>
    <xf numFmtId="164" fontId="0" fillId="6" borderId="0" xfId="3" applyNumberFormat="1" applyFont="1" applyFill="1" applyBorder="1" applyAlignment="1">
      <alignment horizontal="right"/>
    </xf>
    <xf numFmtId="165" fontId="8" fillId="6" borderId="0" xfId="4" applyNumberFormat="1" applyFont="1" applyFill="1" applyBorder="1"/>
    <xf numFmtId="164" fontId="6" fillId="6" borderId="0" xfId="2" applyNumberFormat="1" applyFont="1" applyFill="1"/>
    <xf numFmtId="166" fontId="0" fillId="6" borderId="0" xfId="3" applyNumberFormat="1" applyFont="1" applyFill="1" applyBorder="1"/>
    <xf numFmtId="0" fontId="10" fillId="6" borderId="4" xfId="5" applyFill="1" applyBorder="1"/>
    <xf numFmtId="166" fontId="2" fillId="6" borderId="0" xfId="3" applyNumberFormat="1" applyFont="1" applyFill="1" applyBorder="1"/>
    <xf numFmtId="168" fontId="6" fillId="6" borderId="0" xfId="2" applyNumberFormat="1" applyFont="1" applyFill="1"/>
    <xf numFmtId="0" fontId="3" fillId="6" borderId="6" xfId="2" applyFill="1" applyBorder="1"/>
    <xf numFmtId="0" fontId="3" fillId="6" borderId="7" xfId="2" applyFill="1" applyBorder="1"/>
    <xf numFmtId="0" fontId="3" fillId="6" borderId="8" xfId="2" applyFill="1" applyBorder="1"/>
    <xf numFmtId="166" fontId="6" fillId="6" borderId="0" xfId="2" applyNumberFormat="1" applyFont="1" applyFill="1"/>
    <xf numFmtId="43" fontId="3" fillId="6" borderId="0" xfId="2" applyNumberFormat="1" applyFill="1"/>
    <xf numFmtId="43" fontId="3" fillId="5" borderId="0" xfId="2" applyNumberFormat="1" applyFill="1"/>
    <xf numFmtId="0" fontId="3" fillId="7" borderId="0" xfId="2" applyFill="1"/>
    <xf numFmtId="43" fontId="3" fillId="7" borderId="0" xfId="1" applyFont="1" applyFill="1" applyBorder="1"/>
    <xf numFmtId="2" fontId="3" fillId="6" borderId="0" xfId="2" applyNumberFormat="1" applyFill="1"/>
    <xf numFmtId="43" fontId="3" fillId="7" borderId="0" xfId="2" applyNumberFormat="1" applyFill="1"/>
    <xf numFmtId="0" fontId="3" fillId="0" borderId="0" xfId="2" applyAlignment="1">
      <alignment wrapText="1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horizontal="right" vertical="center"/>
    </xf>
    <xf numFmtId="0" fontId="3" fillId="0" borderId="13" xfId="2" applyBorder="1"/>
    <xf numFmtId="0" fontId="3" fillId="8" borderId="1" xfId="2" applyFill="1" applyBorder="1"/>
    <xf numFmtId="0" fontId="3" fillId="8" borderId="2" xfId="2" applyFill="1" applyBorder="1"/>
    <xf numFmtId="0" fontId="5" fillId="8" borderId="2" xfId="2" applyFont="1" applyFill="1" applyBorder="1"/>
    <xf numFmtId="0" fontId="3" fillId="8" borderId="3" xfId="2" applyFill="1" applyBorder="1"/>
    <xf numFmtId="0" fontId="3" fillId="8" borderId="4" xfId="2" applyFill="1" applyBorder="1"/>
    <xf numFmtId="0" fontId="3" fillId="8" borderId="0" xfId="2" applyFill="1"/>
    <xf numFmtId="0" fontId="5" fillId="8" borderId="0" xfId="2" applyFont="1" applyFill="1"/>
    <xf numFmtId="0" fontId="3" fillId="8" borderId="5" xfId="2" applyFill="1" applyBorder="1"/>
    <xf numFmtId="0" fontId="6" fillId="8" borderId="4" xfId="2" applyFont="1" applyFill="1" applyBorder="1"/>
    <xf numFmtId="0" fontId="6" fillId="8" borderId="0" xfId="2" applyFont="1" applyFill="1"/>
    <xf numFmtId="0" fontId="6" fillId="8" borderId="0" xfId="2" applyFont="1" applyFill="1" applyAlignment="1">
      <alignment horizontal="right"/>
    </xf>
    <xf numFmtId="0" fontId="7" fillId="8" borderId="0" xfId="2" applyFont="1" applyFill="1"/>
    <xf numFmtId="0" fontId="3" fillId="8" borderId="0" xfId="2" applyFill="1" applyAlignment="1">
      <alignment horizontal="right"/>
    </xf>
    <xf numFmtId="0" fontId="8" fillId="8" borderId="0" xfId="2" applyFont="1" applyFill="1"/>
    <xf numFmtId="164" fontId="0" fillId="8" borderId="0" xfId="3" applyNumberFormat="1" applyFont="1" applyFill="1" applyBorder="1" applyAlignment="1">
      <alignment horizontal="right"/>
    </xf>
    <xf numFmtId="165" fontId="8" fillId="8" borderId="0" xfId="4" applyNumberFormat="1" applyFont="1" applyFill="1" applyBorder="1"/>
    <xf numFmtId="164" fontId="6" fillId="8" borderId="0" xfId="2" applyNumberFormat="1" applyFont="1" applyFill="1"/>
    <xf numFmtId="166" fontId="0" fillId="8" borderId="0" xfId="3" applyNumberFormat="1" applyFont="1" applyFill="1" applyBorder="1"/>
    <xf numFmtId="0" fontId="10" fillId="8" borderId="4" xfId="5" applyFill="1" applyBorder="1"/>
    <xf numFmtId="166" fontId="2" fillId="8" borderId="0" xfId="3" applyNumberFormat="1" applyFont="1" applyFill="1" applyBorder="1"/>
    <xf numFmtId="43" fontId="3" fillId="8" borderId="0" xfId="2" applyNumberFormat="1" applyFill="1"/>
    <xf numFmtId="2" fontId="3" fillId="8" borderId="0" xfId="2" applyNumberFormat="1" applyFill="1"/>
    <xf numFmtId="166" fontId="6" fillId="8" borderId="0" xfId="2" applyNumberFormat="1" applyFont="1" applyFill="1"/>
    <xf numFmtId="168" fontId="6" fillId="8" borderId="0" xfId="2" applyNumberFormat="1" applyFont="1" applyFill="1"/>
    <xf numFmtId="0" fontId="3" fillId="8" borderId="6" xfId="2" applyFill="1" applyBorder="1"/>
    <xf numFmtId="0" fontId="3" fillId="8" borderId="7" xfId="2" applyFill="1" applyBorder="1"/>
    <xf numFmtId="0" fontId="3" fillId="8" borderId="8" xfId="2" applyFill="1" applyBorder="1"/>
    <xf numFmtId="11" fontId="3" fillId="8" borderId="0" xfId="2" applyNumberFormat="1" applyFill="1"/>
    <xf numFmtId="0" fontId="3" fillId="9" borderId="1" xfId="2" applyFill="1" applyBorder="1"/>
    <xf numFmtId="0" fontId="3" fillId="9" borderId="2" xfId="2" applyFill="1" applyBorder="1"/>
    <xf numFmtId="0" fontId="5" fillId="9" borderId="2" xfId="2" applyFont="1" applyFill="1" applyBorder="1"/>
    <xf numFmtId="0" fontId="3" fillId="9" borderId="3" xfId="2" applyFill="1" applyBorder="1"/>
    <xf numFmtId="0" fontId="3" fillId="9" borderId="4" xfId="2" applyFill="1" applyBorder="1"/>
    <xf numFmtId="0" fontId="3" fillId="9" borderId="0" xfId="2" applyFill="1"/>
    <xf numFmtId="0" fontId="5" fillId="9" borderId="0" xfId="2" applyFont="1" applyFill="1"/>
    <xf numFmtId="0" fontId="3" fillId="9" borderId="5" xfId="2" applyFill="1" applyBorder="1"/>
    <xf numFmtId="0" fontId="6" fillId="9" borderId="4" xfId="2" applyFont="1" applyFill="1" applyBorder="1"/>
    <xf numFmtId="0" fontId="6" fillId="9" borderId="0" xfId="2" applyFont="1" applyFill="1"/>
    <xf numFmtId="0" fontId="6" fillId="9" borderId="0" xfId="2" applyFont="1" applyFill="1" applyAlignment="1">
      <alignment horizontal="right"/>
    </xf>
    <xf numFmtId="0" fontId="7" fillId="9" borderId="0" xfId="2" applyFont="1" applyFill="1"/>
    <xf numFmtId="0" fontId="3" fillId="9" borderId="0" xfId="2" applyFill="1" applyAlignment="1">
      <alignment horizontal="right"/>
    </xf>
    <xf numFmtId="0" fontId="8" fillId="9" borderId="0" xfId="2" applyFont="1" applyFill="1"/>
    <xf numFmtId="164" fontId="0" fillId="9" borderId="0" xfId="3" applyNumberFormat="1" applyFont="1" applyFill="1" applyBorder="1" applyAlignment="1">
      <alignment horizontal="right"/>
    </xf>
    <xf numFmtId="165" fontId="8" fillId="9" borderId="0" xfId="4" applyNumberFormat="1" applyFont="1" applyFill="1" applyBorder="1"/>
    <xf numFmtId="164" fontId="6" fillId="9" borderId="0" xfId="2" applyNumberFormat="1" applyFont="1" applyFill="1"/>
    <xf numFmtId="166" fontId="0" fillId="9" borderId="0" xfId="3" applyNumberFormat="1" applyFont="1" applyFill="1" applyBorder="1"/>
    <xf numFmtId="0" fontId="10" fillId="9" borderId="4" xfId="5" applyFill="1" applyBorder="1"/>
    <xf numFmtId="11" fontId="3" fillId="9" borderId="0" xfId="2" applyNumberFormat="1" applyFill="1"/>
    <xf numFmtId="166" fontId="2" fillId="9" borderId="0" xfId="3" applyNumberFormat="1" applyFont="1" applyFill="1" applyBorder="1"/>
    <xf numFmtId="43" fontId="3" fillId="9" borderId="0" xfId="2" applyNumberFormat="1" applyFill="1"/>
    <xf numFmtId="2" fontId="3" fillId="9" borderId="0" xfId="2" applyNumberFormat="1" applyFill="1"/>
    <xf numFmtId="166" fontId="6" fillId="9" borderId="0" xfId="2" applyNumberFormat="1" applyFont="1" applyFill="1"/>
    <xf numFmtId="168" fontId="6" fillId="9" borderId="0" xfId="2" applyNumberFormat="1" applyFont="1" applyFill="1"/>
    <xf numFmtId="0" fontId="3" fillId="9" borderId="6" xfId="2" applyFill="1" applyBorder="1"/>
    <xf numFmtId="0" fontId="3" fillId="9" borderId="7" xfId="2" applyFill="1" applyBorder="1"/>
    <xf numFmtId="0" fontId="3" fillId="9" borderId="8" xfId="2" applyFill="1" applyBorder="1"/>
    <xf numFmtId="11" fontId="3" fillId="3" borderId="0" xfId="2" applyNumberFormat="1" applyFill="1"/>
    <xf numFmtId="166" fontId="2" fillId="3" borderId="0" xfId="3" applyNumberFormat="1" applyFont="1" applyFill="1" applyBorder="1"/>
    <xf numFmtId="43" fontId="3" fillId="3" borderId="0" xfId="2" applyNumberFormat="1" applyFill="1"/>
    <xf numFmtId="2" fontId="3" fillId="3" borderId="0" xfId="2" applyNumberFormat="1" applyFill="1"/>
    <xf numFmtId="166" fontId="6" fillId="3" borderId="0" xfId="2" applyNumberFormat="1" applyFont="1" applyFill="1"/>
    <xf numFmtId="167" fontId="3" fillId="7" borderId="0" xfId="2" applyNumberFormat="1" applyFill="1"/>
    <xf numFmtId="164" fontId="0" fillId="7" borderId="0" xfId="3" applyNumberFormat="1" applyFont="1" applyFill="1" applyBorder="1" applyAlignment="1">
      <alignment horizontal="right"/>
    </xf>
    <xf numFmtId="43" fontId="3" fillId="2" borderId="0" xfId="2" applyNumberFormat="1" applyFill="1"/>
    <xf numFmtId="0" fontId="3" fillId="10" borderId="1" xfId="2" applyFill="1" applyBorder="1"/>
    <xf numFmtId="0" fontId="3" fillId="10" borderId="2" xfId="2" applyFill="1" applyBorder="1"/>
    <xf numFmtId="0" fontId="5" fillId="10" borderId="2" xfId="2" applyFont="1" applyFill="1" applyBorder="1"/>
    <xf numFmtId="0" fontId="3" fillId="10" borderId="3" xfId="2" applyFill="1" applyBorder="1"/>
    <xf numFmtId="0" fontId="3" fillId="10" borderId="4" xfId="2" applyFill="1" applyBorder="1"/>
    <xf numFmtId="0" fontId="3" fillId="10" borderId="0" xfId="2" applyFill="1"/>
    <xf numFmtId="0" fontId="5" fillId="10" borderId="0" xfId="2" applyFont="1" applyFill="1"/>
    <xf numFmtId="0" fontId="3" fillId="10" borderId="5" xfId="2" applyFill="1" applyBorder="1"/>
    <xf numFmtId="0" fontId="6" fillId="10" borderId="4" xfId="2" applyFont="1" applyFill="1" applyBorder="1"/>
    <xf numFmtId="0" fontId="6" fillId="10" borderId="0" xfId="2" applyFont="1" applyFill="1"/>
    <xf numFmtId="0" fontId="6" fillId="10" borderId="0" xfId="2" applyFont="1" applyFill="1" applyAlignment="1">
      <alignment horizontal="right"/>
    </xf>
    <xf numFmtId="0" fontId="7" fillId="10" borderId="0" xfId="2" applyFont="1" applyFill="1"/>
    <xf numFmtId="0" fontId="3" fillId="10" borderId="0" xfId="2" applyFill="1" applyAlignment="1">
      <alignment horizontal="right"/>
    </xf>
    <xf numFmtId="0" fontId="8" fillId="10" borderId="0" xfId="2" applyFont="1" applyFill="1"/>
    <xf numFmtId="164" fontId="0" fillId="10" borderId="0" xfId="3" applyNumberFormat="1" applyFont="1" applyFill="1" applyBorder="1" applyAlignment="1">
      <alignment horizontal="right"/>
    </xf>
    <xf numFmtId="165" fontId="8" fillId="10" borderId="0" xfId="4" applyNumberFormat="1" applyFont="1" applyFill="1" applyBorder="1"/>
    <xf numFmtId="164" fontId="6" fillId="10" borderId="0" xfId="2" applyNumberFormat="1" applyFont="1" applyFill="1"/>
    <xf numFmtId="166" fontId="0" fillId="10" borderId="0" xfId="3" applyNumberFormat="1" applyFont="1" applyFill="1" applyBorder="1"/>
    <xf numFmtId="167" fontId="3" fillId="10" borderId="0" xfId="2" applyNumberFormat="1" applyFill="1"/>
    <xf numFmtId="0" fontId="10" fillId="10" borderId="4" xfId="5" applyFill="1" applyBorder="1"/>
    <xf numFmtId="11" fontId="3" fillId="10" borderId="0" xfId="2" applyNumberFormat="1" applyFill="1"/>
    <xf numFmtId="166" fontId="2" fillId="10" borderId="0" xfId="3" applyNumberFormat="1" applyFont="1" applyFill="1" applyBorder="1"/>
    <xf numFmtId="43" fontId="3" fillId="10" borderId="0" xfId="2" applyNumberFormat="1" applyFill="1"/>
    <xf numFmtId="2" fontId="3" fillId="10" borderId="0" xfId="2" applyNumberFormat="1" applyFill="1"/>
    <xf numFmtId="166" fontId="6" fillId="10" borderId="0" xfId="2" applyNumberFormat="1" applyFont="1" applyFill="1"/>
    <xf numFmtId="168" fontId="6" fillId="10" borderId="0" xfId="2" applyNumberFormat="1" applyFont="1" applyFill="1"/>
    <xf numFmtId="0" fontId="3" fillId="10" borderId="6" xfId="2" applyFill="1" applyBorder="1"/>
    <xf numFmtId="0" fontId="3" fillId="10" borderId="7" xfId="2" applyFill="1" applyBorder="1"/>
    <xf numFmtId="0" fontId="3" fillId="10" borderId="8" xfId="2" applyFill="1" applyBorder="1"/>
    <xf numFmtId="0" fontId="3" fillId="11" borderId="1" xfId="2" applyFill="1" applyBorder="1"/>
    <xf numFmtId="0" fontId="3" fillId="11" borderId="2" xfId="2" applyFill="1" applyBorder="1"/>
    <xf numFmtId="0" fontId="5" fillId="11" borderId="2" xfId="2" applyFont="1" applyFill="1" applyBorder="1"/>
    <xf numFmtId="0" fontId="3" fillId="11" borderId="3" xfId="2" applyFill="1" applyBorder="1"/>
    <xf numFmtId="0" fontId="3" fillId="11" borderId="4" xfId="2" applyFill="1" applyBorder="1"/>
    <xf numFmtId="0" fontId="3" fillId="11" borderId="0" xfId="2" applyFill="1"/>
    <xf numFmtId="0" fontId="5" fillId="11" borderId="0" xfId="2" applyFont="1" applyFill="1"/>
    <xf numFmtId="0" fontId="3" fillId="11" borderId="5" xfId="2" applyFill="1" applyBorder="1"/>
    <xf numFmtId="0" fontId="6" fillId="11" borderId="4" xfId="2" applyFont="1" applyFill="1" applyBorder="1"/>
    <xf numFmtId="0" fontId="6" fillId="11" borderId="0" xfId="2" applyFont="1" applyFill="1"/>
    <xf numFmtId="0" fontId="6" fillId="11" borderId="0" xfId="2" applyFont="1" applyFill="1" applyAlignment="1">
      <alignment horizontal="right"/>
    </xf>
    <xf numFmtId="0" fontId="7" fillId="11" borderId="0" xfId="2" applyFont="1" applyFill="1"/>
    <xf numFmtId="0" fontId="3" fillId="11" borderId="0" xfId="2" applyFill="1" applyAlignment="1">
      <alignment horizontal="right"/>
    </xf>
    <xf numFmtId="0" fontId="8" fillId="11" borderId="0" xfId="2" applyFont="1" applyFill="1"/>
    <xf numFmtId="164" fontId="0" fillId="11" borderId="0" xfId="3" applyNumberFormat="1" applyFont="1" applyFill="1" applyBorder="1" applyAlignment="1">
      <alignment horizontal="right"/>
    </xf>
    <xf numFmtId="165" fontId="8" fillId="11" borderId="0" xfId="4" applyNumberFormat="1" applyFont="1" applyFill="1" applyBorder="1"/>
    <xf numFmtId="164" fontId="6" fillId="11" borderId="0" xfId="2" applyNumberFormat="1" applyFont="1" applyFill="1"/>
    <xf numFmtId="166" fontId="0" fillId="11" borderId="0" xfId="3" applyNumberFormat="1" applyFont="1" applyFill="1" applyBorder="1"/>
    <xf numFmtId="167" fontId="3" fillId="11" borderId="0" xfId="2" applyNumberFormat="1" applyFill="1"/>
    <xf numFmtId="0" fontId="10" fillId="11" borderId="4" xfId="5" applyFill="1" applyBorder="1"/>
    <xf numFmtId="11" fontId="3" fillId="11" borderId="0" xfId="2" applyNumberFormat="1" applyFill="1"/>
    <xf numFmtId="166" fontId="2" fillId="11" borderId="0" xfId="3" applyNumberFormat="1" applyFont="1" applyFill="1" applyBorder="1"/>
    <xf numFmtId="43" fontId="3" fillId="11" borderId="0" xfId="2" applyNumberFormat="1" applyFill="1"/>
    <xf numFmtId="2" fontId="3" fillId="11" borderId="0" xfId="2" applyNumberFormat="1" applyFill="1"/>
    <xf numFmtId="166" fontId="6" fillId="11" borderId="0" xfId="2" applyNumberFormat="1" applyFont="1" applyFill="1"/>
    <xf numFmtId="168" fontId="6" fillId="11" borderId="0" xfId="2" applyNumberFormat="1" applyFont="1" applyFill="1"/>
    <xf numFmtId="0" fontId="3" fillId="11" borderId="6" xfId="2" applyFill="1" applyBorder="1"/>
    <xf numFmtId="0" fontId="3" fillId="11" borderId="7" xfId="2" applyFill="1" applyBorder="1"/>
    <xf numFmtId="0" fontId="3" fillId="11" borderId="8" xfId="2" applyFill="1" applyBorder="1"/>
  </cellXfs>
  <cellStyles count="6">
    <cellStyle name="Comma" xfId="1" builtinId="3"/>
    <cellStyle name="Comma 2" xfId="3" xr:uid="{00000000-0005-0000-0000-000001000000}"/>
    <cellStyle name="Hyperlink" xfId="5" builtinId="8"/>
    <cellStyle name="Normal" xfId="0" builtinId="0"/>
    <cellStyle name="Normal 2" xfId="2" xr:uid="{00000000-0005-0000-0000-000004000000}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ia Vehikite" id="{AFFC8712-1737-4EF1-93A6-047839BE7CDC}" userId="S::Malia.Vehikite@kiwirail.co.nz::2e0d2faf-9974-49bd-bb7c-b534c954bbb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2" dT="2020-08-03T03:36:52.26" personId="{AFFC8712-1737-4EF1-93A6-047839BE7CDC}" id="{45738F65-6D33-4A7F-9E62-B4AEA8511713}">
    <text>MBIE Fuel Oil Properties, 2019</text>
  </threadedComment>
  <threadedComment ref="B243" dT="2020-08-03T03:36:52.26" personId="{AFFC8712-1737-4EF1-93A6-047839BE7CDC}" id="{BE6760B7-D0BF-41D4-8706-26590B963718}">
    <text>MBIE Fuel Oil Properties, 2019</text>
  </threadedComment>
  <threadedComment ref="C243" dT="2020-08-03T03:50:18.90" personId="{AFFC8712-1737-4EF1-93A6-047839BE7CDC}" id="{65A1E083-8A99-4444-B43D-F215CB5F3984}">
    <text>Includes Wairarapa passenger train fuel which is on-charged to Transdev WEL</text>
  </threadedComment>
  <threadedComment ref="E243" dT="2020-08-03T03:51:14.32" personId="{AFFC8712-1737-4EF1-93A6-047839BE7CDC}" id="{D95DB5FF-6272-4191-8AA3-71E24030B76F}">
    <text>No longer adding AT (Pukekohe) fuel here as AT contact was provided to EECA last year for AT to provide data going foward</text>
  </threadedComment>
  <threadedComment ref="B272" dT="2020-08-03T03:36:52.26" personId="{AFFC8712-1737-4EF1-93A6-047839BE7CDC}" id="{E1C7AB0C-371E-4D94-9F35-68D8CC5379A8}">
    <text>MBIE Fuel Oil Properties, 2019</text>
  </threadedComment>
  <threadedComment ref="B273" dT="2020-08-03T03:36:52.26" personId="{AFFC8712-1737-4EF1-93A6-047839BE7CDC}" id="{07B9C3FD-FF8E-417E-A700-0C12C055C424}">
    <text>MBIE Fuel Oil Properties, 2019</text>
  </threadedComment>
  <threadedComment ref="C273" dT="2020-08-03T03:50:18.90" personId="{AFFC8712-1737-4EF1-93A6-047839BE7CDC}" id="{A18893D6-91AA-4A0B-B7E1-221EAADF104E}">
    <text>Includes Wairarapa passenger train fuel which is on-charged to Transdev WEL</text>
  </threadedComment>
  <threadedComment ref="E273" dT="2020-08-03T03:51:14.32" personId="{AFFC8712-1737-4EF1-93A6-047839BE7CDC}" id="{D2D9E7C1-106E-404A-9BCE-BB09499479EA}">
    <text>No longer adding AT (Pukekohe) fuel here as AT contact was provided to EECA last year for AT to provide data going foward</text>
  </threadedComment>
  <threadedComment ref="C319" dT="2023-02-20T19:20:38.76" personId="{AFFC8712-1737-4EF1-93A6-047839BE7CDC}" id="{4C5BAE0B-8041-4B2B-A18F-098E0F42E5DD}">
    <text>Yellow highlighted - updated for PJ / TJ conversion</text>
  </threadedComment>
  <threadedComment ref="B329" dT="2020-08-03T03:36:52.26" personId="{AFFC8712-1737-4EF1-93A6-047839BE7CDC}" id="{0775B2C8-095F-431B-809E-E18E52A1036D}">
    <text>MBIE Fuel Oil Properties, 2019</text>
  </threadedComment>
  <threadedComment ref="C329" dT="2023-02-17T04:43:00.44" personId="{AFFC8712-1737-4EF1-93A6-047839BE7CDC}" id="{449C01DE-D772-4B9F-A030-F91C703A975F}">
    <text>Freight only fuel - excludes passenger and work train fuel</text>
  </threadedComment>
  <threadedComment ref="B330" dT="2020-08-03T03:36:52.26" personId="{AFFC8712-1737-4EF1-93A6-047839BE7CDC}" id="{6C6C7E0C-FBFF-48AA-B2EF-2FD3A7543DD5}">
    <text>MBIE Fuel Oil Properties, 2019</text>
  </threadedComment>
  <threadedComment ref="C330" dT="2020-08-03T03:50:18.90" personId="{AFFC8712-1737-4EF1-93A6-047839BE7CDC}" id="{9959959D-BD53-4F9A-840B-E9EEA3FE73BE}">
    <text>Includes Wairarapa passenger train fuel which is on-charged to Transdev WEL</text>
  </threadedComment>
  <threadedComment ref="C330" dT="2023-02-17T04:45:49.97" personId="{AFFC8712-1737-4EF1-93A6-047839BE7CDC}" id="{B228E9CC-1375-4F91-A8B9-E8A24A80C832}" parentId="{9959959D-BD53-4F9A-840B-E9EEA3FE73BE}">
    <text>Also includes Te Huia passenger train fuel which is on-charged to Waikato Regional Council</text>
  </threadedComment>
  <threadedComment ref="E330" dT="2020-08-03T03:51:14.32" personId="{AFFC8712-1737-4EF1-93A6-047839BE7CDC}" id="{6D6BD974-2ED3-42A9-B8E5-31D4BEE23D1C}">
    <text>No longer adding AT (Pukekohe) fuel here as AT contact was provided to EECA last year for AT to provide data going foward</text>
  </threadedComment>
  <threadedComment ref="C349" dT="2023-02-20T19:20:38.76" personId="{AFFC8712-1737-4EF1-93A6-047839BE7CDC}" id="{F8231E4D-169B-4A11-ADBB-98342FEC675B}">
    <text>Yellow highlighted - updated for PJ / TJ conversion</text>
  </threadedComment>
  <threadedComment ref="B359" dT="2020-08-03T03:36:52.26" personId="{AFFC8712-1737-4EF1-93A6-047839BE7CDC}" id="{B9524F14-066F-400B-8ACB-60A9E242EFE6}">
    <text>MBIE Fuel Oil Properties, 2019</text>
  </threadedComment>
  <threadedComment ref="C359" dT="2023-02-17T04:43:00.44" personId="{AFFC8712-1737-4EF1-93A6-047839BE7CDC}" id="{358CC477-5817-4A7C-8771-FA83D590F1B5}">
    <text>Freight only fuel - excludes passenger and work train fuel</text>
  </threadedComment>
  <threadedComment ref="B360" dT="2020-08-03T03:36:52.26" personId="{AFFC8712-1737-4EF1-93A6-047839BE7CDC}" id="{23117A18-46F8-4CC7-BE33-5152A4879D8D}">
    <text>MBIE Fuel Oil Properties, 2019</text>
  </threadedComment>
  <threadedComment ref="C360" dT="2024-02-19T08:54:44.69" personId="{AFFC8712-1737-4EF1-93A6-047839BE7CDC}" id="{247C3EE3-AE67-47CF-B0EF-DA4C777DEB25}">
    <text>Includes scenic, Capital Connection, Te Huia and Wairarapa.</text>
  </threadedComment>
  <threadedComment ref="E360" dT="2020-08-03T03:51:14.32" personId="{AFFC8712-1737-4EF1-93A6-047839BE7CDC}" id="{A1181686-8DE9-4FFD-840F-709A18A4FD62}" done="1">
    <text>No longer adding AT (Pukekohe) fuel here as AT contact was provided to EECA last year for AT to provide data going foward</text>
  </threadedComment>
  <threadedComment ref="C379" dT="2023-02-20T19:20:38.76" personId="{AFFC8712-1737-4EF1-93A6-047839BE7CDC}" id="{4FEA9275-ADDC-4487-A79A-BAB654A6481E}">
    <text>Yellow highlighted - updated for PJ / TJ conversion</text>
  </threadedComment>
  <threadedComment ref="B389" dT="2020-08-03T03:36:52.26" personId="{AFFC8712-1737-4EF1-93A6-047839BE7CDC}" id="{AA8EF130-F0FD-4509-9B47-9E2C53FAD70C}">
    <text>MBIE Fuel Oil Properties, 2019</text>
  </threadedComment>
  <threadedComment ref="C389" dT="2023-02-17T04:43:00.44" personId="{AFFC8712-1737-4EF1-93A6-047839BE7CDC}" id="{134AE7D6-A195-4EC1-AD2B-5618C5B566AD}">
    <text>Freight only fuel - excludes passenger and work train fuel</text>
  </threadedComment>
  <threadedComment ref="B390" dT="2020-08-03T03:36:52.26" personId="{AFFC8712-1737-4EF1-93A6-047839BE7CDC}" id="{97EE753D-5BFD-4153-8717-FA6AF87EE739}">
    <text>MBIE Fuel Oil Properties, 2019</text>
  </threadedComment>
  <threadedComment ref="C390" dT="2024-02-19T08:54:44.69" personId="{AFFC8712-1737-4EF1-93A6-047839BE7CDC}" id="{959EFF7C-B043-4B19-AFFB-F34563BF41A0}">
    <text>Includes scenic, Capital Connection, Te Huia and Wairarapa.</text>
  </threadedComment>
  <threadedComment ref="E390" dT="2020-08-03T03:51:14.32" personId="{AFFC8712-1737-4EF1-93A6-047839BE7CDC}" id="{3EB5F9BF-2103-48C1-957E-FC821292CA23}" done="1">
    <text>No longer adding AT (Pukekohe) fuel here as AT contact was provided to EECA last year for AT to provide data going foward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nvert-measurement-units.com/conversion-calculator.php?type=energy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convert-measurement-units.com/conversion-calculator.php?type=energy" TargetMode="External"/><Relationship Id="rId7" Type="http://schemas.openxmlformats.org/officeDocument/2006/relationships/hyperlink" Target="http://www.convert-measurement-units.com/conversion-calculator.php?type=energy" TargetMode="External"/><Relationship Id="rId12" Type="http://schemas.openxmlformats.org/officeDocument/2006/relationships/hyperlink" Target="http://www.convert-measurement-units.com/conversion-calculator.php?type=energy" TargetMode="External"/><Relationship Id="rId2" Type="http://schemas.openxmlformats.org/officeDocument/2006/relationships/hyperlink" Target="http://www.convert-measurement-units.com/conversion-calculator.php?type=energy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http://www.convert-measurement-units.com/conversion-calculator.php?type=energy" TargetMode="External"/><Relationship Id="rId6" Type="http://schemas.openxmlformats.org/officeDocument/2006/relationships/hyperlink" Target="http://www.convert-measurement-units.com/conversion-calculator.php?type=energy" TargetMode="External"/><Relationship Id="rId11" Type="http://schemas.openxmlformats.org/officeDocument/2006/relationships/hyperlink" Target="http://www.convert-measurement-units.com/conversion-calculator.php?type=energy" TargetMode="External"/><Relationship Id="rId5" Type="http://schemas.openxmlformats.org/officeDocument/2006/relationships/hyperlink" Target="http://www.convert-measurement-units.com/conversion-calculator.php?type=energy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://www.convert-measurement-units.com/conversion-calculator.php?type=energy" TargetMode="External"/><Relationship Id="rId4" Type="http://schemas.openxmlformats.org/officeDocument/2006/relationships/hyperlink" Target="http://www.convert-measurement-units.com/conversion-calculator.php?type=energy" TargetMode="External"/><Relationship Id="rId9" Type="http://schemas.openxmlformats.org/officeDocument/2006/relationships/hyperlink" Target="http://www.convert-measurement-units.com/conversion-calculator.php?type=energy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"/>
  <sheetViews>
    <sheetView tabSelected="1" topLeftCell="A362" workbookViewId="0">
      <selection activeCell="D370" sqref="D370"/>
    </sheetView>
  </sheetViews>
  <sheetFormatPr defaultColWidth="9.109375" defaultRowHeight="13.2" x14ac:dyDescent="0.25"/>
  <cols>
    <col min="1" max="1" width="50" style="4" customWidth="1"/>
    <col min="2" max="2" width="21.6640625" style="4" bestFit="1" customWidth="1"/>
    <col min="3" max="3" width="31.88671875" style="4" customWidth="1"/>
    <col min="4" max="4" width="30.5546875" style="4" bestFit="1" customWidth="1"/>
    <col min="5" max="5" width="16.5546875" style="4" customWidth="1"/>
    <col min="6" max="16384" width="9.109375" style="4"/>
  </cols>
  <sheetData>
    <row r="1" spans="1:6" ht="15.6" x14ac:dyDescent="0.3">
      <c r="A1" s="1" t="s">
        <v>0</v>
      </c>
      <c r="B1" s="2"/>
      <c r="C1" s="2"/>
      <c r="D1" s="2"/>
      <c r="E1" s="2"/>
      <c r="F1" s="3"/>
    </row>
    <row r="2" spans="1:6" ht="15.6" x14ac:dyDescent="0.3">
      <c r="A2" s="5"/>
      <c r="B2" s="6"/>
      <c r="C2" s="7" t="s">
        <v>1</v>
      </c>
      <c r="D2" s="6"/>
      <c r="E2" s="6"/>
      <c r="F2" s="8"/>
    </row>
    <row r="3" spans="1:6" ht="15.6" x14ac:dyDescent="0.3">
      <c r="A3" s="9"/>
      <c r="B3" s="10"/>
      <c r="C3" s="11" t="s">
        <v>2</v>
      </c>
      <c r="D3" s="10"/>
      <c r="E3" s="10"/>
      <c r="F3" s="12"/>
    </row>
    <row r="4" spans="1:6" x14ac:dyDescent="0.25">
      <c r="A4" s="9"/>
      <c r="B4" s="10"/>
      <c r="C4" s="10"/>
      <c r="D4" s="10"/>
      <c r="E4" s="10"/>
      <c r="F4" s="12"/>
    </row>
    <row r="5" spans="1:6" x14ac:dyDescent="0.25">
      <c r="A5" s="9"/>
      <c r="B5" s="10"/>
      <c r="C5" s="10"/>
      <c r="D5" s="10"/>
      <c r="E5" s="10"/>
      <c r="F5" s="12"/>
    </row>
    <row r="6" spans="1:6" x14ac:dyDescent="0.25">
      <c r="A6" s="13" t="s">
        <v>3</v>
      </c>
      <c r="B6" s="14" t="s">
        <v>4</v>
      </c>
      <c r="C6" s="15" t="s">
        <v>5</v>
      </c>
      <c r="D6" s="15" t="s">
        <v>6</v>
      </c>
      <c r="E6" s="16" t="s">
        <v>7</v>
      </c>
      <c r="F6" s="12"/>
    </row>
    <row r="7" spans="1:6" x14ac:dyDescent="0.25">
      <c r="A7" s="9"/>
      <c r="B7" s="10"/>
      <c r="C7" s="17"/>
      <c r="D7" s="17"/>
      <c r="E7" s="18"/>
      <c r="F7" s="12"/>
    </row>
    <row r="8" spans="1:6" ht="14.4" x14ac:dyDescent="0.3">
      <c r="A8" s="9" t="s">
        <v>8</v>
      </c>
      <c r="B8" s="10" t="s">
        <v>9</v>
      </c>
      <c r="C8" s="19">
        <v>24642.903935609324</v>
      </c>
      <c r="D8" s="19">
        <v>3942.8679607837089</v>
      </c>
      <c r="E8" s="20">
        <f>D8/C8</f>
        <v>0.16000013517425649</v>
      </c>
      <c r="F8" s="12"/>
    </row>
    <row r="9" spans="1:6" ht="14.4" x14ac:dyDescent="0.3">
      <c r="A9" s="9" t="s">
        <v>8</v>
      </c>
      <c r="B9" s="10" t="s">
        <v>10</v>
      </c>
      <c r="C9" s="19">
        <f>E25</f>
        <v>454.64282134591997</v>
      </c>
      <c r="D9" s="19">
        <f>C9*E9</f>
        <v>136.39284640377599</v>
      </c>
      <c r="E9" s="20">
        <v>0.3</v>
      </c>
      <c r="F9" s="12"/>
    </row>
    <row r="10" spans="1:6" ht="14.4" x14ac:dyDescent="0.3">
      <c r="A10" s="9" t="s">
        <v>8</v>
      </c>
      <c r="B10" s="10" t="s">
        <v>11</v>
      </c>
      <c r="C10" s="19">
        <f>E24</f>
        <v>2027.9925311055997</v>
      </c>
      <c r="D10" s="19">
        <f t="shared" ref="D10:D12" si="0">C10*E10</f>
        <v>608.39775933167994</v>
      </c>
      <c r="E10" s="20">
        <v>0.3</v>
      </c>
      <c r="F10" s="12"/>
    </row>
    <row r="11" spans="1:6" ht="14.4" x14ac:dyDescent="0.3">
      <c r="A11" s="9" t="s">
        <v>12</v>
      </c>
      <c r="B11" s="10" t="s">
        <v>10</v>
      </c>
      <c r="C11" s="21">
        <v>81.099999999999994</v>
      </c>
      <c r="D11" s="19">
        <f t="shared" si="0"/>
        <v>63.257999999999996</v>
      </c>
      <c r="E11" s="20">
        <v>0.78</v>
      </c>
      <c r="F11" s="12"/>
    </row>
    <row r="12" spans="1:6" ht="14.4" x14ac:dyDescent="0.3">
      <c r="A12" s="9" t="s">
        <v>12</v>
      </c>
      <c r="B12" s="10" t="s">
        <v>11</v>
      </c>
      <c r="C12" s="21">
        <v>135.5</v>
      </c>
      <c r="D12" s="19">
        <f t="shared" si="0"/>
        <v>123.30500000000001</v>
      </c>
      <c r="E12" s="20">
        <v>0.91</v>
      </c>
      <c r="F12" s="12"/>
    </row>
    <row r="13" spans="1:6" x14ac:dyDescent="0.25">
      <c r="A13" s="22"/>
      <c r="B13" s="23"/>
      <c r="C13" s="24">
        <f>SUM(C8:C10)</f>
        <v>27125.539288060841</v>
      </c>
      <c r="D13" s="24">
        <f>SUM(D8:D10)</f>
        <v>4687.6585665191651</v>
      </c>
      <c r="E13" s="23"/>
      <c r="F13" s="25"/>
    </row>
    <row r="14" spans="1:6" x14ac:dyDescent="0.25">
      <c r="A14" s="9"/>
      <c r="B14" s="10" t="s">
        <v>13</v>
      </c>
      <c r="C14" s="17" t="s">
        <v>14</v>
      </c>
      <c r="D14" s="10"/>
      <c r="E14" s="10"/>
      <c r="F14" s="12"/>
    </row>
    <row r="15" spans="1:6" ht="14.4" x14ac:dyDescent="0.3">
      <c r="A15" s="9" t="s">
        <v>15</v>
      </c>
      <c r="B15" s="26">
        <v>37641000</v>
      </c>
      <c r="C15" s="27">
        <f>B15/10^6*0.0036</f>
        <v>0.13550759999999998</v>
      </c>
      <c r="D15" s="230"/>
      <c r="E15" s="10"/>
      <c r="F15" s="12"/>
    </row>
    <row r="16" spans="1:6" ht="14.4" x14ac:dyDescent="0.3">
      <c r="A16" s="9" t="s">
        <v>16</v>
      </c>
      <c r="B16" s="26">
        <f>(22528816+22530000)/2</f>
        <v>22529408</v>
      </c>
      <c r="C16" s="28">
        <f>B16/10^6*0.0036</f>
        <v>8.1105868799999994E-2</v>
      </c>
      <c r="D16" s="10"/>
      <c r="E16" s="10"/>
      <c r="F16" s="12"/>
    </row>
    <row r="17" spans="1:6" x14ac:dyDescent="0.25">
      <c r="A17" s="13" t="s">
        <v>17</v>
      </c>
      <c r="B17" s="10"/>
      <c r="C17" s="29">
        <f>SUM(C15:C16)</f>
        <v>0.21661346879999999</v>
      </c>
      <c r="D17" s="10"/>
      <c r="E17" s="10"/>
      <c r="F17" s="12"/>
    </row>
    <row r="18" spans="1:6" x14ac:dyDescent="0.25">
      <c r="A18" s="30" t="s">
        <v>18</v>
      </c>
      <c r="B18" s="10"/>
      <c r="C18" s="10"/>
      <c r="D18" s="10"/>
      <c r="E18" s="10"/>
      <c r="F18" s="12"/>
    </row>
    <row r="19" spans="1:6" x14ac:dyDescent="0.25">
      <c r="A19" s="9"/>
      <c r="B19" s="10"/>
      <c r="C19" s="10"/>
      <c r="D19" s="10"/>
      <c r="E19" s="10"/>
      <c r="F19" s="12"/>
    </row>
    <row r="20" spans="1:6" x14ac:dyDescent="0.25">
      <c r="A20" s="9"/>
      <c r="B20" s="10"/>
      <c r="C20" s="10"/>
      <c r="D20" s="10"/>
      <c r="E20" s="10"/>
      <c r="F20" s="12"/>
    </row>
    <row r="21" spans="1:6" x14ac:dyDescent="0.25">
      <c r="A21" s="9"/>
      <c r="B21" s="10"/>
      <c r="C21" s="10"/>
      <c r="D21" s="10"/>
      <c r="E21" s="10"/>
      <c r="F21" s="12"/>
    </row>
    <row r="22" spans="1:6" x14ac:dyDescent="0.25">
      <c r="A22" s="9" t="s">
        <v>19</v>
      </c>
      <c r="B22" s="10"/>
      <c r="C22" s="10"/>
      <c r="D22" s="31" t="s">
        <v>20</v>
      </c>
      <c r="E22" s="18" t="s">
        <v>21</v>
      </c>
      <c r="F22" s="12"/>
    </row>
    <row r="23" spans="1:6" s="34" customFormat="1" x14ac:dyDescent="0.25">
      <c r="A23" s="32"/>
      <c r="B23" s="17" t="s">
        <v>22</v>
      </c>
      <c r="C23" s="17" t="s">
        <v>23</v>
      </c>
      <c r="D23" s="17" t="s">
        <v>24</v>
      </c>
      <c r="E23" s="17" t="s">
        <v>25</v>
      </c>
      <c r="F23" s="33"/>
    </row>
    <row r="24" spans="1:6" ht="14.4" x14ac:dyDescent="0.3">
      <c r="A24" s="9" t="s">
        <v>26</v>
      </c>
      <c r="B24" s="18">
        <v>3.8515519999999998E-8</v>
      </c>
      <c r="C24" s="26">
        <f>(52614350+52693460)/2</f>
        <v>52653905</v>
      </c>
      <c r="D24" s="28">
        <f>C24*B24</f>
        <v>2.0279925311055997</v>
      </c>
      <c r="E24" s="35">
        <f>D24*1000</f>
        <v>2027.9925311055997</v>
      </c>
      <c r="F24" s="12"/>
    </row>
    <row r="25" spans="1:6" ht="14.4" x14ac:dyDescent="0.3">
      <c r="A25" s="9" t="s">
        <v>27</v>
      </c>
      <c r="B25" s="18">
        <v>3.8515519999999998E-8</v>
      </c>
      <c r="C25" s="26">
        <f>(2816550+2991742)/2</f>
        <v>2904146</v>
      </c>
      <c r="D25" s="28">
        <f>C25*B25</f>
        <v>0.11185469334591999</v>
      </c>
      <c r="E25" s="10">
        <f>(D25*1000)+B30</f>
        <v>454.64282134591997</v>
      </c>
      <c r="F25" s="12"/>
    </row>
    <row r="26" spans="1:6" ht="14.4" x14ac:dyDescent="0.3">
      <c r="A26" s="22"/>
      <c r="B26" s="23"/>
      <c r="C26" s="36">
        <f>SUM(C24:C25)</f>
        <v>55558051</v>
      </c>
      <c r="D26" s="37">
        <f t="shared" ref="D26:E26" si="1">SUM(D24:D25)</f>
        <v>2.1398472244515196</v>
      </c>
      <c r="E26" s="38">
        <f t="shared" si="1"/>
        <v>2482.6353524515198</v>
      </c>
      <c r="F26" s="25"/>
    </row>
    <row r="27" spans="1:6" ht="14.4" x14ac:dyDescent="0.3">
      <c r="C27" s="39"/>
    </row>
    <row r="28" spans="1:6" ht="14.4" x14ac:dyDescent="0.3">
      <c r="A28" s="40" t="s">
        <v>28</v>
      </c>
      <c r="C28" s="39"/>
    </row>
    <row r="29" spans="1:6" x14ac:dyDescent="0.25">
      <c r="A29" s="40" t="s">
        <v>29</v>
      </c>
      <c r="B29" s="34" t="s">
        <v>25</v>
      </c>
      <c r="C29" s="34" t="s">
        <v>30</v>
      </c>
      <c r="D29" s="34" t="s">
        <v>31</v>
      </c>
      <c r="E29" s="157" t="s">
        <v>41</v>
      </c>
      <c r="F29" s="157" t="s">
        <v>42</v>
      </c>
    </row>
    <row r="30" spans="1:6" x14ac:dyDescent="0.25">
      <c r="A30" s="4" t="s">
        <v>32</v>
      </c>
      <c r="B30" s="34">
        <f>8.9*10^6*$B$25*1000</f>
        <v>342.78812799999997</v>
      </c>
      <c r="C30" s="41">
        <f>(D30/10^6)*10^6*$B$25*1000</f>
        <v>18.262476981283196</v>
      </c>
      <c r="D30" s="42">
        <v>474158.91</v>
      </c>
      <c r="E30" s="158">
        <v>527513.82999999996</v>
      </c>
      <c r="F30" s="160">
        <f>E30*$B$25*1000</f>
        <v>20.317469469641598</v>
      </c>
    </row>
    <row r="33" spans="1:9" ht="15.6" x14ac:dyDescent="0.3">
      <c r="A33" s="43"/>
      <c r="B33" s="44"/>
      <c r="C33" s="45" t="s">
        <v>1</v>
      </c>
      <c r="D33" s="44"/>
      <c r="E33" s="44"/>
      <c r="F33" s="46"/>
      <c r="I33" s="34">
        <f>8.9*10^6</f>
        <v>8900000</v>
      </c>
    </row>
    <row r="34" spans="1:9" ht="15.6" x14ac:dyDescent="0.3">
      <c r="A34" s="47"/>
      <c r="B34" s="48"/>
      <c r="C34" s="49" t="s">
        <v>33</v>
      </c>
      <c r="D34" s="48"/>
      <c r="E34" s="48"/>
      <c r="F34" s="50"/>
    </row>
    <row r="35" spans="1:9" x14ac:dyDescent="0.25">
      <c r="A35" s="47"/>
      <c r="B35" s="48"/>
      <c r="C35" s="48"/>
      <c r="D35" s="48"/>
      <c r="E35" s="48"/>
      <c r="F35" s="50"/>
    </row>
    <row r="36" spans="1:9" x14ac:dyDescent="0.25">
      <c r="A36" s="47"/>
      <c r="B36" s="48"/>
      <c r="C36" s="48"/>
      <c r="D36" s="48"/>
      <c r="E36" s="48"/>
      <c r="F36" s="50"/>
    </row>
    <row r="37" spans="1:9" x14ac:dyDescent="0.25">
      <c r="A37" s="51" t="s">
        <v>3</v>
      </c>
      <c r="B37" s="52" t="s">
        <v>4</v>
      </c>
      <c r="C37" s="53" t="s">
        <v>5</v>
      </c>
      <c r="D37" s="53" t="s">
        <v>6</v>
      </c>
      <c r="E37" s="54" t="s">
        <v>7</v>
      </c>
      <c r="F37" s="50"/>
      <c r="I37" s="4">
        <f>(D30/10^6)</f>
        <v>0.47415890999999999</v>
      </c>
    </row>
    <row r="38" spans="1:9" x14ac:dyDescent="0.25">
      <c r="A38" s="47"/>
      <c r="B38" s="48"/>
      <c r="C38" s="55"/>
      <c r="D38" s="55"/>
      <c r="E38" s="56"/>
      <c r="F38" s="50"/>
    </row>
    <row r="39" spans="1:9" ht="14.4" x14ac:dyDescent="0.3">
      <c r="A39" s="47" t="s">
        <v>8</v>
      </c>
      <c r="B39" s="48" t="s">
        <v>9</v>
      </c>
      <c r="C39" s="57">
        <v>24642.903935609324</v>
      </c>
      <c r="D39" s="57">
        <v>3942.8679607837089</v>
      </c>
      <c r="E39" s="58">
        <v>0.16</v>
      </c>
      <c r="F39" s="50"/>
    </row>
    <row r="40" spans="1:9" ht="14.4" x14ac:dyDescent="0.3">
      <c r="A40" s="47" t="s">
        <v>8</v>
      </c>
      <c r="B40" s="48" t="s">
        <v>10</v>
      </c>
      <c r="C40" s="57">
        <f>E57</f>
        <v>448.93538206789117</v>
      </c>
      <c r="D40" s="57">
        <f>C40*E40</f>
        <v>134.68061462036735</v>
      </c>
      <c r="E40" s="58">
        <v>0.3</v>
      </c>
      <c r="F40" s="50"/>
    </row>
    <row r="41" spans="1:9" ht="14.4" x14ac:dyDescent="0.3">
      <c r="A41" s="47" t="s">
        <v>8</v>
      </c>
      <c r="B41" s="48" t="s">
        <v>11</v>
      </c>
      <c r="C41" s="57">
        <f>E56</f>
        <v>1984.8324017394602</v>
      </c>
      <c r="D41" s="57">
        <f t="shared" ref="D41:D43" si="2">C41*E41</f>
        <v>595.449720521838</v>
      </c>
      <c r="E41" s="58">
        <v>0.3</v>
      </c>
      <c r="F41" s="50"/>
    </row>
    <row r="42" spans="1:9" ht="14.4" x14ac:dyDescent="0.3">
      <c r="A42" s="47" t="s">
        <v>12</v>
      </c>
      <c r="B42" s="48" t="s">
        <v>10</v>
      </c>
      <c r="C42" s="59">
        <v>85.45</v>
      </c>
      <c r="D42" s="57">
        <f t="shared" si="2"/>
        <v>66.65100000000001</v>
      </c>
      <c r="E42" s="58">
        <v>0.78</v>
      </c>
      <c r="F42" s="50"/>
    </row>
    <row r="43" spans="1:9" ht="14.4" x14ac:dyDescent="0.3">
      <c r="A43" s="47" t="s">
        <v>12</v>
      </c>
      <c r="B43" s="48" t="s">
        <v>11</v>
      </c>
      <c r="C43" s="57">
        <v>128.30000000000001</v>
      </c>
      <c r="D43" s="57">
        <f t="shared" si="2"/>
        <v>116.75300000000001</v>
      </c>
      <c r="E43" s="58">
        <v>0.91</v>
      </c>
      <c r="F43" s="50"/>
    </row>
    <row r="44" spans="1:9" x14ac:dyDescent="0.25">
      <c r="A44" s="47"/>
      <c r="B44" s="48"/>
      <c r="C44" s="60"/>
      <c r="D44" s="60"/>
      <c r="E44" s="48"/>
      <c r="F44" s="50"/>
    </row>
    <row r="45" spans="1:9" x14ac:dyDescent="0.25">
      <c r="A45" s="47"/>
      <c r="B45" s="48"/>
      <c r="C45" s="48"/>
      <c r="D45" s="48"/>
      <c r="E45" s="48"/>
      <c r="F45" s="50"/>
    </row>
    <row r="46" spans="1:9" x14ac:dyDescent="0.25">
      <c r="A46" s="47"/>
      <c r="B46" s="48" t="s">
        <v>13</v>
      </c>
      <c r="C46" s="55" t="s">
        <v>14</v>
      </c>
      <c r="D46" s="48"/>
      <c r="E46" s="48"/>
      <c r="F46" s="50"/>
    </row>
    <row r="47" spans="1:9" ht="14.4" x14ac:dyDescent="0.3">
      <c r="A47" s="47" t="s">
        <v>15</v>
      </c>
      <c r="B47" s="61">
        <v>35642045</v>
      </c>
      <c r="C47" s="62">
        <f>B47/10^6*0.0036</f>
        <v>0.12831136200000001</v>
      </c>
      <c r="D47" s="48"/>
      <c r="E47" s="48"/>
      <c r="F47" s="50"/>
    </row>
    <row r="48" spans="1:9" ht="14.4" x14ac:dyDescent="0.3">
      <c r="A48" s="47" t="s">
        <v>16</v>
      </c>
      <c r="B48" s="61">
        <f>(21484734+22530000)/2</f>
        <v>22007367</v>
      </c>
      <c r="C48" s="62">
        <f>B48/10^6*0.0036</f>
        <v>7.9226521199999997E-2</v>
      </c>
      <c r="D48" s="48"/>
      <c r="E48" s="48"/>
      <c r="F48" s="50"/>
    </row>
    <row r="49" spans="1:6" x14ac:dyDescent="0.25">
      <c r="A49" s="51" t="s">
        <v>17</v>
      </c>
      <c r="B49" s="48"/>
      <c r="C49" s="63">
        <f>SUM(C47:C48)</f>
        <v>0.2075378832</v>
      </c>
      <c r="D49" s="48"/>
      <c r="E49" s="48"/>
      <c r="F49" s="50"/>
    </row>
    <row r="50" spans="1:6" x14ac:dyDescent="0.25">
      <c r="A50" s="64" t="s">
        <v>18</v>
      </c>
      <c r="B50" s="48"/>
      <c r="C50" s="48"/>
      <c r="D50" s="48"/>
      <c r="E50" s="48"/>
      <c r="F50" s="50"/>
    </row>
    <row r="51" spans="1:6" x14ac:dyDescent="0.25">
      <c r="A51" s="47"/>
      <c r="B51" s="48"/>
      <c r="C51" s="48"/>
      <c r="D51" s="48"/>
      <c r="E51" s="48"/>
      <c r="F51" s="50"/>
    </row>
    <row r="52" spans="1:6" x14ac:dyDescent="0.25">
      <c r="A52" s="47"/>
      <c r="B52" s="48"/>
      <c r="C52" s="48"/>
      <c r="D52" s="48"/>
      <c r="E52" s="48"/>
      <c r="F52" s="50"/>
    </row>
    <row r="53" spans="1:6" x14ac:dyDescent="0.25">
      <c r="A53" s="47"/>
      <c r="B53" s="48"/>
      <c r="C53" s="48"/>
      <c r="D53" s="65" t="s">
        <v>20</v>
      </c>
      <c r="E53" s="56" t="s">
        <v>21</v>
      </c>
      <c r="F53" s="50"/>
    </row>
    <row r="54" spans="1:6" x14ac:dyDescent="0.25">
      <c r="A54" s="47" t="s">
        <v>19</v>
      </c>
      <c r="B54" s="48"/>
      <c r="C54" s="48"/>
      <c r="D54" s="48"/>
      <c r="E54" s="48"/>
      <c r="F54" s="50"/>
    </row>
    <row r="55" spans="1:6" s="34" customFormat="1" x14ac:dyDescent="0.25">
      <c r="A55" s="66"/>
      <c r="B55" s="55" t="s">
        <v>22</v>
      </c>
      <c r="C55" s="55" t="s">
        <v>23</v>
      </c>
      <c r="D55" s="55" t="s">
        <v>24</v>
      </c>
      <c r="E55" s="55" t="s">
        <v>25</v>
      </c>
      <c r="F55" s="67"/>
    </row>
    <row r="56" spans="1:6" ht="14.4" x14ac:dyDescent="0.3">
      <c r="A56" s="47" t="s">
        <v>26</v>
      </c>
      <c r="B56" s="56">
        <v>3.8515519999999998E-8</v>
      </c>
      <c r="C56" s="61">
        <v>51533314.407788351</v>
      </c>
      <c r="D56" s="68">
        <f>C56*B56</f>
        <v>1.9848324017394603</v>
      </c>
      <c r="E56" s="69">
        <f>D56*1000</f>
        <v>1984.8324017394602</v>
      </c>
      <c r="F56" s="50"/>
    </row>
    <row r="57" spans="1:6" ht="14.4" x14ac:dyDescent="0.3">
      <c r="A57" s="47" t="s">
        <v>34</v>
      </c>
      <c r="B57" s="56">
        <v>3.8515519999999998E-8</v>
      </c>
      <c r="C57" s="61">
        <v>2755960.5599999996</v>
      </c>
      <c r="D57" s="68">
        <f>C57*B57</f>
        <v>0.10614725406789118</v>
      </c>
      <c r="E57" s="69">
        <f>(D57*1000)+B30</f>
        <v>448.93538206789117</v>
      </c>
      <c r="F57" s="50"/>
    </row>
    <row r="58" spans="1:6" x14ac:dyDescent="0.25">
      <c r="A58" s="47"/>
      <c r="B58" s="48"/>
      <c r="C58" s="70">
        <f>SUM(C56:C57)</f>
        <v>54289274.967788354</v>
      </c>
      <c r="D58" s="70">
        <f t="shared" ref="D58:E58" si="3">SUM(D56:D57)</f>
        <v>2.0909796558073515</v>
      </c>
      <c r="E58" s="71">
        <f t="shared" si="3"/>
        <v>2433.7677838073514</v>
      </c>
      <c r="F58" s="50"/>
    </row>
    <row r="59" spans="1:6" x14ac:dyDescent="0.25">
      <c r="A59" s="72"/>
      <c r="B59" s="73"/>
      <c r="C59" s="73"/>
      <c r="D59" s="73"/>
      <c r="E59" s="73"/>
      <c r="F59" s="74"/>
    </row>
    <row r="65" spans="1:6" x14ac:dyDescent="0.25">
      <c r="A65" s="75"/>
      <c r="B65" s="2"/>
      <c r="C65" s="2"/>
      <c r="D65" s="2"/>
      <c r="E65" s="2"/>
      <c r="F65" s="3"/>
    </row>
    <row r="66" spans="1:6" ht="15.6" x14ac:dyDescent="0.3">
      <c r="A66" s="5"/>
      <c r="B66" s="6"/>
      <c r="C66" s="7" t="s">
        <v>1</v>
      </c>
      <c r="D66" s="6"/>
      <c r="E66" s="6"/>
      <c r="F66" s="8"/>
    </row>
    <row r="67" spans="1:6" ht="15.6" x14ac:dyDescent="0.3">
      <c r="A67" s="9"/>
      <c r="B67" s="10"/>
      <c r="C67" s="11" t="s">
        <v>35</v>
      </c>
      <c r="D67" s="10"/>
      <c r="E67" s="10"/>
      <c r="F67" s="12"/>
    </row>
    <row r="68" spans="1:6" x14ac:dyDescent="0.25">
      <c r="A68" s="9"/>
      <c r="B68" s="10"/>
      <c r="C68" s="10"/>
      <c r="D68" s="10"/>
      <c r="E68" s="10"/>
      <c r="F68" s="12"/>
    </row>
    <row r="69" spans="1:6" x14ac:dyDescent="0.25">
      <c r="A69" s="9"/>
      <c r="B69" s="10"/>
      <c r="C69" s="10"/>
      <c r="D69" s="10"/>
      <c r="E69" s="10"/>
      <c r="F69" s="12"/>
    </row>
    <row r="70" spans="1:6" x14ac:dyDescent="0.25">
      <c r="A70" s="13" t="s">
        <v>3</v>
      </c>
      <c r="B70" s="14" t="s">
        <v>4</v>
      </c>
      <c r="C70" s="15" t="s">
        <v>5</v>
      </c>
      <c r="D70" s="15" t="s">
        <v>6</v>
      </c>
      <c r="E70" s="16" t="s">
        <v>7</v>
      </c>
      <c r="F70" s="12"/>
    </row>
    <row r="71" spans="1:6" x14ac:dyDescent="0.25">
      <c r="A71" s="9"/>
      <c r="B71" s="10"/>
      <c r="C71" s="17"/>
      <c r="D71" s="17"/>
      <c r="E71" s="18"/>
      <c r="F71" s="12"/>
    </row>
    <row r="72" spans="1:6" ht="14.4" x14ac:dyDescent="0.3">
      <c r="A72" s="9" t="s">
        <v>8</v>
      </c>
      <c r="B72" s="10" t="s">
        <v>9</v>
      </c>
      <c r="C72" s="76">
        <f>C39</f>
        <v>24642.903935609324</v>
      </c>
      <c r="D72" s="76">
        <f>D39</f>
        <v>3942.8679607837089</v>
      </c>
      <c r="E72" s="77">
        <f>D72/C72</f>
        <v>0.16000013517425649</v>
      </c>
      <c r="F72" s="12"/>
    </row>
    <row r="73" spans="1:6" ht="14.4" x14ac:dyDescent="0.3">
      <c r="A73" s="9" t="s">
        <v>8</v>
      </c>
      <c r="B73" s="10" t="s">
        <v>10</v>
      </c>
      <c r="C73" s="19">
        <f>E89</f>
        <v>446.06234009999997</v>
      </c>
      <c r="D73" s="19">
        <f>C73*E73</f>
        <v>133.81870203</v>
      </c>
      <c r="E73" s="20">
        <v>0.3</v>
      </c>
      <c r="F73" s="12"/>
    </row>
    <row r="74" spans="1:6" ht="14.4" x14ac:dyDescent="0.3">
      <c r="A74" s="9" t="s">
        <v>8</v>
      </c>
      <c r="B74" s="10" t="s">
        <v>11</v>
      </c>
      <c r="C74" s="19">
        <f>E88</f>
        <v>1809.3243153999999</v>
      </c>
      <c r="D74" s="19">
        <f t="shared" ref="D74:D76" si="4">C74*E74</f>
        <v>542.79729462</v>
      </c>
      <c r="E74" s="20">
        <v>0.3</v>
      </c>
      <c r="F74" s="12"/>
    </row>
    <row r="75" spans="1:6" ht="14.4" x14ac:dyDescent="0.3">
      <c r="A75" s="9" t="s">
        <v>12</v>
      </c>
      <c r="B75" s="10" t="s">
        <v>10</v>
      </c>
      <c r="C75" s="78">
        <v>88.248000000000005</v>
      </c>
      <c r="D75" s="19">
        <f t="shared" si="4"/>
        <v>68.83344000000001</v>
      </c>
      <c r="E75" s="20">
        <v>0.78</v>
      </c>
      <c r="F75" s="12"/>
    </row>
    <row r="76" spans="1:6" ht="14.4" x14ac:dyDescent="0.3">
      <c r="A76" s="9" t="s">
        <v>12</v>
      </c>
      <c r="B76" s="10" t="s">
        <v>11</v>
      </c>
      <c r="C76" s="78">
        <v>120.783</v>
      </c>
      <c r="D76" s="19">
        <f t="shared" si="4"/>
        <v>109.91253</v>
      </c>
      <c r="E76" s="20">
        <v>0.91</v>
      </c>
      <c r="F76" s="12"/>
    </row>
    <row r="77" spans="1:6" x14ac:dyDescent="0.25">
      <c r="A77" s="22"/>
      <c r="B77" s="23"/>
      <c r="C77" s="24">
        <f>SUM(C72:C74)</f>
        <v>26898.290591109326</v>
      </c>
      <c r="D77" s="24">
        <f>SUM(D72:D74)</f>
        <v>4619.4839574337093</v>
      </c>
      <c r="E77" s="23"/>
      <c r="F77" s="25"/>
    </row>
    <row r="78" spans="1:6" x14ac:dyDescent="0.25">
      <c r="A78" s="9"/>
      <c r="B78" s="17" t="s">
        <v>13</v>
      </c>
      <c r="C78" s="17" t="s">
        <v>14</v>
      </c>
      <c r="D78" s="10"/>
      <c r="E78" s="10"/>
      <c r="F78" s="12"/>
    </row>
    <row r="79" spans="1:6" ht="14.4" x14ac:dyDescent="0.3">
      <c r="A79" s="9" t="s">
        <v>15</v>
      </c>
      <c r="B79" s="26">
        <v>33550846</v>
      </c>
      <c r="C79" s="27">
        <f>B79/10^6*0.0036</f>
        <v>0.1207830456</v>
      </c>
      <c r="D79" s="10"/>
      <c r="E79" s="10"/>
      <c r="F79" s="12"/>
    </row>
    <row r="80" spans="1:6" ht="14.4" x14ac:dyDescent="0.3">
      <c r="A80" s="9" t="s">
        <v>16</v>
      </c>
      <c r="B80" s="26">
        <v>24513414</v>
      </c>
      <c r="C80" s="28">
        <f>B80/10^6*0.0036</f>
        <v>8.8248290399999998E-2</v>
      </c>
      <c r="D80" s="10"/>
      <c r="E80" s="10"/>
      <c r="F80" s="12"/>
    </row>
    <row r="81" spans="1:6" x14ac:dyDescent="0.25">
      <c r="A81" s="13" t="s">
        <v>17</v>
      </c>
      <c r="B81" s="10"/>
      <c r="C81" s="29">
        <f>SUM(C79:C80)</f>
        <v>0.20903133600000001</v>
      </c>
      <c r="D81" s="10"/>
      <c r="E81" s="10"/>
      <c r="F81" s="12"/>
    </row>
    <row r="82" spans="1:6" x14ac:dyDescent="0.25">
      <c r="A82" s="30" t="s">
        <v>18</v>
      </c>
      <c r="B82" s="10"/>
      <c r="C82" s="10"/>
      <c r="D82" s="10"/>
      <c r="E82" s="10"/>
      <c r="F82" s="12"/>
    </row>
    <row r="83" spans="1:6" x14ac:dyDescent="0.25">
      <c r="A83" s="9"/>
      <c r="B83" s="10"/>
      <c r="C83" s="10"/>
      <c r="D83" s="10"/>
      <c r="E83" s="10"/>
      <c r="F83" s="12"/>
    </row>
    <row r="84" spans="1:6" x14ac:dyDescent="0.25">
      <c r="A84" s="9"/>
      <c r="B84" s="10"/>
      <c r="C84" s="10"/>
      <c r="D84" s="10"/>
      <c r="E84" s="10"/>
      <c r="F84" s="12"/>
    </row>
    <row r="85" spans="1:6" x14ac:dyDescent="0.25">
      <c r="A85" s="9"/>
      <c r="B85" s="10"/>
      <c r="C85" s="10"/>
      <c r="D85" s="65" t="s">
        <v>20</v>
      </c>
      <c r="E85" s="56" t="s">
        <v>21</v>
      </c>
      <c r="F85" s="12"/>
    </row>
    <row r="86" spans="1:6" x14ac:dyDescent="0.25">
      <c r="A86" s="9" t="s">
        <v>19</v>
      </c>
      <c r="B86" s="10"/>
      <c r="C86" s="10"/>
      <c r="D86" s="10"/>
      <c r="E86" s="10"/>
      <c r="F86" s="12"/>
    </row>
    <row r="87" spans="1:6" x14ac:dyDescent="0.25">
      <c r="A87" s="9"/>
      <c r="B87" s="17" t="s">
        <v>22</v>
      </c>
      <c r="C87" s="17" t="s">
        <v>23</v>
      </c>
      <c r="D87" s="17" t="s">
        <v>24</v>
      </c>
      <c r="E87" s="17" t="s">
        <v>25</v>
      </c>
      <c r="F87" s="12"/>
    </row>
    <row r="88" spans="1:6" ht="14.4" x14ac:dyDescent="0.3">
      <c r="A88" s="9" t="s">
        <v>26</v>
      </c>
      <c r="B88" s="10">
        <v>3.5899999999999997E-8</v>
      </c>
      <c r="C88" s="26">
        <v>50399006</v>
      </c>
      <c r="D88" s="28">
        <f>C88*B88</f>
        <v>1.8093243153999998</v>
      </c>
      <c r="E88" s="35">
        <f>D88*1000</f>
        <v>1809.3243153999999</v>
      </c>
      <c r="F88" s="12"/>
    </row>
    <row r="89" spans="1:6" ht="14.4" x14ac:dyDescent="0.3">
      <c r="A89" s="9" t="s">
        <v>27</v>
      </c>
      <c r="B89" s="10">
        <v>3.5899999999999997E-8</v>
      </c>
      <c r="C89" s="26">
        <v>2876719</v>
      </c>
      <c r="D89" s="28">
        <f>C89*B89</f>
        <v>0.1032742121</v>
      </c>
      <c r="E89" s="10">
        <f>(D89*1000)+B30</f>
        <v>446.06234009999997</v>
      </c>
      <c r="F89" s="12"/>
    </row>
    <row r="90" spans="1:6" ht="14.4" x14ac:dyDescent="0.3">
      <c r="A90" s="22"/>
      <c r="B90" s="23"/>
      <c r="C90" s="36">
        <f>SUM(C88:C89)</f>
        <v>53275725</v>
      </c>
      <c r="D90" s="37">
        <f t="shared" ref="D90:E90" si="5">SUM(D88:D89)</f>
        <v>1.9125985274999999</v>
      </c>
      <c r="E90" s="38">
        <f t="shared" si="5"/>
        <v>2255.3866555</v>
      </c>
      <c r="F90" s="25"/>
    </row>
    <row r="91" spans="1:6" ht="14.4" x14ac:dyDescent="0.3">
      <c r="C91" s="39"/>
    </row>
    <row r="92" spans="1:6" ht="14.4" x14ac:dyDescent="0.3">
      <c r="A92" s="40"/>
      <c r="C92" s="39"/>
    </row>
    <row r="93" spans="1:6" ht="14.4" x14ac:dyDescent="0.3">
      <c r="A93" s="40"/>
      <c r="B93" s="34"/>
      <c r="C93" s="39"/>
    </row>
    <row r="94" spans="1:6" ht="14.4" x14ac:dyDescent="0.3">
      <c r="B94" s="34"/>
      <c r="C94" s="39"/>
    </row>
    <row r="97" spans="1:6" ht="15.6" x14ac:dyDescent="0.3">
      <c r="A97" s="43"/>
      <c r="B97" s="44"/>
      <c r="C97" s="45" t="s">
        <v>1</v>
      </c>
      <c r="D97" s="44"/>
      <c r="E97" s="44"/>
      <c r="F97" s="46"/>
    </row>
    <row r="98" spans="1:6" ht="15.6" x14ac:dyDescent="0.3">
      <c r="A98" s="47"/>
      <c r="B98" s="48"/>
      <c r="C98" s="49" t="s">
        <v>36</v>
      </c>
      <c r="D98" s="48"/>
      <c r="E98" s="48"/>
      <c r="F98" s="50"/>
    </row>
    <row r="99" spans="1:6" x14ac:dyDescent="0.25">
      <c r="A99" s="47"/>
      <c r="B99" s="48"/>
      <c r="C99" s="48"/>
      <c r="D99" s="48"/>
      <c r="E99" s="48"/>
      <c r="F99" s="50"/>
    </row>
    <row r="100" spans="1:6" x14ac:dyDescent="0.25">
      <c r="A100" s="47"/>
      <c r="B100" s="48"/>
      <c r="C100" s="48"/>
      <c r="D100" s="48"/>
      <c r="E100" s="48"/>
      <c r="F100" s="50"/>
    </row>
    <row r="101" spans="1:6" x14ac:dyDescent="0.25">
      <c r="A101" s="51" t="s">
        <v>3</v>
      </c>
      <c r="B101" s="52" t="s">
        <v>4</v>
      </c>
      <c r="C101" s="53" t="s">
        <v>5</v>
      </c>
      <c r="D101" s="53" t="s">
        <v>6</v>
      </c>
      <c r="E101" s="54" t="s">
        <v>7</v>
      </c>
      <c r="F101" s="50"/>
    </row>
    <row r="102" spans="1:6" x14ac:dyDescent="0.25">
      <c r="A102" s="47"/>
      <c r="B102" s="48"/>
      <c r="C102" s="55"/>
      <c r="D102" s="55"/>
      <c r="E102" s="56"/>
      <c r="F102" s="50"/>
    </row>
    <row r="103" spans="1:6" ht="14.4" x14ac:dyDescent="0.3">
      <c r="A103" s="47" t="s">
        <v>8</v>
      </c>
      <c r="B103" s="48" t="s">
        <v>9</v>
      </c>
      <c r="C103" s="79">
        <f>C39</f>
        <v>24642.903935609324</v>
      </c>
      <c r="D103" s="79">
        <f>D39</f>
        <v>3942.8679607837089</v>
      </c>
      <c r="E103" s="58">
        <v>0.16</v>
      </c>
      <c r="F103" s="50"/>
    </row>
    <row r="104" spans="1:6" ht="14.4" x14ac:dyDescent="0.3">
      <c r="A104" s="47" t="s">
        <v>8</v>
      </c>
      <c r="B104" s="48" t="s">
        <v>10</v>
      </c>
      <c r="C104" s="57">
        <f>E121</f>
        <v>446.16946569999993</v>
      </c>
      <c r="D104" s="57">
        <f>C104*E104</f>
        <v>133.85083970999997</v>
      </c>
      <c r="E104" s="58">
        <v>0.3</v>
      </c>
      <c r="F104" s="50"/>
    </row>
    <row r="105" spans="1:6" ht="14.4" x14ac:dyDescent="0.3">
      <c r="A105" s="47" t="s">
        <v>8</v>
      </c>
      <c r="B105" s="48" t="s">
        <v>11</v>
      </c>
      <c r="C105" s="57">
        <f>E120</f>
        <v>1754.3150685000001</v>
      </c>
      <c r="D105" s="57">
        <f t="shared" ref="D105:D107" si="6">C105*E105</f>
        <v>526.29452055000002</v>
      </c>
      <c r="E105" s="58">
        <v>0.3</v>
      </c>
      <c r="F105" s="50"/>
    </row>
    <row r="106" spans="1:6" ht="14.4" x14ac:dyDescent="0.3">
      <c r="A106" s="47" t="s">
        <v>12</v>
      </c>
      <c r="B106" s="48" t="s">
        <v>10</v>
      </c>
      <c r="C106" s="57">
        <v>152.55000000000001</v>
      </c>
      <c r="D106" s="57">
        <f t="shared" si="6"/>
        <v>118.98900000000002</v>
      </c>
      <c r="E106" s="58">
        <v>0.78</v>
      </c>
      <c r="F106" s="50"/>
    </row>
    <row r="107" spans="1:6" ht="14.4" x14ac:dyDescent="0.3">
      <c r="A107" s="47" t="s">
        <v>12</v>
      </c>
      <c r="B107" s="48" t="s">
        <v>11</v>
      </c>
      <c r="C107" s="57">
        <v>98.391999999999996</v>
      </c>
      <c r="D107" s="57">
        <f t="shared" si="6"/>
        <v>89.536720000000003</v>
      </c>
      <c r="E107" s="58">
        <v>0.91</v>
      </c>
      <c r="F107" s="50"/>
    </row>
    <row r="108" spans="1:6" x14ac:dyDescent="0.25">
      <c r="A108" s="47"/>
      <c r="B108" s="48"/>
      <c r="C108" s="60"/>
      <c r="D108" s="60"/>
      <c r="E108" s="48"/>
      <c r="F108" s="50"/>
    </row>
    <row r="109" spans="1:6" x14ac:dyDescent="0.25">
      <c r="A109" s="47"/>
      <c r="B109" s="48"/>
      <c r="C109" s="48"/>
      <c r="D109" s="48"/>
      <c r="E109" s="48"/>
      <c r="F109" s="50"/>
    </row>
    <row r="110" spans="1:6" x14ac:dyDescent="0.25">
      <c r="A110" s="47"/>
      <c r="B110" s="55" t="s">
        <v>13</v>
      </c>
      <c r="C110" s="48"/>
      <c r="D110" s="48"/>
      <c r="E110" s="48"/>
      <c r="F110" s="50"/>
    </row>
    <row r="111" spans="1:6" ht="14.4" x14ac:dyDescent="0.3">
      <c r="A111" s="47" t="s">
        <v>15</v>
      </c>
      <c r="B111" s="61">
        <v>27331347</v>
      </c>
      <c r="C111" s="48"/>
      <c r="D111" s="48"/>
      <c r="E111" s="48"/>
      <c r="F111" s="50"/>
    </row>
    <row r="112" spans="1:6" ht="14.4" x14ac:dyDescent="0.3">
      <c r="A112" s="47" t="s">
        <v>16</v>
      </c>
      <c r="B112" s="61">
        <v>42376153</v>
      </c>
      <c r="C112" s="48"/>
      <c r="D112" s="48"/>
      <c r="E112" s="48"/>
      <c r="F112" s="50"/>
    </row>
    <row r="113" spans="1:6" x14ac:dyDescent="0.25">
      <c r="A113" s="51" t="s">
        <v>17</v>
      </c>
      <c r="B113" s="48"/>
      <c r="C113" s="48"/>
      <c r="D113" s="48"/>
      <c r="E113" s="48"/>
      <c r="F113" s="50"/>
    </row>
    <row r="114" spans="1:6" x14ac:dyDescent="0.25">
      <c r="A114" s="64" t="s">
        <v>18</v>
      </c>
      <c r="B114" s="48"/>
      <c r="C114" s="48"/>
      <c r="D114" s="48"/>
      <c r="E114" s="48"/>
      <c r="F114" s="50"/>
    </row>
    <row r="115" spans="1:6" x14ac:dyDescent="0.25">
      <c r="A115" s="47"/>
      <c r="B115" s="48"/>
      <c r="C115" s="48"/>
      <c r="D115" s="48"/>
      <c r="E115" s="48"/>
      <c r="F115" s="50"/>
    </row>
    <row r="116" spans="1:6" x14ac:dyDescent="0.25">
      <c r="A116" s="47"/>
      <c r="B116" s="48"/>
      <c r="C116" s="48"/>
      <c r="D116" s="48"/>
      <c r="E116" s="48"/>
      <c r="F116" s="50"/>
    </row>
    <row r="117" spans="1:6" x14ac:dyDescent="0.25">
      <c r="A117" s="47"/>
      <c r="B117" s="48"/>
      <c r="C117" s="48"/>
      <c r="D117" s="65" t="s">
        <v>20</v>
      </c>
      <c r="E117" s="56" t="s">
        <v>21</v>
      </c>
      <c r="F117" s="50"/>
    </row>
    <row r="118" spans="1:6" x14ac:dyDescent="0.25">
      <c r="A118" s="47" t="s">
        <v>19</v>
      </c>
      <c r="B118" s="55"/>
      <c r="C118" s="55"/>
      <c r="D118" s="55"/>
      <c r="E118" s="55"/>
      <c r="F118" s="50"/>
    </row>
    <row r="119" spans="1:6" x14ac:dyDescent="0.25">
      <c r="A119" s="47"/>
      <c r="B119" s="55" t="s">
        <v>22</v>
      </c>
      <c r="C119" s="55" t="s">
        <v>23</v>
      </c>
      <c r="D119" s="55" t="s">
        <v>24</v>
      </c>
      <c r="E119" s="55" t="s">
        <v>25</v>
      </c>
      <c r="F119" s="50"/>
    </row>
    <row r="120" spans="1:6" ht="14.4" x14ac:dyDescent="0.3">
      <c r="A120" s="47" t="s">
        <v>26</v>
      </c>
      <c r="B120" s="48">
        <v>3.5899999999999997E-8</v>
      </c>
      <c r="C120" s="61">
        <v>48866715</v>
      </c>
      <c r="D120" s="48">
        <f>C120*B120</f>
        <v>1.7543150685</v>
      </c>
      <c r="E120" s="48">
        <f>D120*1000</f>
        <v>1754.3150685000001</v>
      </c>
      <c r="F120" s="50"/>
    </row>
    <row r="121" spans="1:6" ht="14.4" x14ac:dyDescent="0.3">
      <c r="A121" s="47" t="s">
        <v>34</v>
      </c>
      <c r="B121" s="48">
        <v>3.5899999999999997E-8</v>
      </c>
      <c r="C121" s="61">
        <v>2879703</v>
      </c>
      <c r="D121" s="48">
        <f>C121*B121</f>
        <v>0.10338133769999999</v>
      </c>
      <c r="E121" s="48">
        <f>(D121*1000)+B30</f>
        <v>446.16946569999993</v>
      </c>
      <c r="F121" s="50"/>
    </row>
    <row r="122" spans="1:6" x14ac:dyDescent="0.25">
      <c r="A122" s="47"/>
      <c r="B122" s="48"/>
      <c r="C122" s="70">
        <f>SUM(C120:C121)</f>
        <v>51746418</v>
      </c>
      <c r="D122" s="70">
        <f t="shared" ref="D122:E122" si="7">SUM(D120:D121)</f>
        <v>1.8576964061999999</v>
      </c>
      <c r="E122" s="70">
        <f t="shared" si="7"/>
        <v>2200.4845341999999</v>
      </c>
      <c r="F122" s="50"/>
    </row>
    <row r="123" spans="1:6" x14ac:dyDescent="0.25">
      <c r="A123" s="72"/>
      <c r="B123" s="73"/>
      <c r="C123" s="73"/>
      <c r="D123" s="73"/>
      <c r="E123" s="73"/>
      <c r="F123" s="74"/>
    </row>
    <row r="131" spans="1:6" ht="15.6" x14ac:dyDescent="0.3">
      <c r="A131" s="80"/>
      <c r="B131" s="81"/>
      <c r="C131" s="82" t="s">
        <v>1</v>
      </c>
      <c r="D131" s="81"/>
      <c r="E131" s="81"/>
      <c r="F131" s="83"/>
    </row>
    <row r="132" spans="1:6" ht="15.6" x14ac:dyDescent="0.3">
      <c r="A132" s="84"/>
      <c r="B132" s="85"/>
      <c r="C132" s="86" t="s">
        <v>37</v>
      </c>
      <c r="D132" s="85"/>
      <c r="E132" s="85"/>
      <c r="F132" s="87"/>
    </row>
    <row r="133" spans="1:6" x14ac:dyDescent="0.25">
      <c r="A133" s="84"/>
      <c r="B133" s="85"/>
      <c r="C133" s="85"/>
      <c r="D133" s="85"/>
      <c r="E133" s="85"/>
      <c r="F133" s="87"/>
    </row>
    <row r="134" spans="1:6" x14ac:dyDescent="0.25">
      <c r="A134" s="84"/>
      <c r="B134" s="85"/>
      <c r="C134" s="85"/>
      <c r="D134" s="85"/>
      <c r="E134" s="85"/>
      <c r="F134" s="87"/>
    </row>
    <row r="135" spans="1:6" x14ac:dyDescent="0.25">
      <c r="A135" s="88" t="s">
        <v>3</v>
      </c>
      <c r="B135" s="89" t="s">
        <v>4</v>
      </c>
      <c r="C135" s="90" t="s">
        <v>5</v>
      </c>
      <c r="D135" s="90" t="s">
        <v>6</v>
      </c>
      <c r="E135" s="91" t="s">
        <v>7</v>
      </c>
      <c r="F135" s="87"/>
    </row>
    <row r="136" spans="1:6" x14ac:dyDescent="0.25">
      <c r="A136" s="84"/>
      <c r="B136" s="85"/>
      <c r="C136" s="92"/>
      <c r="D136" s="92"/>
      <c r="E136" s="93"/>
      <c r="F136" s="87"/>
    </row>
    <row r="137" spans="1:6" ht="14.4" x14ac:dyDescent="0.3">
      <c r="A137" s="84" t="s">
        <v>8</v>
      </c>
      <c r="B137" s="85" t="s">
        <v>9</v>
      </c>
      <c r="C137" s="94" t="s">
        <v>38</v>
      </c>
      <c r="D137" s="94" t="s">
        <v>38</v>
      </c>
      <c r="E137" s="95">
        <v>0.16</v>
      </c>
      <c r="F137" s="87"/>
    </row>
    <row r="138" spans="1:6" ht="14.4" x14ac:dyDescent="0.3">
      <c r="A138" s="84" t="s">
        <v>8</v>
      </c>
      <c r="B138" s="85" t="s">
        <v>10</v>
      </c>
      <c r="C138" s="94">
        <f>E155</f>
        <v>128.23914728128318</v>
      </c>
      <c r="D138" s="94">
        <f>C138*E138</f>
        <v>38.471744184384953</v>
      </c>
      <c r="E138" s="95">
        <v>0.3</v>
      </c>
      <c r="F138" s="87"/>
    </row>
    <row r="139" spans="1:6" ht="14.4" x14ac:dyDescent="0.3">
      <c r="A139" s="84" t="s">
        <v>8</v>
      </c>
      <c r="B139" s="85" t="s">
        <v>11</v>
      </c>
      <c r="C139" s="94">
        <f>E154</f>
        <v>1641.5796986</v>
      </c>
      <c r="D139" s="94">
        <f>C139*E139</f>
        <v>492.47390958</v>
      </c>
      <c r="E139" s="95">
        <v>0.3</v>
      </c>
      <c r="F139" s="87"/>
    </row>
    <row r="140" spans="1:6" ht="14.4" x14ac:dyDescent="0.3">
      <c r="A140" s="84" t="s">
        <v>12</v>
      </c>
      <c r="B140" s="85" t="s">
        <v>10</v>
      </c>
      <c r="C140" s="94">
        <v>203.977</v>
      </c>
      <c r="D140" s="94">
        <f t="shared" ref="D140:D141" si="8">C140*E140</f>
        <v>159.10205999999999</v>
      </c>
      <c r="E140" s="95">
        <v>0.78</v>
      </c>
      <c r="F140" s="87"/>
    </row>
    <row r="141" spans="1:6" ht="14.4" x14ac:dyDescent="0.3">
      <c r="A141" s="84" t="s">
        <v>12</v>
      </c>
      <c r="B141" s="85" t="s">
        <v>11</v>
      </c>
      <c r="C141" s="94">
        <v>80.105000000000004</v>
      </c>
      <c r="D141" s="94">
        <f t="shared" si="8"/>
        <v>72.89555</v>
      </c>
      <c r="E141" s="95">
        <v>0.91</v>
      </c>
      <c r="F141" s="87"/>
    </row>
    <row r="142" spans="1:6" x14ac:dyDescent="0.25">
      <c r="A142" s="84"/>
      <c r="B142" s="85"/>
      <c r="C142" s="96"/>
      <c r="D142" s="96"/>
      <c r="E142" s="85"/>
      <c r="F142" s="87"/>
    </row>
    <row r="143" spans="1:6" x14ac:dyDescent="0.25">
      <c r="A143" s="84"/>
      <c r="B143" s="85"/>
      <c r="C143" s="85"/>
      <c r="D143" s="85"/>
      <c r="E143" s="85"/>
      <c r="F143" s="87"/>
    </row>
    <row r="144" spans="1:6" x14ac:dyDescent="0.25">
      <c r="A144" s="84"/>
      <c r="B144" s="85" t="s">
        <v>13</v>
      </c>
      <c r="C144" s="85"/>
      <c r="D144" s="85"/>
      <c r="E144" s="85"/>
      <c r="F144" s="87"/>
    </row>
    <row r="145" spans="1:6" ht="14.4" x14ac:dyDescent="0.3">
      <c r="A145" s="84" t="s">
        <v>15</v>
      </c>
      <c r="B145" s="97">
        <f>12070293+10181169</f>
        <v>22251462</v>
      </c>
      <c r="C145" s="85"/>
      <c r="D145" s="85"/>
      <c r="E145" s="85"/>
      <c r="F145" s="87"/>
    </row>
    <row r="146" spans="1:6" ht="14.4" x14ac:dyDescent="0.3">
      <c r="A146" s="84" t="s">
        <v>16</v>
      </c>
      <c r="B146" s="97">
        <f>29156400+27503951</f>
        <v>56660351</v>
      </c>
      <c r="C146" s="85"/>
      <c r="D146" s="85"/>
      <c r="E146" s="85"/>
      <c r="F146" s="87"/>
    </row>
    <row r="147" spans="1:6" x14ac:dyDescent="0.25">
      <c r="A147" s="88" t="s">
        <v>17</v>
      </c>
      <c r="B147" s="85"/>
      <c r="C147" s="85"/>
      <c r="D147" s="85"/>
      <c r="E147" s="85"/>
      <c r="F147" s="87"/>
    </row>
    <row r="148" spans="1:6" x14ac:dyDescent="0.25">
      <c r="A148" s="98" t="s">
        <v>18</v>
      </c>
      <c r="B148" s="85"/>
      <c r="C148" s="85"/>
      <c r="D148" s="85"/>
      <c r="E148" s="85"/>
      <c r="F148" s="87"/>
    </row>
    <row r="149" spans="1:6" x14ac:dyDescent="0.25">
      <c r="A149" s="84"/>
      <c r="B149" s="85"/>
      <c r="C149" s="85"/>
      <c r="D149" s="85"/>
      <c r="E149" s="85"/>
      <c r="F149" s="87"/>
    </row>
    <row r="150" spans="1:6" x14ac:dyDescent="0.25">
      <c r="A150" s="84"/>
      <c r="B150" s="85"/>
      <c r="C150" s="85"/>
      <c r="D150" s="85"/>
      <c r="E150" s="85"/>
      <c r="F150" s="87"/>
    </row>
    <row r="151" spans="1:6" x14ac:dyDescent="0.25">
      <c r="A151" s="84"/>
      <c r="B151" s="85"/>
      <c r="C151" s="85"/>
      <c r="D151" s="85"/>
      <c r="E151" s="85"/>
      <c r="F151" s="87"/>
    </row>
    <row r="152" spans="1:6" x14ac:dyDescent="0.25">
      <c r="A152" s="84" t="s">
        <v>19</v>
      </c>
      <c r="B152" s="85"/>
      <c r="C152" s="85"/>
      <c r="D152" s="85"/>
      <c r="E152" s="85"/>
      <c r="F152" s="87"/>
    </row>
    <row r="153" spans="1:6" x14ac:dyDescent="0.25">
      <c r="A153" s="84"/>
      <c r="B153" s="92" t="s">
        <v>22</v>
      </c>
      <c r="C153" s="92" t="s">
        <v>23</v>
      </c>
      <c r="D153" s="92" t="s">
        <v>24</v>
      </c>
      <c r="E153" s="92" t="s">
        <v>25</v>
      </c>
      <c r="F153" s="87"/>
    </row>
    <row r="154" spans="1:6" ht="14.4" x14ac:dyDescent="0.3">
      <c r="A154" s="84" t="s">
        <v>26</v>
      </c>
      <c r="B154" s="85">
        <v>3.5899999999999997E-8</v>
      </c>
      <c r="C154" s="99">
        <v>45726454</v>
      </c>
      <c r="D154" s="85">
        <f>C154*B154</f>
        <v>1.6415796986</v>
      </c>
      <c r="E154" s="85">
        <f>D154*1000</f>
        <v>1641.5796986</v>
      </c>
      <c r="F154" s="87"/>
    </row>
    <row r="155" spans="1:6" ht="14.4" x14ac:dyDescent="0.3">
      <c r="A155" s="84" t="s">
        <v>34</v>
      </c>
      <c r="B155" s="85">
        <v>3.5899999999999997E-8</v>
      </c>
      <c r="C155" s="99">
        <v>3063417</v>
      </c>
      <c r="D155" s="100">
        <f>C155*B155</f>
        <v>0.1099766703</v>
      </c>
      <c r="E155" s="101">
        <f>(D155*1000)+C30</f>
        <v>128.23914728128318</v>
      </c>
      <c r="F155" s="87"/>
    </row>
    <row r="156" spans="1:6" x14ac:dyDescent="0.25">
      <c r="A156" s="84"/>
      <c r="B156" s="85"/>
      <c r="C156" s="102">
        <f>SUM(C154:C155)</f>
        <v>48789871</v>
      </c>
      <c r="D156" s="102">
        <f t="shared" ref="D156:E156" si="9">SUM(D154:D155)</f>
        <v>1.7515563689</v>
      </c>
      <c r="E156" s="102">
        <f t="shared" si="9"/>
        <v>1769.8188458812833</v>
      </c>
      <c r="F156" s="87"/>
    </row>
    <row r="157" spans="1:6" x14ac:dyDescent="0.25">
      <c r="A157" s="103"/>
      <c r="B157" s="104"/>
      <c r="C157" s="104"/>
      <c r="D157" s="104"/>
      <c r="E157" s="104"/>
      <c r="F157" s="105"/>
    </row>
    <row r="160" spans="1:6" ht="15.6" x14ac:dyDescent="0.3">
      <c r="A160" s="106"/>
      <c r="B160" s="107"/>
      <c r="C160" s="108" t="s">
        <v>1</v>
      </c>
      <c r="D160" s="107"/>
      <c r="E160" s="107"/>
      <c r="F160" s="109"/>
    </row>
    <row r="161" spans="1:6" ht="15.6" x14ac:dyDescent="0.3">
      <c r="A161" s="110"/>
      <c r="B161" s="111"/>
      <c r="C161" s="112" t="s">
        <v>39</v>
      </c>
      <c r="D161" s="111"/>
      <c r="E161" s="111"/>
      <c r="F161" s="113"/>
    </row>
    <row r="162" spans="1:6" x14ac:dyDescent="0.25">
      <c r="A162" s="110"/>
      <c r="B162" s="111"/>
      <c r="C162" s="111"/>
      <c r="D162" s="111"/>
      <c r="E162" s="111"/>
      <c r="F162" s="113"/>
    </row>
    <row r="163" spans="1:6" x14ac:dyDescent="0.25">
      <c r="A163" s="110"/>
      <c r="B163" s="111"/>
      <c r="C163" s="111"/>
      <c r="D163" s="111"/>
      <c r="E163" s="111"/>
      <c r="F163" s="113"/>
    </row>
    <row r="164" spans="1:6" x14ac:dyDescent="0.25">
      <c r="A164" s="114" t="s">
        <v>3</v>
      </c>
      <c r="B164" s="115" t="s">
        <v>4</v>
      </c>
      <c r="C164" s="116" t="s">
        <v>5</v>
      </c>
      <c r="D164" s="116" t="s">
        <v>6</v>
      </c>
      <c r="E164" s="117" t="s">
        <v>7</v>
      </c>
      <c r="F164" s="113"/>
    </row>
    <row r="165" spans="1:6" x14ac:dyDescent="0.25">
      <c r="A165" s="110"/>
      <c r="B165" s="111"/>
      <c r="C165" s="118"/>
      <c r="D165" s="118"/>
      <c r="E165" s="119"/>
      <c r="F165" s="113"/>
    </row>
    <row r="166" spans="1:6" ht="14.4" x14ac:dyDescent="0.3">
      <c r="A166" s="110" t="s">
        <v>8</v>
      </c>
      <c r="B166" s="111" t="s">
        <v>9</v>
      </c>
      <c r="C166" s="120" t="s">
        <v>38</v>
      </c>
      <c r="D166" s="120" t="s">
        <v>38</v>
      </c>
      <c r="E166" s="121">
        <v>0.16</v>
      </c>
      <c r="F166" s="113"/>
    </row>
    <row r="167" spans="1:6" ht="14.4" x14ac:dyDescent="0.3">
      <c r="A167" s="110" t="s">
        <v>8</v>
      </c>
      <c r="B167" s="111" t="s">
        <v>10</v>
      </c>
      <c r="C167" s="120">
        <f>E184</f>
        <v>111.99569436964158</v>
      </c>
      <c r="D167" s="120">
        <f>C167*E167</f>
        <v>33.598708310892476</v>
      </c>
      <c r="E167" s="121">
        <v>0.3</v>
      </c>
      <c r="F167" s="113"/>
    </row>
    <row r="168" spans="1:6" ht="14.4" x14ac:dyDescent="0.3">
      <c r="A168" s="110" t="s">
        <v>8</v>
      </c>
      <c r="B168" s="111" t="s">
        <v>11</v>
      </c>
      <c r="C168" s="120">
        <f>E183</f>
        <v>1386.2725405999997</v>
      </c>
      <c r="D168" s="120">
        <f t="shared" ref="D168:D170" si="10">C168*E168</f>
        <v>415.8817621799999</v>
      </c>
      <c r="E168" s="121">
        <v>0.3</v>
      </c>
      <c r="F168" s="113"/>
    </row>
    <row r="169" spans="1:6" ht="14.4" x14ac:dyDescent="0.3">
      <c r="A169" s="110" t="s">
        <v>12</v>
      </c>
      <c r="B169" s="111" t="s">
        <v>10</v>
      </c>
      <c r="C169" s="120">
        <v>214.29400000000001</v>
      </c>
      <c r="D169" s="120">
        <f t="shared" si="10"/>
        <v>167.14932000000002</v>
      </c>
      <c r="E169" s="121">
        <v>0.78</v>
      </c>
      <c r="F169" s="113"/>
    </row>
    <row r="170" spans="1:6" ht="14.4" x14ac:dyDescent="0.3">
      <c r="A170" s="110" t="s">
        <v>12</v>
      </c>
      <c r="B170" s="111" t="s">
        <v>11</v>
      </c>
      <c r="C170" s="120">
        <v>56.542000000000002</v>
      </c>
      <c r="D170" s="120">
        <f t="shared" si="10"/>
        <v>51.453220000000002</v>
      </c>
      <c r="E170" s="121">
        <v>0.91</v>
      </c>
      <c r="F170" s="113"/>
    </row>
    <row r="171" spans="1:6" x14ac:dyDescent="0.25">
      <c r="A171" s="110"/>
      <c r="B171" s="111"/>
      <c r="C171" s="122"/>
      <c r="D171" s="122"/>
      <c r="E171" s="111"/>
      <c r="F171" s="113"/>
    </row>
    <row r="172" spans="1:6" x14ac:dyDescent="0.25">
      <c r="A172" s="110"/>
      <c r="B172" s="111"/>
      <c r="C172" s="111"/>
      <c r="D172" s="111"/>
      <c r="E172" s="111"/>
      <c r="F172" s="113"/>
    </row>
    <row r="173" spans="1:6" x14ac:dyDescent="0.25">
      <c r="A173" s="110"/>
      <c r="B173" s="111" t="s">
        <v>13</v>
      </c>
      <c r="C173" s="111"/>
      <c r="D173" s="111"/>
      <c r="E173" s="111"/>
      <c r="F173" s="113"/>
    </row>
    <row r="174" spans="1:6" ht="14.4" x14ac:dyDescent="0.3">
      <c r="A174" s="110" t="s">
        <v>15</v>
      </c>
      <c r="B174" s="123">
        <v>15706358</v>
      </c>
      <c r="C174" s="111"/>
      <c r="D174" s="111"/>
      <c r="E174" s="111"/>
      <c r="F174" s="113"/>
    </row>
    <row r="175" spans="1:6" ht="14.4" x14ac:dyDescent="0.3">
      <c r="A175" s="110" t="s">
        <v>16</v>
      </c>
      <c r="B175" s="123">
        <v>59526199</v>
      </c>
      <c r="C175" s="111"/>
      <c r="D175" s="111"/>
      <c r="E175" s="111"/>
      <c r="F175" s="113"/>
    </row>
    <row r="176" spans="1:6" x14ac:dyDescent="0.25">
      <c r="A176" s="114" t="s">
        <v>17</v>
      </c>
      <c r="B176" s="111"/>
      <c r="C176" s="111"/>
      <c r="D176" s="111"/>
      <c r="E176" s="111"/>
      <c r="F176" s="113"/>
    </row>
    <row r="177" spans="1:6" x14ac:dyDescent="0.25">
      <c r="A177" s="124" t="s">
        <v>18</v>
      </c>
      <c r="B177" s="111"/>
      <c r="C177" s="111"/>
      <c r="D177" s="111"/>
      <c r="E177" s="111"/>
      <c r="F177" s="113"/>
    </row>
    <row r="178" spans="1:6" x14ac:dyDescent="0.25">
      <c r="A178" s="110"/>
      <c r="B178" s="111"/>
      <c r="C178" s="111"/>
      <c r="D178" s="111"/>
      <c r="E178" s="111"/>
      <c r="F178" s="113"/>
    </row>
    <row r="179" spans="1:6" x14ac:dyDescent="0.25">
      <c r="A179" s="110"/>
      <c r="B179" s="111"/>
      <c r="C179" s="111"/>
      <c r="D179" s="111"/>
      <c r="E179" s="111"/>
      <c r="F179" s="113"/>
    </row>
    <row r="180" spans="1:6" x14ac:dyDescent="0.25">
      <c r="A180" s="110"/>
      <c r="B180" s="111"/>
      <c r="C180" s="111"/>
      <c r="D180" s="111"/>
      <c r="E180" s="111"/>
      <c r="F180" s="113"/>
    </row>
    <row r="181" spans="1:6" x14ac:dyDescent="0.25">
      <c r="A181" s="110" t="s">
        <v>19</v>
      </c>
      <c r="B181" s="111"/>
      <c r="C181" s="111"/>
      <c r="D181" s="111"/>
      <c r="E181" s="111"/>
      <c r="F181" s="113"/>
    </row>
    <row r="182" spans="1:6" x14ac:dyDescent="0.25">
      <c r="A182" s="110"/>
      <c r="B182" s="118" t="s">
        <v>22</v>
      </c>
      <c r="C182" s="118" t="s">
        <v>23</v>
      </c>
      <c r="D182" s="118" t="s">
        <v>24</v>
      </c>
      <c r="E182" s="118" t="s">
        <v>25</v>
      </c>
      <c r="F182" s="113"/>
    </row>
    <row r="183" spans="1:6" ht="14.4" x14ac:dyDescent="0.3">
      <c r="A183" s="110" t="s">
        <v>26</v>
      </c>
      <c r="B183" s="111">
        <v>3.5899999999999997E-8</v>
      </c>
      <c r="C183" s="125">
        <v>38614834</v>
      </c>
      <c r="D183" s="111">
        <f>C183*B183</f>
        <v>1.3862725405999998</v>
      </c>
      <c r="E183" s="111">
        <f>D183*1000</f>
        <v>1386.2725405999997</v>
      </c>
      <c r="F183" s="113"/>
    </row>
    <row r="184" spans="1:6" ht="14.4" x14ac:dyDescent="0.3">
      <c r="A184" s="110" t="s">
        <v>34</v>
      </c>
      <c r="B184" s="111">
        <v>3.5899999999999997E-8</v>
      </c>
      <c r="C184" s="123">
        <v>2553711</v>
      </c>
      <c r="D184" s="156">
        <f>C184*B184</f>
        <v>9.1678224899999994E-2</v>
      </c>
      <c r="E184" s="156">
        <f>(D184*1000)+F30</f>
        <v>111.99569436964158</v>
      </c>
      <c r="F184" s="113"/>
    </row>
    <row r="185" spans="1:6" x14ac:dyDescent="0.25">
      <c r="A185" s="110"/>
      <c r="B185" s="111"/>
      <c r="C185" s="126">
        <f>SUM(C183:C184)</f>
        <v>41168545</v>
      </c>
      <c r="D185" s="126">
        <f t="shared" ref="D185:E185" si="11">SUM(D183:D184)</f>
        <v>1.4779507654999997</v>
      </c>
      <c r="E185" s="126">
        <f t="shared" si="11"/>
        <v>1498.2682349696413</v>
      </c>
      <c r="F185" s="113"/>
    </row>
    <row r="186" spans="1:6" x14ac:dyDescent="0.25">
      <c r="A186" s="127"/>
      <c r="B186" s="128"/>
      <c r="C186" s="128"/>
      <c r="D186" s="128"/>
      <c r="E186" s="128"/>
      <c r="F186" s="129"/>
    </row>
    <row r="189" spans="1:6" ht="15.6" x14ac:dyDescent="0.3">
      <c r="A189" s="130"/>
      <c r="B189" s="131"/>
      <c r="C189" s="132" t="s">
        <v>1</v>
      </c>
      <c r="D189" s="131"/>
      <c r="E189" s="131"/>
      <c r="F189" s="133"/>
    </row>
    <row r="190" spans="1:6" ht="15.6" x14ac:dyDescent="0.3">
      <c r="A190" s="134"/>
      <c r="B190" s="135"/>
      <c r="C190" s="136" t="s">
        <v>40</v>
      </c>
      <c r="D190" s="135"/>
      <c r="E190" s="135"/>
      <c r="F190" s="137"/>
    </row>
    <row r="191" spans="1:6" x14ac:dyDescent="0.25">
      <c r="A191" s="134"/>
      <c r="B191" s="135"/>
      <c r="C191" s="135"/>
      <c r="D191" s="135"/>
      <c r="E191" s="135"/>
      <c r="F191" s="137"/>
    </row>
    <row r="192" spans="1:6" x14ac:dyDescent="0.25">
      <c r="A192" s="134"/>
      <c r="B192" s="135"/>
      <c r="C192" s="135"/>
      <c r="D192" s="135"/>
      <c r="E192" s="135"/>
      <c r="F192" s="137"/>
    </row>
    <row r="193" spans="1:6" x14ac:dyDescent="0.25">
      <c r="A193" s="138" t="s">
        <v>3</v>
      </c>
      <c r="B193" s="139" t="s">
        <v>4</v>
      </c>
      <c r="C193" s="140" t="s">
        <v>5</v>
      </c>
      <c r="D193" s="140" t="s">
        <v>6</v>
      </c>
      <c r="E193" s="141" t="s">
        <v>7</v>
      </c>
      <c r="F193" s="137"/>
    </row>
    <row r="194" spans="1:6" x14ac:dyDescent="0.25">
      <c r="A194" s="134"/>
      <c r="B194" s="135"/>
      <c r="C194" s="142"/>
      <c r="D194" s="142"/>
      <c r="E194" s="143"/>
      <c r="F194" s="137"/>
    </row>
    <row r="195" spans="1:6" ht="14.4" x14ac:dyDescent="0.3">
      <c r="A195" s="134" t="s">
        <v>8</v>
      </c>
      <c r="B195" s="135" t="s">
        <v>9</v>
      </c>
      <c r="C195" s="144" t="s">
        <v>38</v>
      </c>
      <c r="D195" s="144" t="s">
        <v>38</v>
      </c>
      <c r="E195" s="145">
        <v>0.16</v>
      </c>
      <c r="F195" s="137"/>
    </row>
    <row r="196" spans="1:6" ht="14.4" x14ac:dyDescent="0.3">
      <c r="A196" s="134" t="s">
        <v>8</v>
      </c>
      <c r="B196" s="135" t="s">
        <v>10</v>
      </c>
      <c r="C196" s="144">
        <f>E213</f>
        <v>133.44140266064159</v>
      </c>
      <c r="D196" s="144">
        <f>C196*E196</f>
        <v>40.032420798192476</v>
      </c>
      <c r="E196" s="145">
        <v>0.3</v>
      </c>
      <c r="F196" s="137"/>
    </row>
    <row r="197" spans="1:6" ht="14.4" x14ac:dyDescent="0.3">
      <c r="A197" s="134" t="s">
        <v>8</v>
      </c>
      <c r="B197" s="135" t="s">
        <v>11</v>
      </c>
      <c r="C197" s="144">
        <f>E212</f>
        <v>1521.6156755530919</v>
      </c>
      <c r="D197" s="144">
        <f t="shared" ref="D197:D199" si="12">C197*E197</f>
        <v>456.48470266592756</v>
      </c>
      <c r="E197" s="145">
        <v>0.3</v>
      </c>
      <c r="F197" s="137"/>
    </row>
    <row r="198" spans="1:6" ht="14.4" x14ac:dyDescent="0.3">
      <c r="A198" s="134" t="s">
        <v>12</v>
      </c>
      <c r="B198" s="135" t="s">
        <v>10</v>
      </c>
      <c r="C198" s="144">
        <v>214.29400000000001</v>
      </c>
      <c r="D198" s="144">
        <f t="shared" si="12"/>
        <v>167.14932000000002</v>
      </c>
      <c r="E198" s="145">
        <v>0.78</v>
      </c>
      <c r="F198" s="137"/>
    </row>
    <row r="199" spans="1:6" ht="14.4" x14ac:dyDescent="0.3">
      <c r="A199" s="134" t="s">
        <v>12</v>
      </c>
      <c r="B199" s="135" t="s">
        <v>11</v>
      </c>
      <c r="C199" s="144">
        <v>56.542000000000002</v>
      </c>
      <c r="D199" s="144">
        <f t="shared" si="12"/>
        <v>51.453220000000002</v>
      </c>
      <c r="E199" s="145">
        <v>0.91</v>
      </c>
      <c r="F199" s="137"/>
    </row>
    <row r="200" spans="1:6" x14ac:dyDescent="0.25">
      <c r="A200" s="134"/>
      <c r="B200" s="135"/>
      <c r="C200" s="146"/>
      <c r="D200" s="146"/>
      <c r="E200" s="135"/>
      <c r="F200" s="137"/>
    </row>
    <row r="201" spans="1:6" x14ac:dyDescent="0.25">
      <c r="A201" s="134"/>
      <c r="B201" s="135"/>
      <c r="C201" s="135"/>
      <c r="D201" s="135"/>
      <c r="E201" s="135"/>
      <c r="F201" s="137"/>
    </row>
    <row r="202" spans="1:6" x14ac:dyDescent="0.25">
      <c r="A202" s="134"/>
      <c r="B202" s="135" t="s">
        <v>13</v>
      </c>
      <c r="C202" s="135"/>
      <c r="D202" s="135"/>
      <c r="E202" s="135"/>
      <c r="F202" s="137"/>
    </row>
    <row r="203" spans="1:6" ht="14.4" x14ac:dyDescent="0.3">
      <c r="A203" s="134" t="s">
        <v>15</v>
      </c>
      <c r="B203" s="147">
        <v>10269015</v>
      </c>
      <c r="C203" s="135"/>
      <c r="D203" s="135"/>
      <c r="E203" s="135"/>
      <c r="F203" s="137"/>
    </row>
    <row r="204" spans="1:6" ht="14.4" x14ac:dyDescent="0.3">
      <c r="A204" s="134" t="s">
        <v>16</v>
      </c>
      <c r="B204" s="147">
        <v>59836331.570287488</v>
      </c>
      <c r="C204" s="135"/>
      <c r="D204" s="135"/>
      <c r="E204" s="135"/>
      <c r="F204" s="137"/>
    </row>
    <row r="205" spans="1:6" x14ac:dyDescent="0.25">
      <c r="A205" s="138" t="s">
        <v>17</v>
      </c>
      <c r="B205" s="135"/>
      <c r="C205" s="135"/>
      <c r="D205" s="135"/>
      <c r="E205" s="135"/>
      <c r="F205" s="137"/>
    </row>
    <row r="206" spans="1:6" x14ac:dyDescent="0.25">
      <c r="A206" s="148" t="s">
        <v>18</v>
      </c>
      <c r="B206" s="135"/>
      <c r="C206" s="135"/>
      <c r="D206" s="135"/>
      <c r="E206" s="135"/>
      <c r="F206" s="137"/>
    </row>
    <row r="207" spans="1:6" x14ac:dyDescent="0.25">
      <c r="A207" s="134"/>
      <c r="B207" s="135"/>
      <c r="C207" s="135"/>
      <c r="D207" s="135"/>
      <c r="E207" s="135"/>
      <c r="F207" s="137"/>
    </row>
    <row r="208" spans="1:6" x14ac:dyDescent="0.25">
      <c r="A208" s="134"/>
      <c r="B208" s="135"/>
      <c r="C208" s="135"/>
      <c r="D208" s="135"/>
      <c r="E208" s="135"/>
      <c r="F208" s="137"/>
    </row>
    <row r="209" spans="1:6" x14ac:dyDescent="0.25">
      <c r="A209" s="134"/>
      <c r="B209" s="135"/>
      <c r="C209" s="135"/>
      <c r="D209" s="135"/>
      <c r="E209" s="135"/>
      <c r="F209" s="137"/>
    </row>
    <row r="210" spans="1:6" x14ac:dyDescent="0.25">
      <c r="A210" s="134" t="s">
        <v>19</v>
      </c>
      <c r="B210" s="135"/>
      <c r="C210" s="135"/>
      <c r="D210" s="135"/>
      <c r="E210" s="135"/>
      <c r="F210" s="137"/>
    </row>
    <row r="211" spans="1:6" x14ac:dyDescent="0.25">
      <c r="A211" s="134"/>
      <c r="B211" s="142" t="s">
        <v>22</v>
      </c>
      <c r="C211" s="142" t="s">
        <v>23</v>
      </c>
      <c r="D211" s="142" t="s">
        <v>24</v>
      </c>
      <c r="E211" s="142" t="s">
        <v>25</v>
      </c>
      <c r="F211" s="137"/>
    </row>
    <row r="212" spans="1:6" ht="14.4" x14ac:dyDescent="0.3">
      <c r="A212" s="134" t="s">
        <v>26</v>
      </c>
      <c r="B212" s="135">
        <v>3.5899999999999997E-8</v>
      </c>
      <c r="C212" s="149">
        <v>42384837.759139054</v>
      </c>
      <c r="D212" s="155">
        <f>C212*B212</f>
        <v>1.5216156755530919</v>
      </c>
      <c r="E212" s="155">
        <f>D212*1000</f>
        <v>1521.6156755530919</v>
      </c>
      <c r="F212" s="137"/>
    </row>
    <row r="213" spans="1:6" ht="14.4" x14ac:dyDescent="0.3">
      <c r="A213" s="134" t="s">
        <v>34</v>
      </c>
      <c r="B213" s="135">
        <v>3.5899999999999997E-8</v>
      </c>
      <c r="C213" s="147">
        <v>3151084.4899999998</v>
      </c>
      <c r="D213" s="155">
        <f>C213*B213</f>
        <v>0.11312393319099998</v>
      </c>
      <c r="E213" s="159">
        <f>(D213*1000)+F30</f>
        <v>133.44140266064159</v>
      </c>
      <c r="F213" s="137"/>
    </row>
    <row r="214" spans="1:6" x14ac:dyDescent="0.25">
      <c r="A214" s="134"/>
      <c r="B214" s="135"/>
      <c r="C214" s="154">
        <f>SUM(C212:C213)</f>
        <v>45535922.249139056</v>
      </c>
      <c r="D214" s="150">
        <f>SUM(D212:D213)</f>
        <v>1.6347396087440917</v>
      </c>
      <c r="E214" s="150">
        <f>SUM(E212:E213)</f>
        <v>1655.0570782137336</v>
      </c>
      <c r="F214" s="137"/>
    </row>
    <row r="215" spans="1:6" x14ac:dyDescent="0.25">
      <c r="A215" s="151"/>
      <c r="B215" s="152"/>
      <c r="C215" s="152"/>
      <c r="D215" s="152"/>
      <c r="E215" s="152"/>
      <c r="F215" s="153"/>
    </row>
    <row r="219" spans="1:6" ht="15.6" x14ac:dyDescent="0.3">
      <c r="A219" s="167"/>
      <c r="B219" s="168"/>
      <c r="C219" s="169" t="s">
        <v>1</v>
      </c>
      <c r="D219" s="168"/>
      <c r="E219" s="168"/>
      <c r="F219" s="170"/>
    </row>
    <row r="220" spans="1:6" ht="15.6" x14ac:dyDescent="0.3">
      <c r="A220" s="171"/>
      <c r="B220" s="172"/>
      <c r="C220" s="173" t="s">
        <v>52</v>
      </c>
      <c r="D220" s="172"/>
      <c r="E220" s="172"/>
      <c r="F220" s="174"/>
    </row>
    <row r="221" spans="1:6" x14ac:dyDescent="0.25">
      <c r="A221" s="171"/>
      <c r="B221" s="172"/>
      <c r="C221" s="172"/>
      <c r="D221" s="172"/>
      <c r="E221" s="172"/>
      <c r="F221" s="174"/>
    </row>
    <row r="222" spans="1:6" x14ac:dyDescent="0.25">
      <c r="A222" s="171"/>
      <c r="B222" s="172"/>
      <c r="C222" s="172"/>
      <c r="D222" s="172"/>
      <c r="E222" s="172"/>
      <c r="F222" s="174"/>
    </row>
    <row r="223" spans="1:6" x14ac:dyDescent="0.25">
      <c r="A223" s="175" t="s">
        <v>3</v>
      </c>
      <c r="B223" s="176" t="s">
        <v>4</v>
      </c>
      <c r="C223" s="177" t="s">
        <v>5</v>
      </c>
      <c r="D223" s="177" t="s">
        <v>6</v>
      </c>
      <c r="E223" s="178" t="s">
        <v>7</v>
      </c>
      <c r="F223" s="174"/>
    </row>
    <row r="224" spans="1:6" x14ac:dyDescent="0.25">
      <c r="A224" s="171"/>
      <c r="B224" s="172"/>
      <c r="C224" s="179"/>
      <c r="D224" s="179"/>
      <c r="E224" s="180"/>
      <c r="F224" s="174"/>
    </row>
    <row r="225" spans="1:6" ht="14.4" x14ac:dyDescent="0.3">
      <c r="A225" s="171" t="s">
        <v>8</v>
      </c>
      <c r="B225" s="172" t="s">
        <v>9</v>
      </c>
      <c r="C225" s="181" t="s">
        <v>38</v>
      </c>
      <c r="D225" s="181" t="s">
        <v>38</v>
      </c>
      <c r="E225" s="182">
        <v>0.16</v>
      </c>
      <c r="F225" s="174"/>
    </row>
    <row r="226" spans="1:6" ht="14.4" x14ac:dyDescent="0.3">
      <c r="A226" s="171" t="s">
        <v>8</v>
      </c>
      <c r="B226" s="172" t="s">
        <v>10</v>
      </c>
      <c r="C226" s="181">
        <f>E243</f>
        <v>132.48528378443501</v>
      </c>
      <c r="D226" s="181">
        <f>C226*E226</f>
        <v>39.745585135330501</v>
      </c>
      <c r="E226" s="182">
        <v>0.3</v>
      </c>
      <c r="F226" s="174"/>
    </row>
    <row r="227" spans="1:6" ht="14.4" x14ac:dyDescent="0.3">
      <c r="A227" s="171" t="s">
        <v>8</v>
      </c>
      <c r="B227" s="172" t="s">
        <v>11</v>
      </c>
      <c r="C227" s="181">
        <f>E242</f>
        <v>1717.4512820170121</v>
      </c>
      <c r="D227" s="181">
        <f>C227*E227</f>
        <v>515.2353846051036</v>
      </c>
      <c r="E227" s="182">
        <v>0.3</v>
      </c>
      <c r="F227" s="174"/>
    </row>
    <row r="228" spans="1:6" ht="14.4" x14ac:dyDescent="0.3">
      <c r="A228" s="171" t="s">
        <v>12</v>
      </c>
      <c r="B228" s="172" t="s">
        <v>10</v>
      </c>
      <c r="C228" s="181">
        <v>214.29400000000001</v>
      </c>
      <c r="D228" s="181">
        <f>C228*E228</f>
        <v>167.14932000000002</v>
      </c>
      <c r="E228" s="182">
        <v>0.78</v>
      </c>
      <c r="F228" s="174"/>
    </row>
    <row r="229" spans="1:6" ht="14.4" x14ac:dyDescent="0.3">
      <c r="A229" s="171" t="s">
        <v>12</v>
      </c>
      <c r="B229" s="172" t="s">
        <v>11</v>
      </c>
      <c r="C229" s="181">
        <v>56.542000000000002</v>
      </c>
      <c r="D229" s="181">
        <f>C229*E229</f>
        <v>51.453220000000002</v>
      </c>
      <c r="E229" s="182">
        <v>0.91</v>
      </c>
      <c r="F229" s="174"/>
    </row>
    <row r="230" spans="1:6" x14ac:dyDescent="0.25">
      <c r="A230" s="171"/>
      <c r="B230" s="172"/>
      <c r="C230" s="183"/>
      <c r="D230" s="183"/>
      <c r="E230" s="172"/>
      <c r="F230" s="174"/>
    </row>
    <row r="231" spans="1:6" x14ac:dyDescent="0.25">
      <c r="A231" s="171"/>
      <c r="B231" s="172"/>
      <c r="C231" s="172"/>
      <c r="D231" s="172"/>
      <c r="E231" s="172"/>
      <c r="F231" s="174"/>
    </row>
    <row r="232" spans="1:6" x14ac:dyDescent="0.25">
      <c r="A232" s="171"/>
      <c r="B232" s="172" t="s">
        <v>13</v>
      </c>
      <c r="C232" s="172"/>
      <c r="D232" s="172"/>
      <c r="E232" s="172"/>
      <c r="F232" s="174"/>
    </row>
    <row r="233" spans="1:6" ht="14.4" x14ac:dyDescent="0.3">
      <c r="A233" s="171" t="s">
        <v>15</v>
      </c>
      <c r="B233" s="184">
        <v>10065056</v>
      </c>
      <c r="C233" s="172"/>
      <c r="D233" s="172"/>
      <c r="E233" s="172"/>
      <c r="F233" s="174"/>
    </row>
    <row r="234" spans="1:6" ht="14.4" x14ac:dyDescent="0.3">
      <c r="A234" s="171" t="s">
        <v>16</v>
      </c>
      <c r="B234" s="184">
        <v>61185222.86999999</v>
      </c>
      <c r="C234" s="172"/>
      <c r="D234" s="172"/>
      <c r="E234" s="172"/>
      <c r="F234" s="174"/>
    </row>
    <row r="235" spans="1:6" x14ac:dyDescent="0.25">
      <c r="A235" s="175" t="s">
        <v>17</v>
      </c>
      <c r="B235" s="172"/>
      <c r="C235" s="172"/>
      <c r="D235" s="172"/>
      <c r="E235" s="172"/>
      <c r="F235" s="174"/>
    </row>
    <row r="236" spans="1:6" x14ac:dyDescent="0.25">
      <c r="A236" s="185" t="s">
        <v>18</v>
      </c>
      <c r="B236" s="172"/>
      <c r="C236" s="172"/>
      <c r="D236" s="172"/>
      <c r="E236" s="172"/>
      <c r="F236" s="174"/>
    </row>
    <row r="237" spans="1:6" x14ac:dyDescent="0.25">
      <c r="A237" s="171"/>
      <c r="B237" s="172"/>
      <c r="C237" s="172"/>
      <c r="D237" s="172"/>
      <c r="E237" s="172"/>
      <c r="F237" s="174"/>
    </row>
    <row r="238" spans="1:6" x14ac:dyDescent="0.25">
      <c r="A238" s="171"/>
      <c r="B238" s="172"/>
      <c r="C238" s="172"/>
      <c r="D238" s="172"/>
      <c r="E238" s="172"/>
      <c r="F238" s="174"/>
    </row>
    <row r="239" spans="1:6" x14ac:dyDescent="0.25">
      <c r="A239" s="171"/>
      <c r="B239" s="172"/>
      <c r="C239" s="172"/>
      <c r="D239" s="172"/>
      <c r="E239" s="172"/>
      <c r="F239" s="174"/>
    </row>
    <row r="240" spans="1:6" x14ac:dyDescent="0.25">
      <c r="A240" s="171" t="s">
        <v>19</v>
      </c>
      <c r="B240" s="172"/>
      <c r="C240" s="172"/>
      <c r="D240" s="172"/>
      <c r="E240" s="172"/>
      <c r="F240" s="174"/>
    </row>
    <row r="241" spans="1:6" x14ac:dyDescent="0.25">
      <c r="A241" s="171"/>
      <c r="B241" s="179" t="s">
        <v>22</v>
      </c>
      <c r="C241" s="179" t="s">
        <v>23</v>
      </c>
      <c r="D241" s="179" t="s">
        <v>24</v>
      </c>
      <c r="E241" s="179" t="s">
        <v>25</v>
      </c>
      <c r="F241" s="174"/>
    </row>
    <row r="242" spans="1:6" ht="14.4" x14ac:dyDescent="0.3">
      <c r="A242" s="171" t="s">
        <v>26</v>
      </c>
      <c r="B242" s="194">
        <v>3.8492092155863599E-8</v>
      </c>
      <c r="C242" s="186">
        <v>44618288.740000024</v>
      </c>
      <c r="D242" s="187">
        <f>C242*B242</f>
        <v>1.717451282017012</v>
      </c>
      <c r="E242" s="187">
        <f>D242*1000</f>
        <v>1717.4512820170121</v>
      </c>
      <c r="F242" s="174"/>
    </row>
    <row r="243" spans="1:6" ht="14.4" x14ac:dyDescent="0.3">
      <c r="A243" s="171" t="s">
        <v>34</v>
      </c>
      <c r="B243" s="194">
        <v>3.8492092155863599E-8</v>
      </c>
      <c r="C243" s="184">
        <f>2663460.04+778423.12</f>
        <v>3441883.16</v>
      </c>
      <c r="D243" s="187">
        <f>C243*B243</f>
        <v>0.13248528378443503</v>
      </c>
      <c r="E243" s="188">
        <f>D243*1000</f>
        <v>132.48528378443501</v>
      </c>
      <c r="F243" s="174"/>
    </row>
    <row r="244" spans="1:6" x14ac:dyDescent="0.25">
      <c r="A244" s="171"/>
      <c r="B244" s="172"/>
      <c r="C244" s="189">
        <f>SUM(C242:C243)</f>
        <v>48060171.900000021</v>
      </c>
      <c r="D244" s="190">
        <f>SUM(D242:D243)</f>
        <v>1.8499365658014471</v>
      </c>
      <c r="E244" s="190">
        <f>SUM(E242:E243)</f>
        <v>1849.9365658014472</v>
      </c>
      <c r="F244" s="174"/>
    </row>
    <row r="245" spans="1:6" x14ac:dyDescent="0.25">
      <c r="A245" s="191"/>
      <c r="B245" s="192"/>
      <c r="C245" s="192"/>
      <c r="D245" s="192"/>
      <c r="E245" s="192"/>
      <c r="F245" s="193"/>
    </row>
    <row r="249" spans="1:6" ht="15.6" x14ac:dyDescent="0.3">
      <c r="A249" s="195"/>
      <c r="B249" s="196"/>
      <c r="C249" s="197" t="s">
        <v>1</v>
      </c>
      <c r="D249" s="196"/>
      <c r="E249" s="196"/>
      <c r="F249" s="198"/>
    </row>
    <row r="250" spans="1:6" ht="15.6" x14ac:dyDescent="0.3">
      <c r="A250" s="199"/>
      <c r="B250" s="200"/>
      <c r="C250" s="201" t="s">
        <v>53</v>
      </c>
      <c r="D250" s="200"/>
      <c r="E250" s="200"/>
      <c r="F250" s="202"/>
    </row>
    <row r="251" spans="1:6" x14ac:dyDescent="0.25">
      <c r="A251" s="199"/>
      <c r="B251" s="200"/>
      <c r="C251" s="200"/>
      <c r="D251" s="200"/>
      <c r="E251" s="200"/>
      <c r="F251" s="202"/>
    </row>
    <row r="252" spans="1:6" x14ac:dyDescent="0.25">
      <c r="A252" s="199"/>
      <c r="B252" s="200"/>
      <c r="C252" s="200"/>
      <c r="D252" s="200"/>
      <c r="E252" s="200"/>
      <c r="F252" s="202"/>
    </row>
    <row r="253" spans="1:6" x14ac:dyDescent="0.25">
      <c r="A253" s="203" t="s">
        <v>3</v>
      </c>
      <c r="B253" s="204" t="s">
        <v>4</v>
      </c>
      <c r="C253" s="205" t="s">
        <v>5</v>
      </c>
      <c r="D253" s="205" t="s">
        <v>6</v>
      </c>
      <c r="E253" s="206" t="s">
        <v>7</v>
      </c>
      <c r="F253" s="202"/>
    </row>
    <row r="254" spans="1:6" x14ac:dyDescent="0.25">
      <c r="A254" s="199"/>
      <c r="B254" s="200"/>
      <c r="C254" s="207"/>
      <c r="D254" s="207"/>
      <c r="E254" s="208"/>
      <c r="F254" s="202"/>
    </row>
    <row r="255" spans="1:6" ht="14.4" x14ac:dyDescent="0.3">
      <c r="A255" s="199" t="s">
        <v>8</v>
      </c>
      <c r="B255" s="200" t="s">
        <v>9</v>
      </c>
      <c r="C255" s="209" t="s">
        <v>38</v>
      </c>
      <c r="D255" s="209" t="s">
        <v>38</v>
      </c>
      <c r="E255" s="210">
        <v>0.16</v>
      </c>
      <c r="F255" s="202"/>
    </row>
    <row r="256" spans="1:6" ht="14.4" x14ac:dyDescent="0.3">
      <c r="A256" s="199" t="s">
        <v>8</v>
      </c>
      <c r="B256" s="200" t="s">
        <v>10</v>
      </c>
      <c r="C256" s="209">
        <f>E273</f>
        <v>83.459925300666058</v>
      </c>
      <c r="D256" s="209">
        <f>C256*E256</f>
        <v>25.037977590199816</v>
      </c>
      <c r="E256" s="210">
        <v>0.3</v>
      </c>
      <c r="F256" s="202"/>
    </row>
    <row r="257" spans="1:6" ht="14.4" x14ac:dyDescent="0.3">
      <c r="A257" s="199" t="s">
        <v>8</v>
      </c>
      <c r="B257" s="200" t="s">
        <v>11</v>
      </c>
      <c r="C257" s="209">
        <f>E272</f>
        <v>1566.4980247618275</v>
      </c>
      <c r="D257" s="209">
        <f>C257*E257</f>
        <v>469.94940742854823</v>
      </c>
      <c r="E257" s="210">
        <v>0.3</v>
      </c>
      <c r="F257" s="202"/>
    </row>
    <row r="258" spans="1:6" ht="14.4" x14ac:dyDescent="0.3">
      <c r="A258" s="199" t="s">
        <v>12</v>
      </c>
      <c r="B258" s="200" t="s">
        <v>10</v>
      </c>
      <c r="C258" s="209">
        <v>202.4070084</v>
      </c>
      <c r="D258" s="209">
        <f>C258*E258</f>
        <v>157.87746655200002</v>
      </c>
      <c r="E258" s="210">
        <v>0.78</v>
      </c>
      <c r="F258" s="202"/>
    </row>
    <row r="259" spans="1:6" ht="14.4" x14ac:dyDescent="0.3">
      <c r="A259" s="199" t="s">
        <v>12</v>
      </c>
      <c r="B259" s="200" t="s">
        <v>11</v>
      </c>
      <c r="C259" s="209">
        <v>22.9439232</v>
      </c>
      <c r="D259" s="209">
        <f>C259*E259</f>
        <v>20.878970112000001</v>
      </c>
      <c r="E259" s="210">
        <v>0.91</v>
      </c>
      <c r="F259" s="202"/>
    </row>
    <row r="260" spans="1:6" x14ac:dyDescent="0.25">
      <c r="A260" s="199"/>
      <c r="B260" s="200"/>
      <c r="C260" s="211"/>
      <c r="D260" s="211"/>
      <c r="E260" s="200"/>
      <c r="F260" s="202"/>
    </row>
    <row r="261" spans="1:6" x14ac:dyDescent="0.25">
      <c r="A261" s="199"/>
      <c r="B261" s="200"/>
      <c r="C261" s="200"/>
      <c r="D261" s="200"/>
      <c r="E261" s="200"/>
      <c r="F261" s="202"/>
    </row>
    <row r="262" spans="1:6" x14ac:dyDescent="0.25">
      <c r="A262" s="199"/>
      <c r="B262" s="200" t="s">
        <v>13</v>
      </c>
      <c r="C262" s="200"/>
      <c r="D262" s="200"/>
      <c r="E262" s="200"/>
      <c r="F262" s="202"/>
    </row>
    <row r="263" spans="1:6" ht="14.4" x14ac:dyDescent="0.3">
      <c r="A263" s="199" t="s">
        <v>15</v>
      </c>
      <c r="B263" s="212">
        <v>6373311.9999999981</v>
      </c>
      <c r="C263" s="200"/>
      <c r="D263" s="200"/>
      <c r="E263" s="200"/>
      <c r="F263" s="202"/>
    </row>
    <row r="264" spans="1:6" ht="14.4" x14ac:dyDescent="0.3">
      <c r="A264" s="199" t="s">
        <v>16</v>
      </c>
      <c r="B264" s="212">
        <v>56224168.670000002</v>
      </c>
      <c r="C264" s="200"/>
      <c r="D264" s="200"/>
      <c r="E264" s="200"/>
      <c r="F264" s="202"/>
    </row>
    <row r="265" spans="1:6" x14ac:dyDescent="0.25">
      <c r="A265" s="203" t="s">
        <v>17</v>
      </c>
      <c r="B265" s="200"/>
      <c r="C265" s="200"/>
      <c r="D265" s="200"/>
      <c r="E265" s="200"/>
      <c r="F265" s="202"/>
    </row>
    <row r="266" spans="1:6" x14ac:dyDescent="0.25">
      <c r="A266" s="213" t="s">
        <v>18</v>
      </c>
      <c r="B266" s="200"/>
      <c r="C266" s="200"/>
      <c r="D266" s="200"/>
      <c r="E266" s="200"/>
      <c r="F266" s="202"/>
    </row>
    <row r="267" spans="1:6" x14ac:dyDescent="0.25">
      <c r="A267" s="199"/>
      <c r="B267" s="200"/>
      <c r="C267" s="200"/>
      <c r="D267" s="200"/>
      <c r="E267" s="200"/>
      <c r="F267" s="202"/>
    </row>
    <row r="268" spans="1:6" x14ac:dyDescent="0.25">
      <c r="A268" s="199"/>
      <c r="B268" s="200"/>
      <c r="C268" s="200"/>
      <c r="D268" s="200"/>
      <c r="E268" s="200"/>
      <c r="F268" s="202"/>
    </row>
    <row r="269" spans="1:6" x14ac:dyDescent="0.25">
      <c r="A269" s="199"/>
      <c r="B269" s="200"/>
      <c r="C269" s="200"/>
      <c r="D269" s="200"/>
      <c r="E269" s="200"/>
      <c r="F269" s="202"/>
    </row>
    <row r="270" spans="1:6" x14ac:dyDescent="0.25">
      <c r="A270" s="199" t="s">
        <v>19</v>
      </c>
      <c r="B270" s="200"/>
      <c r="C270" s="200"/>
      <c r="D270" s="200"/>
      <c r="E270" s="200"/>
      <c r="F270" s="202"/>
    </row>
    <row r="271" spans="1:6" x14ac:dyDescent="0.25">
      <c r="A271" s="199"/>
      <c r="B271" s="207" t="s">
        <v>22</v>
      </c>
      <c r="C271" s="207" t="s">
        <v>23</v>
      </c>
      <c r="D271" s="207" t="s">
        <v>24</v>
      </c>
      <c r="E271" s="207" t="s">
        <v>25</v>
      </c>
      <c r="F271" s="202"/>
    </row>
    <row r="272" spans="1:6" ht="14.4" x14ac:dyDescent="0.3">
      <c r="A272" s="199" t="s">
        <v>26</v>
      </c>
      <c r="B272" s="214">
        <v>3.8492092155863599E-8</v>
      </c>
      <c r="C272" s="215">
        <v>40696619.410000011</v>
      </c>
      <c r="D272" s="216">
        <f>C272*B272</f>
        <v>1.5664980247618276</v>
      </c>
      <c r="E272" s="216">
        <f>D272*1000</f>
        <v>1566.4980247618275</v>
      </c>
      <c r="F272" s="202"/>
    </row>
    <row r="273" spans="1:6" ht="14.4" x14ac:dyDescent="0.3">
      <c r="A273" s="199" t="s">
        <v>34</v>
      </c>
      <c r="B273" s="214">
        <v>3.8492092155863599E-8</v>
      </c>
      <c r="C273" s="212">
        <v>2168235.62</v>
      </c>
      <c r="D273" s="216">
        <f>C273*B273</f>
        <v>8.3459925300666052E-2</v>
      </c>
      <c r="E273" s="217">
        <f>D273*1000</f>
        <v>83.459925300666058</v>
      </c>
      <c r="F273" s="202"/>
    </row>
    <row r="274" spans="1:6" x14ac:dyDescent="0.25">
      <c r="A274" s="199"/>
      <c r="B274" s="200"/>
      <c r="C274" s="218">
        <f>SUM(C272:C273)</f>
        <v>42864855.030000009</v>
      </c>
      <c r="D274" s="219">
        <f>SUM(D272:D273)</f>
        <v>1.6499579500624937</v>
      </c>
      <c r="E274" s="219">
        <f>SUM(E272:E273)</f>
        <v>1649.9579500624936</v>
      </c>
      <c r="F274" s="202"/>
    </row>
    <row r="275" spans="1:6" x14ac:dyDescent="0.25">
      <c r="A275" s="220"/>
      <c r="B275" s="221"/>
      <c r="C275" s="221"/>
      <c r="D275" s="221"/>
      <c r="E275" s="221"/>
      <c r="F275" s="222"/>
    </row>
    <row r="278" spans="1:6" x14ac:dyDescent="0.25">
      <c r="C278" s="4" t="s">
        <v>25</v>
      </c>
    </row>
    <row r="279" spans="1:6" ht="26.4" x14ac:dyDescent="0.25">
      <c r="A279" s="161" t="s">
        <v>43</v>
      </c>
      <c r="B279" s="4" t="s">
        <v>9</v>
      </c>
      <c r="C279" s="4" t="s">
        <v>38</v>
      </c>
    </row>
    <row r="280" spans="1:6" x14ac:dyDescent="0.25">
      <c r="A280" s="4" t="s">
        <v>8</v>
      </c>
      <c r="B280" s="4" t="s">
        <v>10</v>
      </c>
      <c r="C280" s="4">
        <v>133.44140266064159</v>
      </c>
    </row>
    <row r="281" spans="1:6" x14ac:dyDescent="0.25">
      <c r="A281" s="4" t="s">
        <v>8</v>
      </c>
      <c r="B281" s="4" t="s">
        <v>11</v>
      </c>
      <c r="C281" s="4">
        <v>1521.6156755530919</v>
      </c>
    </row>
    <row r="282" spans="1:6" x14ac:dyDescent="0.25">
      <c r="A282" s="4" t="s">
        <v>12</v>
      </c>
      <c r="B282" s="4" t="s">
        <v>10</v>
      </c>
      <c r="C282" s="4">
        <v>215.4107952</v>
      </c>
    </row>
    <row r="283" spans="1:6" x14ac:dyDescent="0.25">
      <c r="A283" s="4" t="s">
        <v>12</v>
      </c>
      <c r="B283" s="4" t="s">
        <v>11</v>
      </c>
      <c r="C283" s="4">
        <v>36.968454000000001</v>
      </c>
    </row>
    <row r="287" spans="1:6" ht="13.8" thickBot="1" x14ac:dyDescent="0.3">
      <c r="A287" s="4" t="s">
        <v>46</v>
      </c>
    </row>
    <row r="288" spans="1:6" ht="29.4" thickBot="1" x14ac:dyDescent="0.3">
      <c r="A288" s="162"/>
      <c r="B288" s="163" t="s">
        <v>44</v>
      </c>
      <c r="C288" s="163" t="s">
        <v>45</v>
      </c>
    </row>
    <row r="289" spans="1:5" ht="15" thickBot="1" x14ac:dyDescent="0.3">
      <c r="A289" s="164">
        <v>2012</v>
      </c>
      <c r="B289" s="165">
        <v>225</v>
      </c>
      <c r="C289" s="165">
        <v>216</v>
      </c>
    </row>
    <row r="290" spans="1:5" ht="15" thickBot="1" x14ac:dyDescent="0.3">
      <c r="A290" s="164">
        <v>2013</v>
      </c>
      <c r="B290" s="165">
        <v>225</v>
      </c>
      <c r="C290" s="165">
        <v>213</v>
      </c>
    </row>
    <row r="291" spans="1:5" ht="15" thickBot="1" x14ac:dyDescent="0.3">
      <c r="A291" s="164">
        <v>2014</v>
      </c>
      <c r="B291" s="165">
        <v>225</v>
      </c>
      <c r="C291" s="165">
        <v>209</v>
      </c>
    </row>
    <row r="292" spans="1:5" ht="15" thickBot="1" x14ac:dyDescent="0.3">
      <c r="A292" s="164">
        <v>2015</v>
      </c>
      <c r="B292" s="165">
        <v>225</v>
      </c>
      <c r="C292" s="165">
        <v>250</v>
      </c>
    </row>
    <row r="293" spans="1:5" ht="15" thickBot="1" x14ac:dyDescent="0.3">
      <c r="A293" s="164">
        <v>2016</v>
      </c>
      <c r="B293" s="165">
        <v>225</v>
      </c>
      <c r="C293" s="165">
        <v>284</v>
      </c>
    </row>
    <row r="294" spans="1:5" ht="15" thickBot="1" x14ac:dyDescent="0.3">
      <c r="A294" s="164">
        <v>2017</v>
      </c>
      <c r="B294" s="165">
        <v>225</v>
      </c>
      <c r="C294" s="165">
        <v>270</v>
      </c>
    </row>
    <row r="300" spans="1:5" x14ac:dyDescent="0.25">
      <c r="B300" s="4" t="s">
        <v>25</v>
      </c>
    </row>
    <row r="301" spans="1:5" x14ac:dyDescent="0.25">
      <c r="A301" s="166" t="s">
        <v>47</v>
      </c>
      <c r="B301" s="166" t="s">
        <v>48</v>
      </c>
      <c r="C301" s="166" t="s">
        <v>50</v>
      </c>
      <c r="D301" s="166" t="s">
        <v>49</v>
      </c>
      <c r="E301" s="166" t="s">
        <v>51</v>
      </c>
    </row>
    <row r="302" spans="1:5" x14ac:dyDescent="0.25">
      <c r="A302" s="166">
        <v>2017</v>
      </c>
      <c r="B302" s="166">
        <v>214.29400000000001</v>
      </c>
      <c r="C302" s="166">
        <v>56.542000000000002</v>
      </c>
      <c r="D302" s="166">
        <v>111.99569436964158</v>
      </c>
      <c r="E302" s="166">
        <v>1386.2725405999997</v>
      </c>
    </row>
    <row r="303" spans="1:5" x14ac:dyDescent="0.25">
      <c r="A303" s="166">
        <v>2018</v>
      </c>
      <c r="B303" s="166">
        <v>215.4107952</v>
      </c>
      <c r="C303" s="166">
        <v>36.968454000000001</v>
      </c>
      <c r="D303" s="166">
        <v>133.44140266064159</v>
      </c>
      <c r="E303" s="166">
        <v>1521.6156755530919</v>
      </c>
    </row>
    <row r="306" spans="1:6" ht="15.6" x14ac:dyDescent="0.3">
      <c r="A306" s="43"/>
      <c r="B306" s="44"/>
      <c r="C306" s="45" t="s">
        <v>1</v>
      </c>
      <c r="D306" s="44"/>
      <c r="E306" s="44"/>
      <c r="F306" s="46"/>
    </row>
    <row r="307" spans="1:6" ht="15.6" x14ac:dyDescent="0.3">
      <c r="A307" s="47"/>
      <c r="B307" s="48"/>
      <c r="C307" s="49" t="s">
        <v>54</v>
      </c>
      <c r="D307" s="48"/>
      <c r="E307" s="48"/>
      <c r="F307" s="50"/>
    </row>
    <row r="308" spans="1:6" x14ac:dyDescent="0.25">
      <c r="A308" s="47"/>
      <c r="B308" s="48"/>
      <c r="C308" s="48"/>
      <c r="D308" s="48"/>
      <c r="E308" s="48"/>
      <c r="F308" s="50"/>
    </row>
    <row r="309" spans="1:6" x14ac:dyDescent="0.25">
      <c r="A309" s="47"/>
      <c r="B309" s="48"/>
      <c r="C309" s="48"/>
      <c r="D309" s="48"/>
      <c r="E309" s="48"/>
      <c r="F309" s="50"/>
    </row>
    <row r="310" spans="1:6" x14ac:dyDescent="0.25">
      <c r="A310" s="51" t="s">
        <v>3</v>
      </c>
      <c r="B310" s="52" t="s">
        <v>4</v>
      </c>
      <c r="C310" s="53" t="s">
        <v>5</v>
      </c>
      <c r="D310" s="53" t="s">
        <v>6</v>
      </c>
      <c r="E310" s="54" t="s">
        <v>7</v>
      </c>
      <c r="F310" s="50"/>
    </row>
    <row r="311" spans="1:6" x14ac:dyDescent="0.25">
      <c r="A311" s="47"/>
      <c r="B311" s="48"/>
      <c r="C311" s="55"/>
      <c r="D311" s="55"/>
      <c r="E311" s="56"/>
      <c r="F311" s="50"/>
    </row>
    <row r="312" spans="1:6" ht="14.4" x14ac:dyDescent="0.3">
      <c r="A312" s="47" t="s">
        <v>8</v>
      </c>
      <c r="B312" s="48" t="s">
        <v>9</v>
      </c>
      <c r="C312" s="57" t="s">
        <v>38</v>
      </c>
      <c r="D312" s="57" t="s">
        <v>38</v>
      </c>
      <c r="E312" s="58">
        <v>0.16</v>
      </c>
      <c r="F312" s="50"/>
    </row>
    <row r="313" spans="1:6" ht="14.4" x14ac:dyDescent="0.3">
      <c r="A313" s="47" t="s">
        <v>8</v>
      </c>
      <c r="B313" s="48" t="s">
        <v>10</v>
      </c>
      <c r="C313" s="57">
        <f>E330</f>
        <v>71.721468487993207</v>
      </c>
      <c r="D313" s="57">
        <f>C313*E313</f>
        <v>21.516440546397963</v>
      </c>
      <c r="E313" s="58">
        <v>0.3</v>
      </c>
      <c r="F313" s="50"/>
    </row>
    <row r="314" spans="1:6" ht="14.4" x14ac:dyDescent="0.3">
      <c r="A314" s="47" t="s">
        <v>8</v>
      </c>
      <c r="B314" s="48" t="s">
        <v>11</v>
      </c>
      <c r="C314" s="57">
        <f>E329</f>
        <v>1619.1222803104977</v>
      </c>
      <c r="D314" s="57">
        <f>C314*E314</f>
        <v>485.73668409314928</v>
      </c>
      <c r="E314" s="58">
        <v>0.3</v>
      </c>
      <c r="F314" s="50"/>
    </row>
    <row r="315" spans="1:6" ht="14.4" x14ac:dyDescent="0.3">
      <c r="A315" s="47" t="s">
        <v>12</v>
      </c>
      <c r="B315" s="48" t="s">
        <v>10</v>
      </c>
      <c r="C315" s="229">
        <f>C321*1000</f>
        <v>182.1380724</v>
      </c>
      <c r="D315" s="57">
        <f>C315*E315</f>
        <v>142.06769647199999</v>
      </c>
      <c r="E315" s="58">
        <v>0.78</v>
      </c>
      <c r="F315" s="50"/>
    </row>
    <row r="316" spans="1:6" ht="14.4" x14ac:dyDescent="0.3">
      <c r="A316" s="47" t="s">
        <v>12</v>
      </c>
      <c r="B316" s="48" t="s">
        <v>11</v>
      </c>
      <c r="C316" s="229">
        <f>C320*1000</f>
        <v>31.866807599999998</v>
      </c>
      <c r="D316" s="57">
        <f>C316*E316</f>
        <v>28.998794915999998</v>
      </c>
      <c r="E316" s="58">
        <v>0.91</v>
      </c>
      <c r="F316" s="50"/>
    </row>
    <row r="317" spans="1:6" x14ac:dyDescent="0.25">
      <c r="A317" s="47"/>
      <c r="B317" s="48"/>
      <c r="C317" s="60"/>
      <c r="D317" s="60"/>
      <c r="E317" s="48"/>
      <c r="F317" s="50"/>
    </row>
    <row r="318" spans="1:6" x14ac:dyDescent="0.25">
      <c r="A318" s="47"/>
      <c r="B318" s="48"/>
      <c r="C318" s="48"/>
      <c r="D318" s="48"/>
      <c r="E318" s="48"/>
      <c r="F318" s="50"/>
    </row>
    <row r="319" spans="1:6" x14ac:dyDescent="0.25">
      <c r="A319" s="47"/>
      <c r="B319" s="48" t="s">
        <v>13</v>
      </c>
      <c r="C319" s="157" t="s">
        <v>14</v>
      </c>
      <c r="D319" s="48"/>
      <c r="E319" s="48"/>
      <c r="F319" s="50"/>
    </row>
    <row r="320" spans="1:6" ht="14.4" x14ac:dyDescent="0.3">
      <c r="A320" s="47" t="s">
        <v>15</v>
      </c>
      <c r="B320" s="61">
        <v>8851891</v>
      </c>
      <c r="C320" s="228">
        <f>B320/10^6*0.0036</f>
        <v>3.1866807599999998E-2</v>
      </c>
      <c r="D320" s="48"/>
      <c r="E320" s="48"/>
      <c r="F320" s="50"/>
    </row>
    <row r="321" spans="1:6" ht="14.4" x14ac:dyDescent="0.3">
      <c r="A321" s="47" t="s">
        <v>16</v>
      </c>
      <c r="B321" s="61">
        <v>50593909</v>
      </c>
      <c r="C321" s="228">
        <f>B321/10^6*0.0036</f>
        <v>0.18213807239999999</v>
      </c>
      <c r="D321" s="48"/>
      <c r="E321" s="48"/>
      <c r="F321" s="50"/>
    </row>
    <row r="322" spans="1:6" x14ac:dyDescent="0.25">
      <c r="A322" s="51" t="s">
        <v>17</v>
      </c>
      <c r="B322" s="48"/>
      <c r="C322" s="48"/>
      <c r="D322" s="48"/>
      <c r="E322" s="48"/>
      <c r="F322" s="50"/>
    </row>
    <row r="323" spans="1:6" x14ac:dyDescent="0.25">
      <c r="A323" s="64" t="s">
        <v>18</v>
      </c>
      <c r="B323" s="48"/>
      <c r="C323" s="48"/>
      <c r="D323" s="48"/>
      <c r="E323" s="48"/>
      <c r="F323" s="50"/>
    </row>
    <row r="324" spans="1:6" x14ac:dyDescent="0.25">
      <c r="A324" s="47"/>
      <c r="B324" s="48"/>
      <c r="C324" s="48"/>
      <c r="D324" s="48"/>
      <c r="E324" s="48"/>
      <c r="F324" s="50"/>
    </row>
    <row r="325" spans="1:6" x14ac:dyDescent="0.25">
      <c r="A325" s="47"/>
      <c r="B325" s="48"/>
      <c r="C325" s="48"/>
      <c r="D325" s="48"/>
      <c r="E325" s="48"/>
      <c r="F325" s="50"/>
    </row>
    <row r="326" spans="1:6" x14ac:dyDescent="0.25">
      <c r="A326" s="47"/>
      <c r="B326" s="48"/>
      <c r="C326" s="48"/>
      <c r="D326" s="48"/>
      <c r="E326" s="48"/>
      <c r="F326" s="50"/>
    </row>
    <row r="327" spans="1:6" x14ac:dyDescent="0.25">
      <c r="A327" s="47" t="s">
        <v>19</v>
      </c>
      <c r="B327" s="48"/>
      <c r="C327" s="48"/>
      <c r="D327" s="48"/>
      <c r="E327" s="48"/>
      <c r="F327" s="50"/>
    </row>
    <row r="328" spans="1:6" x14ac:dyDescent="0.25">
      <c r="A328" s="47"/>
      <c r="B328" s="55" t="s">
        <v>22</v>
      </c>
      <c r="C328" s="55" t="s">
        <v>23</v>
      </c>
      <c r="D328" s="55" t="s">
        <v>24</v>
      </c>
      <c r="E328" s="55" t="s">
        <v>25</v>
      </c>
      <c r="F328" s="50"/>
    </row>
    <row r="329" spans="1:6" ht="14.4" x14ac:dyDescent="0.3">
      <c r="A329" s="47" t="s">
        <v>26</v>
      </c>
      <c r="B329" s="223">
        <v>3.8492092155863599E-8</v>
      </c>
      <c r="C329" s="224">
        <v>42063764</v>
      </c>
      <c r="D329" s="225">
        <f>C329*B329</f>
        <v>1.6191222803104977</v>
      </c>
      <c r="E329" s="225">
        <f>D329*1000</f>
        <v>1619.1222803104977</v>
      </c>
      <c r="F329" s="50"/>
    </row>
    <row r="330" spans="1:6" ht="14.4" x14ac:dyDescent="0.3">
      <c r="A330" s="47" t="s">
        <v>34</v>
      </c>
      <c r="B330" s="223">
        <v>3.8492092155863599E-8</v>
      </c>
      <c r="C330" s="61">
        <v>1863278</v>
      </c>
      <c r="D330" s="225">
        <f>C330*B330</f>
        <v>7.1721468487993212E-2</v>
      </c>
      <c r="E330" s="226">
        <f>D330*1000</f>
        <v>71.721468487993207</v>
      </c>
      <c r="F330" s="50"/>
    </row>
    <row r="331" spans="1:6" x14ac:dyDescent="0.25">
      <c r="A331" s="47"/>
      <c r="B331" s="48"/>
      <c r="C331" s="227">
        <f>SUM(C329:C330)</f>
        <v>43927042</v>
      </c>
      <c r="D331" s="70">
        <f>SUM(D329:D330)</f>
        <v>1.6908437487984909</v>
      </c>
      <c r="E331" s="70">
        <f>SUM(E329:E330)</f>
        <v>1690.8437487984909</v>
      </c>
      <c r="F331" s="50"/>
    </row>
    <row r="332" spans="1:6" x14ac:dyDescent="0.25">
      <c r="A332" s="72"/>
      <c r="B332" s="73"/>
      <c r="C332" s="73"/>
      <c r="D332" s="73"/>
      <c r="E332" s="73"/>
      <c r="F332" s="74"/>
    </row>
    <row r="336" spans="1:6" ht="15.6" x14ac:dyDescent="0.3">
      <c r="A336" s="231"/>
      <c r="B336" s="232"/>
      <c r="C336" s="233" t="s">
        <v>1</v>
      </c>
      <c r="D336" s="232"/>
      <c r="E336" s="232"/>
      <c r="F336" s="234"/>
    </row>
    <row r="337" spans="1:6" ht="15.6" x14ac:dyDescent="0.3">
      <c r="A337" s="235"/>
      <c r="B337" s="236"/>
      <c r="C337" s="237" t="s">
        <v>55</v>
      </c>
      <c r="D337" s="236"/>
      <c r="E337" s="236"/>
      <c r="F337" s="238"/>
    </row>
    <row r="338" spans="1:6" x14ac:dyDescent="0.25">
      <c r="A338" s="235"/>
      <c r="B338" s="236"/>
      <c r="C338" s="236"/>
      <c r="D338" s="236"/>
      <c r="E338" s="236"/>
      <c r="F338" s="238"/>
    </row>
    <row r="339" spans="1:6" x14ac:dyDescent="0.25">
      <c r="A339" s="235"/>
      <c r="B339" s="236"/>
      <c r="C339" s="236"/>
      <c r="D339" s="236"/>
      <c r="E339" s="236"/>
      <c r="F339" s="238"/>
    </row>
    <row r="340" spans="1:6" x14ac:dyDescent="0.25">
      <c r="A340" s="239" t="s">
        <v>3</v>
      </c>
      <c r="B340" s="240" t="s">
        <v>4</v>
      </c>
      <c r="C340" s="241" t="s">
        <v>5</v>
      </c>
      <c r="D340" s="241" t="s">
        <v>6</v>
      </c>
      <c r="E340" s="242" t="s">
        <v>7</v>
      </c>
      <c r="F340" s="238"/>
    </row>
    <row r="341" spans="1:6" x14ac:dyDescent="0.25">
      <c r="A341" s="235"/>
      <c r="B341" s="236"/>
      <c r="C341" s="243"/>
      <c r="D341" s="243"/>
      <c r="E341" s="244"/>
      <c r="F341" s="238"/>
    </row>
    <row r="342" spans="1:6" ht="14.4" x14ac:dyDescent="0.3">
      <c r="A342" s="235" t="s">
        <v>8</v>
      </c>
      <c r="B342" s="236" t="s">
        <v>9</v>
      </c>
      <c r="C342" s="245" t="s">
        <v>38</v>
      </c>
      <c r="D342" s="245" t="s">
        <v>38</v>
      </c>
      <c r="E342" s="246">
        <v>0.16</v>
      </c>
      <c r="F342" s="238"/>
    </row>
    <row r="343" spans="1:6" ht="14.4" x14ac:dyDescent="0.3">
      <c r="A343" s="235" t="s">
        <v>8</v>
      </c>
      <c r="B343" s="236" t="s">
        <v>10</v>
      </c>
      <c r="C343" s="245">
        <f>E360</f>
        <v>89.653433031815979</v>
      </c>
      <c r="D343" s="245">
        <f>C343*E343</f>
        <v>26.896029909544794</v>
      </c>
      <c r="E343" s="246">
        <v>0.3</v>
      </c>
      <c r="F343" s="238"/>
    </row>
    <row r="344" spans="1:6" ht="14.4" x14ac:dyDescent="0.3">
      <c r="A344" s="235" t="s">
        <v>8</v>
      </c>
      <c r="B344" s="236" t="s">
        <v>11</v>
      </c>
      <c r="C344" s="245">
        <f>E359</f>
        <v>1581.0191122537769</v>
      </c>
      <c r="D344" s="245">
        <f>C344*E344</f>
        <v>474.30573367613306</v>
      </c>
      <c r="E344" s="246">
        <v>0.3</v>
      </c>
      <c r="F344" s="238"/>
    </row>
    <row r="345" spans="1:6" ht="14.4" x14ac:dyDescent="0.3">
      <c r="A345" s="235" t="s">
        <v>12</v>
      </c>
      <c r="B345" s="236" t="s">
        <v>10</v>
      </c>
      <c r="C345" s="245">
        <f>C351*1000</f>
        <v>188.1601488</v>
      </c>
      <c r="D345" s="245">
        <f>C345*E345</f>
        <v>146.764916064</v>
      </c>
      <c r="E345" s="246">
        <v>0.78</v>
      </c>
      <c r="F345" s="238"/>
    </row>
    <row r="346" spans="1:6" ht="14.4" x14ac:dyDescent="0.3">
      <c r="A346" s="235" t="s">
        <v>12</v>
      </c>
      <c r="B346" s="236" t="s">
        <v>11</v>
      </c>
      <c r="C346" s="245">
        <f>C350*1000</f>
        <v>14.496667199999999</v>
      </c>
      <c r="D346" s="245">
        <f>C346*E346</f>
        <v>13.191967152</v>
      </c>
      <c r="E346" s="246">
        <v>0.91</v>
      </c>
      <c r="F346" s="238"/>
    </row>
    <row r="347" spans="1:6" x14ac:dyDescent="0.25">
      <c r="A347" s="235"/>
      <c r="B347" s="236"/>
      <c r="C347" s="247"/>
      <c r="D347" s="247"/>
      <c r="E347" s="236"/>
      <c r="F347" s="238"/>
    </row>
    <row r="348" spans="1:6" x14ac:dyDescent="0.25">
      <c r="A348" s="235"/>
      <c r="B348" s="236"/>
      <c r="C348" s="236"/>
      <c r="D348" s="236"/>
      <c r="E348" s="236"/>
      <c r="F348" s="238"/>
    </row>
    <row r="349" spans="1:6" x14ac:dyDescent="0.25">
      <c r="A349" s="235"/>
      <c r="B349" s="236" t="s">
        <v>13</v>
      </c>
      <c r="C349" s="236" t="s">
        <v>14</v>
      </c>
      <c r="D349" s="236"/>
      <c r="E349" s="236"/>
      <c r="F349" s="238"/>
    </row>
    <row r="350" spans="1:6" ht="14.4" x14ac:dyDescent="0.3">
      <c r="A350" s="235" t="s">
        <v>15</v>
      </c>
      <c r="B350" s="248">
        <v>4026852</v>
      </c>
      <c r="C350" s="249">
        <f>B350/10^6*0.0036</f>
        <v>1.4496667199999999E-2</v>
      </c>
      <c r="D350" s="236"/>
      <c r="E350" s="236"/>
      <c r="F350" s="238"/>
    </row>
    <row r="351" spans="1:6" ht="14.4" x14ac:dyDescent="0.3">
      <c r="A351" s="235" t="s">
        <v>16</v>
      </c>
      <c r="B351" s="248">
        <v>52266708</v>
      </c>
      <c r="C351" s="249">
        <f>B351/10^6*0.0036</f>
        <v>0.18816014880000001</v>
      </c>
      <c r="D351" s="236"/>
      <c r="E351" s="236"/>
      <c r="F351" s="238"/>
    </row>
    <row r="352" spans="1:6" x14ac:dyDescent="0.25">
      <c r="A352" s="239" t="s">
        <v>17</v>
      </c>
      <c r="B352" s="236"/>
      <c r="C352" s="236"/>
      <c r="D352" s="236"/>
      <c r="E352" s="236"/>
      <c r="F352" s="238"/>
    </row>
    <row r="353" spans="1:6" x14ac:dyDescent="0.25">
      <c r="A353" s="250" t="s">
        <v>18</v>
      </c>
      <c r="B353" s="236"/>
      <c r="C353" s="236"/>
      <c r="D353" s="236"/>
      <c r="E353" s="236"/>
      <c r="F353" s="238"/>
    </row>
    <row r="354" spans="1:6" x14ac:dyDescent="0.25">
      <c r="A354" s="235"/>
      <c r="B354" s="236"/>
      <c r="C354" s="236"/>
      <c r="D354" s="236"/>
      <c r="E354" s="236"/>
      <c r="F354" s="238"/>
    </row>
    <row r="355" spans="1:6" x14ac:dyDescent="0.25">
      <c r="A355" s="235"/>
      <c r="B355" s="236"/>
      <c r="C355" s="236"/>
      <c r="D355" s="236"/>
      <c r="E355" s="236"/>
      <c r="F355" s="238"/>
    </row>
    <row r="356" spans="1:6" x14ac:dyDescent="0.25">
      <c r="A356" s="235"/>
      <c r="B356" s="236"/>
      <c r="C356" s="236"/>
      <c r="D356" s="236"/>
      <c r="E356" s="236"/>
      <c r="F356" s="238"/>
    </row>
    <row r="357" spans="1:6" x14ac:dyDescent="0.25">
      <c r="A357" s="235" t="s">
        <v>19</v>
      </c>
      <c r="B357" s="236"/>
      <c r="C357" s="236"/>
      <c r="D357" s="236"/>
      <c r="E357" s="236"/>
      <c r="F357" s="238"/>
    </row>
    <row r="358" spans="1:6" x14ac:dyDescent="0.25">
      <c r="A358" s="235"/>
      <c r="B358" s="243" t="s">
        <v>22</v>
      </c>
      <c r="C358" s="243" t="s">
        <v>23</v>
      </c>
      <c r="D358" s="243" t="s">
        <v>24</v>
      </c>
      <c r="E358" s="243" t="s">
        <v>25</v>
      </c>
      <c r="F358" s="238"/>
    </row>
    <row r="359" spans="1:6" ht="14.4" x14ac:dyDescent="0.3">
      <c r="A359" s="235" t="s">
        <v>26</v>
      </c>
      <c r="B359" s="251">
        <v>3.8492092155863599E-8</v>
      </c>
      <c r="C359" s="252">
        <v>41073868</v>
      </c>
      <c r="D359" s="253">
        <f>C359*B359</f>
        <v>1.5810191122537769</v>
      </c>
      <c r="E359" s="253">
        <f>D359*1000</f>
        <v>1581.0191122537769</v>
      </c>
      <c r="F359" s="238"/>
    </row>
    <row r="360" spans="1:6" ht="14.4" x14ac:dyDescent="0.3">
      <c r="A360" s="235" t="s">
        <v>34</v>
      </c>
      <c r="B360" s="251">
        <v>3.8492092155863599E-8</v>
      </c>
      <c r="C360" s="248">
        <v>2329139</v>
      </c>
      <c r="D360" s="253">
        <f>C360*B360</f>
        <v>8.9653433031815985E-2</v>
      </c>
      <c r="E360" s="254">
        <f>D360*1000</f>
        <v>89.653433031815979</v>
      </c>
      <c r="F360" s="238"/>
    </row>
    <row r="361" spans="1:6" x14ac:dyDescent="0.25">
      <c r="A361" s="235"/>
      <c r="B361" s="236"/>
      <c r="C361" s="255">
        <f>SUM(C359:C360)</f>
        <v>43403007</v>
      </c>
      <c r="D361" s="256">
        <f>SUM(D359:D360)</f>
        <v>1.6706725452855928</v>
      </c>
      <c r="E361" s="256">
        <f>SUM(E359:E360)</f>
        <v>1670.6725452855928</v>
      </c>
      <c r="F361" s="238"/>
    </row>
    <row r="362" spans="1:6" x14ac:dyDescent="0.25">
      <c r="A362" s="257"/>
      <c r="B362" s="258"/>
      <c r="C362" s="258"/>
      <c r="D362" s="258"/>
      <c r="E362" s="258"/>
      <c r="F362" s="259"/>
    </row>
    <row r="366" spans="1:6" ht="15.6" x14ac:dyDescent="0.3">
      <c r="A366" s="260"/>
      <c r="B366" s="261"/>
      <c r="C366" s="262" t="s">
        <v>1</v>
      </c>
      <c r="D366" s="261"/>
      <c r="E366" s="261"/>
      <c r="F366" s="263"/>
    </row>
    <row r="367" spans="1:6" ht="15.6" x14ac:dyDescent="0.3">
      <c r="A367" s="264"/>
      <c r="B367" s="265"/>
      <c r="C367" s="266" t="s">
        <v>56</v>
      </c>
      <c r="D367" s="265"/>
      <c r="E367" s="265"/>
      <c r="F367" s="267"/>
    </row>
    <row r="368" spans="1:6" x14ac:dyDescent="0.25">
      <c r="A368" s="264"/>
      <c r="B368" s="265"/>
      <c r="C368" s="265"/>
      <c r="D368" s="265"/>
      <c r="E368" s="265"/>
      <c r="F368" s="267"/>
    </row>
    <row r="369" spans="1:6" x14ac:dyDescent="0.25">
      <c r="A369" s="264"/>
      <c r="B369" s="265"/>
      <c r="C369" s="265"/>
      <c r="D369" s="265"/>
      <c r="E369" s="265"/>
      <c r="F369" s="267"/>
    </row>
    <row r="370" spans="1:6" x14ac:dyDescent="0.25">
      <c r="A370" s="268" t="s">
        <v>3</v>
      </c>
      <c r="B370" s="269" t="s">
        <v>4</v>
      </c>
      <c r="C370" s="270" t="s">
        <v>5</v>
      </c>
      <c r="D370" s="270" t="s">
        <v>57</v>
      </c>
      <c r="E370" s="271" t="s">
        <v>7</v>
      </c>
      <c r="F370" s="267"/>
    </row>
    <row r="371" spans="1:6" x14ac:dyDescent="0.25">
      <c r="A371" s="264"/>
      <c r="B371" s="265"/>
      <c r="C371" s="272"/>
      <c r="D371" s="272"/>
      <c r="E371" s="273"/>
      <c r="F371" s="267"/>
    </row>
    <row r="372" spans="1:6" ht="14.4" x14ac:dyDescent="0.3">
      <c r="A372" s="264" t="s">
        <v>8</v>
      </c>
      <c r="B372" s="265" t="s">
        <v>9</v>
      </c>
      <c r="C372" s="274" t="s">
        <v>38</v>
      </c>
      <c r="D372" s="274" t="s">
        <v>38</v>
      </c>
      <c r="E372" s="275">
        <v>0.16</v>
      </c>
      <c r="F372" s="267"/>
    </row>
    <row r="373" spans="1:6" ht="14.4" x14ac:dyDescent="0.3">
      <c r="A373" s="264" t="s">
        <v>8</v>
      </c>
      <c r="B373" s="265" t="s">
        <v>10</v>
      </c>
      <c r="C373" s="274">
        <f>E390</f>
        <v>133.89689812133227</v>
      </c>
      <c r="D373" s="274">
        <f>C373*E373</f>
        <v>40.169069436399681</v>
      </c>
      <c r="E373" s="275">
        <v>0.3</v>
      </c>
      <c r="F373" s="267"/>
    </row>
    <row r="374" spans="1:6" ht="14.4" x14ac:dyDescent="0.3">
      <c r="A374" s="264" t="s">
        <v>8</v>
      </c>
      <c r="B374" s="265" t="s">
        <v>11</v>
      </c>
      <c r="C374" s="274">
        <f>E389</f>
        <v>1435.6646579813303</v>
      </c>
      <c r="D374" s="274">
        <f>C374*E374</f>
        <v>430.69939739439906</v>
      </c>
      <c r="E374" s="275">
        <v>0.3</v>
      </c>
      <c r="F374" s="267"/>
    </row>
    <row r="375" spans="1:6" ht="14.4" x14ac:dyDescent="0.3">
      <c r="A375" s="264" t="s">
        <v>12</v>
      </c>
      <c r="B375" s="265" t="s">
        <v>10</v>
      </c>
      <c r="C375" s="274">
        <f>C381*1000</f>
        <v>192.4156692</v>
      </c>
      <c r="D375" s="274">
        <f>C375*E375</f>
        <v>150.08422197600001</v>
      </c>
      <c r="E375" s="275">
        <v>0.78</v>
      </c>
      <c r="F375" s="267"/>
    </row>
    <row r="376" spans="1:6" ht="14.4" x14ac:dyDescent="0.3">
      <c r="A376" s="264" t="s">
        <v>12</v>
      </c>
      <c r="B376" s="265" t="s">
        <v>11</v>
      </c>
      <c r="C376" s="274">
        <f>C380*1000</f>
        <v>12.923852399999999</v>
      </c>
      <c r="D376" s="274">
        <f>C376*E376</f>
        <v>11.760705683999999</v>
      </c>
      <c r="E376" s="275">
        <v>0.91</v>
      </c>
      <c r="F376" s="267"/>
    </row>
    <row r="377" spans="1:6" x14ac:dyDescent="0.25">
      <c r="A377" s="264"/>
      <c r="B377" s="265"/>
      <c r="C377" s="276"/>
      <c r="D377" s="276"/>
      <c r="E377" s="265"/>
      <c r="F377" s="267"/>
    </row>
    <row r="378" spans="1:6" x14ac:dyDescent="0.25">
      <c r="A378" s="264"/>
      <c r="B378" s="265"/>
      <c r="C378" s="265"/>
      <c r="D378" s="265"/>
      <c r="E378" s="265"/>
      <c r="F378" s="267"/>
    </row>
    <row r="379" spans="1:6" x14ac:dyDescent="0.25">
      <c r="A379" s="264"/>
      <c r="B379" s="265" t="s">
        <v>13</v>
      </c>
      <c r="C379" s="265" t="s">
        <v>14</v>
      </c>
      <c r="D379" s="265"/>
      <c r="E379" s="265"/>
      <c r="F379" s="267"/>
    </row>
    <row r="380" spans="1:6" ht="14.4" x14ac:dyDescent="0.3">
      <c r="A380" s="264" t="s">
        <v>15</v>
      </c>
      <c r="B380" s="277">
        <v>3589959</v>
      </c>
      <c r="C380" s="278">
        <f>B380/10^6*0.0036</f>
        <v>1.29238524E-2</v>
      </c>
      <c r="D380" s="265"/>
      <c r="E380" s="265"/>
      <c r="F380" s="267"/>
    </row>
    <row r="381" spans="1:6" ht="14.4" x14ac:dyDescent="0.3">
      <c r="A381" s="264" t="s">
        <v>16</v>
      </c>
      <c r="B381" s="277">
        <v>53448797</v>
      </c>
      <c r="C381" s="278">
        <f>B381/10^6*0.0036</f>
        <v>0.1924156692</v>
      </c>
      <c r="D381" s="265"/>
      <c r="E381" s="265"/>
      <c r="F381" s="267"/>
    </row>
    <row r="382" spans="1:6" x14ac:dyDescent="0.25">
      <c r="A382" s="268" t="s">
        <v>17</v>
      </c>
      <c r="B382" s="265"/>
      <c r="C382" s="265"/>
      <c r="D382" s="265"/>
      <c r="E382" s="265"/>
      <c r="F382" s="267"/>
    </row>
    <row r="383" spans="1:6" x14ac:dyDescent="0.25">
      <c r="A383" s="279" t="s">
        <v>18</v>
      </c>
      <c r="B383" s="265"/>
      <c r="C383" s="265"/>
      <c r="D383" s="265"/>
      <c r="E383" s="265"/>
      <c r="F383" s="267"/>
    </row>
    <row r="384" spans="1:6" x14ac:dyDescent="0.25">
      <c r="A384" s="264"/>
      <c r="B384" s="265"/>
      <c r="C384" s="265"/>
      <c r="D384" s="265"/>
      <c r="E384" s="265"/>
      <c r="F384" s="267"/>
    </row>
    <row r="385" spans="1:6" x14ac:dyDescent="0.25">
      <c r="A385" s="264"/>
      <c r="B385" s="265"/>
      <c r="C385" s="265"/>
      <c r="D385" s="265"/>
      <c r="E385" s="265"/>
      <c r="F385" s="267"/>
    </row>
    <row r="386" spans="1:6" x14ac:dyDescent="0.25">
      <c r="A386" s="264"/>
      <c r="B386" s="265"/>
      <c r="C386" s="265"/>
      <c r="D386" s="265"/>
      <c r="E386" s="265"/>
      <c r="F386" s="267"/>
    </row>
    <row r="387" spans="1:6" x14ac:dyDescent="0.25">
      <c r="A387" s="264" t="s">
        <v>19</v>
      </c>
      <c r="B387" s="265"/>
      <c r="C387" s="265"/>
      <c r="D387" s="265"/>
      <c r="E387" s="265"/>
      <c r="F387" s="267"/>
    </row>
    <row r="388" spans="1:6" x14ac:dyDescent="0.25">
      <c r="A388" s="264"/>
      <c r="B388" s="272" t="s">
        <v>22</v>
      </c>
      <c r="C388" s="272" t="s">
        <v>23</v>
      </c>
      <c r="D388" s="272" t="s">
        <v>24</v>
      </c>
      <c r="E388" s="272" t="s">
        <v>25</v>
      </c>
      <c r="F388" s="267"/>
    </row>
    <row r="389" spans="1:6" ht="14.4" x14ac:dyDescent="0.3">
      <c r="A389" s="264" t="s">
        <v>26</v>
      </c>
      <c r="B389" s="280">
        <v>3.8492092155863599E-8</v>
      </c>
      <c r="C389" s="281">
        <v>37297652</v>
      </c>
      <c r="D389" s="282">
        <f>C389*B389</f>
        <v>1.4356646579813304</v>
      </c>
      <c r="E389" s="282">
        <f>D389*1000</f>
        <v>1435.6646579813303</v>
      </c>
      <c r="F389" s="267"/>
    </row>
    <row r="390" spans="1:6" ht="14.4" x14ac:dyDescent="0.3">
      <c r="A390" s="264" t="s">
        <v>34</v>
      </c>
      <c r="B390" s="280">
        <v>3.8492092155863599E-8</v>
      </c>
      <c r="C390" s="277">
        <v>3478556</v>
      </c>
      <c r="D390" s="282">
        <f>C390*B390</f>
        <v>0.13389689812133226</v>
      </c>
      <c r="E390" s="283">
        <f>D390*1000</f>
        <v>133.89689812133227</v>
      </c>
      <c r="F390" s="267"/>
    </row>
    <row r="391" spans="1:6" x14ac:dyDescent="0.25">
      <c r="A391" s="264"/>
      <c r="B391" s="265"/>
      <c r="C391" s="284">
        <f>SUM(C389:C390)</f>
        <v>40776208</v>
      </c>
      <c r="D391" s="285">
        <f>SUM(D389:D390)</f>
        <v>1.5695615561026626</v>
      </c>
      <c r="E391" s="285">
        <f>SUM(E389:E390)</f>
        <v>1569.5615561026625</v>
      </c>
      <c r="F391" s="267"/>
    </row>
    <row r="392" spans="1:6" x14ac:dyDescent="0.25">
      <c r="A392" s="286"/>
      <c r="B392" s="287"/>
      <c r="C392" s="287"/>
      <c r="D392" s="287"/>
      <c r="E392" s="287"/>
      <c r="F392" s="288"/>
    </row>
  </sheetData>
  <hyperlinks>
    <hyperlink ref="A50" r:id="rId1" xr:uid="{00000000-0004-0000-0000-000000000000}"/>
    <hyperlink ref="A18" r:id="rId2" xr:uid="{00000000-0004-0000-0000-000001000000}"/>
    <hyperlink ref="A114" r:id="rId3" xr:uid="{00000000-0004-0000-0000-000002000000}"/>
    <hyperlink ref="A82" r:id="rId4" xr:uid="{00000000-0004-0000-0000-000003000000}"/>
    <hyperlink ref="A148" r:id="rId5" xr:uid="{00000000-0004-0000-0000-000004000000}"/>
    <hyperlink ref="A177" r:id="rId6" xr:uid="{00000000-0004-0000-0000-000005000000}"/>
    <hyperlink ref="A206" r:id="rId7" xr:uid="{00000000-0004-0000-0000-000006000000}"/>
    <hyperlink ref="A236" r:id="rId8" xr:uid="{4084B97E-F593-4315-ADFB-AB204E1A142F}"/>
    <hyperlink ref="A266" r:id="rId9" xr:uid="{C289D42D-9493-465C-BD08-255CB9C139BA}"/>
    <hyperlink ref="A323" r:id="rId10" xr:uid="{A6AE2ACE-3E43-4C9F-A22F-2194E96A0F62}"/>
    <hyperlink ref="A353" r:id="rId11" xr:uid="{024F292B-EA68-4640-81CD-0F55F9B651ED}"/>
    <hyperlink ref="A383" r:id="rId12" xr:uid="{64E82B5D-CC93-4297-9131-C10BDC77640D}"/>
  </hyperlinks>
  <pageMargins left="0.7" right="0.7" top="0.75" bottom="0.75" header="0.3" footer="0.3"/>
  <pageSetup paperSize="9" orientation="portrait" r:id="rId13"/>
  <legacyDrawing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7c7565c3-8702-48ad-9d58-fc5b9eb71ff9" ContentTypeId="0x0101" PreviousValue="false" LastSyncTimeStamp="2020-05-18T03:21:37.773Z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02B07971F01419619A5935D6CC48F" ma:contentTypeVersion="6" ma:contentTypeDescription="Create a new document." ma:contentTypeScope="" ma:versionID="9187a492c003750361465d26a50668f0">
  <xsd:schema xmlns:xsd="http://www.w3.org/2001/XMLSchema" xmlns:xs="http://www.w3.org/2001/XMLSchema" xmlns:p="http://schemas.microsoft.com/office/2006/metadata/properties" xmlns:ns2="00e1e4d5-28c5-4d5e-afad-d000cbda2452" xmlns:ns3="ce9b6e86-98e8-464e-866a-543f02e97d9d" targetNamespace="http://schemas.microsoft.com/office/2006/metadata/properties" ma:root="true" ma:fieldsID="005207880e5bf42ed9d19e0130d5db97" ns2:_="" ns3:_="">
    <xsd:import namespace="00e1e4d5-28c5-4d5e-afad-d000cbda2452"/>
    <xsd:import namespace="ce9b6e86-98e8-464e-866a-543f02e97d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1e4d5-28c5-4d5e-afad-d000cbda2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b6e86-98e8-464e-866a-543f02e97d9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D74A1-998A-4B5C-A009-83D756692B5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4B757F7-8AFC-4D5A-ACD8-3E537651B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00FDD4-F240-413E-9D28-5F81498EEEF9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00e1e4d5-28c5-4d5e-afad-d000cbda2452"/>
    <ds:schemaRef ds:uri="http://www.w3.org/XML/1998/namespace"/>
    <ds:schemaRef ds:uri="ce9b6e86-98e8-464e-866a-543f02e97d9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16844E87-82E3-4A17-9119-E2FB4F345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e1e4d5-28c5-4d5e-afad-d000cbda2452"/>
    <ds:schemaRef ds:uri="ce9b6e86-98e8-464e-866a-543f02e97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EECA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Krishnan</dc:creator>
  <cp:lastModifiedBy>Achini Weerasinghe</cp:lastModifiedBy>
  <dcterms:created xsi:type="dcterms:W3CDTF">2019-07-23T21:33:24Z</dcterms:created>
  <dcterms:modified xsi:type="dcterms:W3CDTF">2025-06-11T00:50:07Z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0x01010042502B07971F01419619A5935D6CC48F</vt:lpwstr>
  </property>
</Properties>
</file>