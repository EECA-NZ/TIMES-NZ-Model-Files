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3237D218-7CEA-41AD-BBF6-112309430CC4}" xr6:coauthVersionLast="47" xr6:coauthVersionMax="47" xr10:uidLastSave="{00000000-0000-0000-0000-000000000000}"/>
  <bookViews>
    <workbookView xWindow="1560" yWindow="156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M8" i="1" s="1"/>
  <c r="P8" i="1"/>
  <c r="Q8" i="1"/>
  <c r="R8" i="1"/>
  <c r="O9" i="1"/>
  <c r="M9" i="1" s="1"/>
  <c r="P9" i="1"/>
  <c r="Q9" i="1"/>
  <c r="R9" i="1"/>
  <c r="O10" i="1"/>
  <c r="P10" i="1"/>
  <c r="Q10" i="1"/>
  <c r="R10" i="1"/>
  <c r="O11" i="1"/>
  <c r="P11" i="1"/>
  <c r="Q11" i="1"/>
  <c r="R11" i="1"/>
  <c r="O12" i="1"/>
  <c r="M12" i="1" s="1"/>
  <c r="P12" i="1"/>
  <c r="Q12" i="1"/>
  <c r="R12" i="1"/>
  <c r="O13" i="1"/>
  <c r="M13" i="1" s="1"/>
  <c r="P13" i="1"/>
  <c r="Q13" i="1"/>
  <c r="R13" i="1"/>
  <c r="O14" i="1"/>
  <c r="M14" i="1" s="1"/>
  <c r="P14" i="1"/>
  <c r="Q14" i="1"/>
  <c r="R14" i="1"/>
  <c r="O15" i="1"/>
  <c r="P15" i="1"/>
  <c r="Q15" i="1"/>
  <c r="R15" i="1"/>
  <c r="O7" i="1"/>
  <c r="P7" i="1"/>
  <c r="Q7" i="1"/>
  <c r="R7" i="1"/>
  <c r="S8" i="1"/>
  <c r="S9" i="1"/>
  <c r="S10" i="1"/>
  <c r="S11" i="1"/>
  <c r="S12" i="1"/>
  <c r="S13" i="1"/>
  <c r="S14" i="1"/>
  <c r="S15" i="1"/>
  <c r="S7" i="1"/>
  <c r="M10" i="1"/>
  <c r="M11" i="1"/>
  <c r="M15" i="1"/>
  <c r="M7" i="1"/>
  <c r="C3" i="2"/>
  <c r="T8" i="1"/>
  <c r="T9" i="1"/>
  <c r="T10" i="1"/>
  <c r="T11" i="1"/>
  <c r="T12" i="1"/>
  <c r="T13" i="1"/>
  <c r="T14" i="1"/>
  <c r="T15" i="1"/>
  <c r="T7" i="1"/>
  <c r="C4" i="2" l="1"/>
  <c r="C8" i="2"/>
  <c r="C7" i="2" l="1"/>
  <c r="C6" i="2"/>
  <c r="C5" i="2"/>
  <c r="B5" i="2" l="1"/>
  <c r="B6" i="2" s="1"/>
  <c r="B7" i="2" l="1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<sst xmlns="http://schemas.openxmlformats.org/spreadsheetml/2006/main" count="37" uniqueCount="19">
  <si>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</si>
  <si>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</si>
  <si>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</si>
  <si>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</si>
  <si>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</si>
  <si>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</si>
  <si>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</si>
  <si>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</si>
  <si>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</si>
  <si>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</si>
  <si>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</si>
  <si>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</si>
  <si>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~TFM_INS</t>
  </si>
  <si>
    <t>TOTCO2</t>
  </si>
  <si>
    <t>CSET_CN</t>
  </si>
  <si>
    <t>Kea</t>
  </si>
  <si>
    <t>Tui</t>
  </si>
  <si>
    <t>~InputCell: 6</t>
  </si>
  <si>
    <t>COM_BNDNET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</si>
</sst>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B2" sqref="B2:C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"&amp;TEXT(CO2Price!C6,"0.00")&amp;""</f>
        <v>TOTCO2 reduction multiplier 1.00</v>
      </c>
    </row>
    <row r="5" spans="2:22">
      <c r="B5" s="4">
        <f>B4+1</f>
        <v>3</v>
      </c>
      <c r="C5" s="5" t="str">
        <f>"TOTCO2 reduction multiplier "&amp;TEXT(CO2Price!C7,"0.00")&amp;""</f>
        <v>TOTCO2 reduction multiplier 2.00</v>
      </c>
    </row>
    <row r="6" spans="2:22">
      <c r="B6" s="4">
        <f t="shared" ref="B6:B20" si="0">B5+1</f>
        <v>4</v>
      </c>
      <c r="C6" s="5" t="str">
        <f>"TOTCO2 reduction multiplier "&amp;TEXT(CO2Price!C8,"0.00")&amp;""</f>
        <v>TOTCO2 reduction multiplier 3.00</v>
      </c>
    </row>
    <row r="7" spans="2:22">
      <c r="B7" s="4">
        <f t="shared" si="0"/>
        <v>5</v>
      </c>
      <c r="C7" s="5" t="str">
        <f>"TOTCO2 reduction multiplier "&amp;TEXT(CO2Price!C9,"0.00")&amp;""</f>
        <v>TOTCO2 reduction multiplier 4.00</v>
      </c>
    </row>
    <row r="8" spans="2:22">
      <c r="B8" s="4">
        <f t="shared" si="0"/>
        <v>6</v>
      </c>
      <c r="C8" s="5" t="str">
        <f>"TOTCO2 reduction multiplier "&amp;TEXT(CO2Price!C10,"0.00")&amp;""</f>
        <v>TOTCO2 reduction multiplier 5.00</v>
      </c>
    </row>
    <row r="9" spans="2:22">
      <c r="B9" s="4">
        <f t="shared" si="0"/>
        <v>7</v>
      </c>
      <c r="C9" s="5"/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tabSelected="1" workbookViewId="0">
      <selection activeCell="I22" sqref="I2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4">
      <c r="A1" t="s">
        <v>17</v>
      </c>
    </row>
    <row r="2" spans="1:24">
      <c r="A2" s="1">
        <v>6</v>
      </c>
    </row>
    <row r="5" spans="1:24">
      <c r="B5" t="s">
        <v>6</v>
      </c>
      <c r="C5" t="s">
        <v>7</v>
      </c>
      <c r="F5" s="9" t="s">
        <v>12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4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>
        <v>6</v>
      </c>
      <c r="P6" s="8">
        <v>5</v>
      </c>
      <c r="Q6" s="8">
        <v>4</v>
      </c>
      <c r="R6" s="8">
        <v>3</v>
      </c>
      <c r="S6" s="8">
        <v>2</v>
      </c>
      <c r="T6" s="8">
        <v>1</v>
      </c>
      <c r="U6" s="8">
        <v>0</v>
      </c>
      <c r="W6" t="s">
        <v>15</v>
      </c>
      <c r="X6" t="s">
        <v>16</v>
      </c>
    </row>
    <row r="7" spans="1:24" ht="15.75" thickBot="1">
      <c r="B7">
        <v>2</v>
      </c>
      <c r="C7" s="8">
        <v>2</v>
      </c>
      <c r="F7" s="8"/>
      <c r="G7" s="8"/>
      <c r="H7" s="8" t="s">
        <v>18</v>
      </c>
      <c r="I7" s="8"/>
      <c r="J7" s="8" t="s">
        <v>13</v>
      </c>
      <c r="K7" s="8"/>
      <c r="L7" s="12">
        <v>2020</v>
      </c>
      <c r="M7" s="8">
        <f>INDEX(O7:T7,MATCH($A$2,$O$6:$T$6,0))</f>
        <v>0.2</v>
      </c>
      <c r="O7" s="8">
        <f t="shared" ref="O7:Q7" si="0">P$6*$S7</f>
        <v>0.2</v>
      </c>
      <c r="P7" s="8">
        <f t="shared" si="0"/>
        <v>0.16</v>
      </c>
      <c r="Q7" s="8">
        <f t="shared" si="0"/>
        <v>0.12</v>
      </c>
      <c r="R7" s="8">
        <f>S$6*$S7</f>
        <v>0.08</v>
      </c>
      <c r="S7" s="8">
        <f>X7</f>
        <v>0.04</v>
      </c>
      <c r="T7" s="8">
        <f t="shared" ref="T7:T15" si="1">U$6*$W7</f>
        <v>0</v>
      </c>
      <c r="W7" s="8">
        <v>0.04</v>
      </c>
      <c r="X7">
        <v>0.04</v>
      </c>
    </row>
    <row r="8" spans="1:24" ht="15.75" thickBot="1">
      <c r="B8">
        <v>3</v>
      </c>
      <c r="C8" s="8">
        <v>3</v>
      </c>
      <c r="F8" s="8"/>
      <c r="G8" s="8"/>
      <c r="H8" s="8" t="s">
        <v>18</v>
      </c>
      <c r="I8" s="8"/>
      <c r="J8" s="8" t="s">
        <v>13</v>
      </c>
      <c r="K8" s="8"/>
      <c r="L8" s="12">
        <v>2025</v>
      </c>
      <c r="M8" s="8">
        <f t="shared" ref="M8:M15" si="2">INDEX(O8:T8,MATCH($A$2,$O$6:$T$6,0))</f>
        <v>0.22499999999999998</v>
      </c>
      <c r="O8" s="8">
        <f t="shared" ref="O8:R8" si="3">P$6*$S8</f>
        <v>0.22499999999999998</v>
      </c>
      <c r="P8" s="8">
        <f t="shared" si="3"/>
        <v>0.18</v>
      </c>
      <c r="Q8" s="8">
        <f t="shared" si="3"/>
        <v>0.13500000000000001</v>
      </c>
      <c r="R8" s="8">
        <f t="shared" si="3"/>
        <v>0.09</v>
      </c>
      <c r="S8" s="8">
        <f t="shared" ref="S8:S15" si="4">X8</f>
        <v>4.4999999999999998E-2</v>
      </c>
      <c r="T8" s="8">
        <f t="shared" si="1"/>
        <v>0</v>
      </c>
      <c r="W8" s="8">
        <v>0.06</v>
      </c>
      <c r="X8">
        <v>4.4999999999999998E-2</v>
      </c>
    </row>
    <row r="9" spans="1:24" ht="15.75" thickBot="1">
      <c r="B9">
        <v>4</v>
      </c>
      <c r="C9" s="8">
        <v>4</v>
      </c>
      <c r="F9" s="8"/>
      <c r="G9" s="8"/>
      <c r="H9" s="8" t="s">
        <v>18</v>
      </c>
      <c r="I9" s="8"/>
      <c r="J9" s="8" t="s">
        <v>13</v>
      </c>
      <c r="K9" s="8"/>
      <c r="L9" s="12">
        <v>2030</v>
      </c>
      <c r="M9" s="8">
        <f t="shared" si="2"/>
        <v>0.25</v>
      </c>
      <c r="O9" s="8">
        <f t="shared" ref="O9:R9" si="5">P$6*$S9</f>
        <v>0.25</v>
      </c>
      <c r="P9" s="8">
        <f t="shared" si="5"/>
        <v>0.2</v>
      </c>
      <c r="Q9" s="8">
        <f t="shared" si="5"/>
        <v>0.15000000000000002</v>
      </c>
      <c r="R9" s="8">
        <f t="shared" si="5"/>
        <v>0.1</v>
      </c>
      <c r="S9" s="8">
        <f t="shared" si="4"/>
        <v>0.05</v>
      </c>
      <c r="T9" s="8">
        <f t="shared" si="1"/>
        <v>0</v>
      </c>
      <c r="W9" s="8">
        <v>0.105</v>
      </c>
      <c r="X9">
        <v>0.05</v>
      </c>
    </row>
    <row r="10" spans="1:24" ht="15.75" thickBot="1">
      <c r="B10">
        <v>5</v>
      </c>
      <c r="C10" s="8">
        <v>5</v>
      </c>
      <c r="F10" s="8"/>
      <c r="G10" s="8"/>
      <c r="H10" s="8" t="s">
        <v>18</v>
      </c>
      <c r="I10" s="8"/>
      <c r="J10" s="8" t="s">
        <v>13</v>
      </c>
      <c r="K10" s="8"/>
      <c r="L10" s="12">
        <v>2035</v>
      </c>
      <c r="M10" s="8">
        <f t="shared" si="2"/>
        <v>0.3</v>
      </c>
      <c r="O10" s="8">
        <f t="shared" ref="O10:R10" si="6">P$6*$S10</f>
        <v>0.3</v>
      </c>
      <c r="P10" s="8">
        <f t="shared" si="6"/>
        <v>0.24</v>
      </c>
      <c r="Q10" s="8">
        <f t="shared" si="6"/>
        <v>0.18</v>
      </c>
      <c r="R10" s="8">
        <f t="shared" si="6"/>
        <v>0.12</v>
      </c>
      <c r="S10" s="8">
        <f t="shared" si="4"/>
        <v>0.06</v>
      </c>
      <c r="T10" s="8">
        <f t="shared" si="1"/>
        <v>0</v>
      </c>
      <c r="W10" s="8">
        <v>0.12</v>
      </c>
      <c r="X10">
        <v>0.06</v>
      </c>
    </row>
    <row r="11" spans="1:24" ht="15.75" thickBot="1">
      <c r="B11">
        <v>6</v>
      </c>
      <c r="C11" s="8">
        <v>6</v>
      </c>
      <c r="F11" s="8"/>
      <c r="G11" s="8"/>
      <c r="H11" s="8" t="s">
        <v>18</v>
      </c>
      <c r="I11" s="8"/>
      <c r="J11" s="8" t="s">
        <v>13</v>
      </c>
      <c r="K11" s="8"/>
      <c r="L11" s="12">
        <v>2040</v>
      </c>
      <c r="M11" s="8">
        <f t="shared" si="2"/>
        <v>0.35000000000000003</v>
      </c>
      <c r="O11" s="8">
        <f t="shared" ref="O11:R11" si="7">P$6*$S11</f>
        <v>0.35000000000000003</v>
      </c>
      <c r="P11" s="8">
        <f t="shared" si="7"/>
        <v>0.28000000000000003</v>
      </c>
      <c r="Q11" s="8">
        <f t="shared" si="7"/>
        <v>0.21000000000000002</v>
      </c>
      <c r="R11" s="8">
        <f t="shared" si="7"/>
        <v>0.14000000000000001</v>
      </c>
      <c r="S11" s="8">
        <f t="shared" si="4"/>
        <v>7.0000000000000007E-2</v>
      </c>
      <c r="T11" s="8">
        <f t="shared" si="1"/>
        <v>0</v>
      </c>
      <c r="W11" s="8">
        <v>0.14000000000000001</v>
      </c>
      <c r="X11">
        <v>7.0000000000000007E-2</v>
      </c>
    </row>
    <row r="12" spans="1:24" ht="15.75" thickBot="1">
      <c r="C12" s="8"/>
      <c r="F12" s="8"/>
      <c r="G12" s="8"/>
      <c r="H12" s="8" t="s">
        <v>18</v>
      </c>
      <c r="I12" s="8"/>
      <c r="J12" s="8" t="s">
        <v>13</v>
      </c>
      <c r="K12" s="8"/>
      <c r="L12" s="12">
        <v>2045</v>
      </c>
      <c r="M12" s="8">
        <f t="shared" si="2"/>
        <v>0.4</v>
      </c>
      <c r="O12" s="8">
        <f t="shared" ref="O12:R12" si="8">P$6*$S12</f>
        <v>0.4</v>
      </c>
      <c r="P12" s="8">
        <f t="shared" si="8"/>
        <v>0.32</v>
      </c>
      <c r="Q12" s="8">
        <f t="shared" si="8"/>
        <v>0.24</v>
      </c>
      <c r="R12" s="8">
        <f t="shared" si="8"/>
        <v>0.16</v>
      </c>
      <c r="S12" s="8">
        <f t="shared" si="4"/>
        <v>0.08</v>
      </c>
      <c r="T12" s="8">
        <f t="shared" si="1"/>
        <v>0</v>
      </c>
      <c r="U12" s="7"/>
      <c r="W12" s="8">
        <v>0.155</v>
      </c>
      <c r="X12">
        <v>0.08</v>
      </c>
    </row>
    <row r="13" spans="1:24">
      <c r="C13" s="8"/>
      <c r="F13" s="8"/>
      <c r="G13" s="8"/>
      <c r="H13" s="8" t="s">
        <v>18</v>
      </c>
      <c r="I13" s="8"/>
      <c r="J13" s="8" t="s">
        <v>13</v>
      </c>
      <c r="K13" s="8"/>
      <c r="L13" s="14">
        <v>2050</v>
      </c>
      <c r="M13" s="8">
        <f t="shared" si="2"/>
        <v>0.47499999999999998</v>
      </c>
      <c r="O13" s="8">
        <f t="shared" ref="O13:R13" si="9">P$6*$S13</f>
        <v>0.47499999999999998</v>
      </c>
      <c r="P13" s="8">
        <f t="shared" si="9"/>
        <v>0.38</v>
      </c>
      <c r="Q13" s="8">
        <f t="shared" si="9"/>
        <v>0.28500000000000003</v>
      </c>
      <c r="R13" s="8">
        <f t="shared" si="9"/>
        <v>0.19</v>
      </c>
      <c r="S13" s="8">
        <f t="shared" si="4"/>
        <v>9.5000000000000001E-2</v>
      </c>
      <c r="T13" s="8">
        <f t="shared" si="1"/>
        <v>0</v>
      </c>
      <c r="U13" s="7"/>
      <c r="W13" s="8">
        <v>0.17</v>
      </c>
      <c r="X13">
        <v>9.5000000000000001E-2</v>
      </c>
    </row>
    <row r="14" spans="1:24">
      <c r="C14" s="8"/>
      <c r="F14" s="7"/>
      <c r="G14" s="7"/>
      <c r="H14" s="8" t="s">
        <v>18</v>
      </c>
      <c r="I14" s="7"/>
      <c r="J14" s="6" t="s">
        <v>13</v>
      </c>
      <c r="K14" s="7"/>
      <c r="L14" s="7">
        <v>2055</v>
      </c>
      <c r="M14" s="8">
        <f t="shared" si="2"/>
        <v>0.57500000000000007</v>
      </c>
      <c r="O14" s="8">
        <f t="shared" ref="O14:R14" si="10">P$6*$S14</f>
        <v>0.57500000000000007</v>
      </c>
      <c r="P14" s="8">
        <f t="shared" si="10"/>
        <v>0.46</v>
      </c>
      <c r="Q14" s="8">
        <f t="shared" si="10"/>
        <v>0.34500000000000003</v>
      </c>
      <c r="R14" s="8">
        <f t="shared" si="10"/>
        <v>0.23</v>
      </c>
      <c r="S14" s="8">
        <f t="shared" si="4"/>
        <v>0.115</v>
      </c>
      <c r="T14" s="8">
        <f t="shared" si="1"/>
        <v>0</v>
      </c>
      <c r="W14" s="8">
        <v>0.185</v>
      </c>
      <c r="X14">
        <v>0.115</v>
      </c>
    </row>
    <row r="15" spans="1:24">
      <c r="C15" s="8"/>
      <c r="F15" s="7"/>
      <c r="G15" s="7"/>
      <c r="H15" s="8" t="s">
        <v>18</v>
      </c>
      <c r="I15" s="7"/>
      <c r="J15" s="6" t="s">
        <v>13</v>
      </c>
      <c r="K15" s="7"/>
      <c r="L15" s="7">
        <v>2060</v>
      </c>
      <c r="M15" s="8">
        <f t="shared" si="2"/>
        <v>0.65</v>
      </c>
      <c r="O15" s="8">
        <f t="shared" ref="O15:R15" si="11">P$6*$S15</f>
        <v>0.65</v>
      </c>
      <c r="P15" s="8">
        <f t="shared" si="11"/>
        <v>0.52</v>
      </c>
      <c r="Q15" s="8">
        <f t="shared" si="11"/>
        <v>0.39</v>
      </c>
      <c r="R15" s="8">
        <f t="shared" si="11"/>
        <v>0.26</v>
      </c>
      <c r="S15" s="8">
        <f t="shared" si="4"/>
        <v>0.13</v>
      </c>
      <c r="T15" s="8">
        <f t="shared" si="1"/>
        <v>0</v>
      </c>
      <c r="W15" s="8">
        <v>0.20499999999999999</v>
      </c>
      <c r="X15">
        <v>0.13</v>
      </c>
    </row>
    <row r="16" spans="1:24">
      <c r="F16" s="7"/>
      <c r="G16" s="7"/>
      <c r="H16" s="8" t="s">
        <v>18</v>
      </c>
      <c r="I16" s="7"/>
      <c r="J16" s="6" t="s">
        <v>13</v>
      </c>
      <c r="K16" s="7"/>
      <c r="L16" s="7">
        <v>0</v>
      </c>
      <c r="M16" s="7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W16" s="8">
        <v>0</v>
      </c>
      <c r="X16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2022-12-05T02:14:50Z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