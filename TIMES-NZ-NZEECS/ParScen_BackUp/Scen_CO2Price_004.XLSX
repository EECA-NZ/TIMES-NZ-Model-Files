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34_hydro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1" l="1"/>
  <c r="Q10" i="1"/>
  <c r="Q11" i="1" s="1"/>
  <c r="Q12" i="1" s="1"/>
  <c r="Q13" i="1" s="1"/>
  <c r="Q14" i="1" s="1"/>
  <c r="Q9" i="1"/>
  <c r="R15" i="1"/>
  <c r="R9" i="1"/>
  <c r="R10" i="1" s="1"/>
  <c r="R11" i="1" s="1"/>
  <c r="R12" i="1" s="1"/>
  <c r="R13" i="1" s="1"/>
  <c r="R14" i="1" s="1"/>
  <c r="R8" i="1"/>
  <c r="Q8" i="1"/>
  <c r="P9" i="1"/>
  <c r="P10" i="1" s="1"/>
  <c r="P11" i="1" s="1"/>
  <c r="P12" i="1" s="1"/>
  <c r="P13" i="1" s="1"/>
  <c r="P14" i="1" s="1"/>
  <c r="P8" i="1"/>
  <c r="O9" i="1"/>
  <c r="O10" i="1" s="1"/>
  <c r="O11" i="1" s="1"/>
  <c r="O12" i="1" s="1"/>
  <c r="O13" i="1" s="1"/>
  <c r="O14" i="1" s="1"/>
  <c r="O8" i="1"/>
  <c r="M8" i="1" l="1"/>
  <c r="M9" i="1"/>
  <c r="M7" i="1"/>
  <c r="O15" i="1"/>
  <c r="M15" i="1" s="1"/>
  <c r="P15" i="1"/>
  <c r="M14" i="1" l="1"/>
  <c r="M13" i="1"/>
  <c r="M12" i="1"/>
  <c r="M11" i="1"/>
  <c r="M10" i="1"/>
  <c r="C3" i="2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<sst xmlns="http://schemas.openxmlformats.org/spreadsheetml/2006/main" count="33" uniqueCount="17">
  <si>
    <t>Attribute</t>
  </si>
  <si>
    <t>Year</t>
  </si>
  <si>
    <t>Cset_CN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</si>
  <si>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</si>
  <si>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</si>
  <si>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</si>
  <si>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</si>
  <si>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</si>
  <si>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</si>
  <si>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</si>
  <si>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COM_TAXNET</t>
  </si>
  <si>
    <t>TOTCO2</t>
  </si>
  <si>
    <t>Cset_Set</t>
  </si>
  <si>
    <t>Cset_CD</t>
  </si>
  <si>
    <t>AllRegions</t>
  </si>
  <si>
    <t>~TFM_INS</t>
  </si>
  <si>
    <t>~InputCell: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</si>
</sst>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800" b="0" i="0" baseline="0">
                <a:effectLst/>
              </a:rPr>
              <a:t>CO2 price, NZD/tCO2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CO2Price!$O$7:$O$13</c:f>
              <c:numCache>
                <c:formatCode>General</c:formatCode>
                <c:ptCount val="7"/>
                <c:pt idx="0">
                  <c:v>25</c:v>
                </c:pt>
                <c:pt idx="1">
                  <c:v>40.262750000000011</c:v>
                </c:pt>
                <c:pt idx="2">
                  <c:v>64.843561502500037</c:v>
                </c:pt>
                <c:pt idx="3">
                  <c:v>104.43120423539138</c:v>
                </c:pt>
                <c:pt idx="4">
                  <c:v>168.18749873314022</c:v>
                </c:pt>
                <c:pt idx="5">
                  <c:v>270.86764858470974</c:v>
                </c:pt>
                <c:pt idx="6">
                  <c:v>436.23505672216106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29-43B9-883C-C2C27BC9D80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CO2Price!$P$7:$P$13</c:f>
              <c:numCache>
                <c:formatCode>General</c:formatCode>
                <c:ptCount val="7"/>
                <c:pt idx="0">
                  <c:v>25</c:v>
                </c:pt>
                <c:pt idx="1">
                  <c:v>36.733201920000006</c:v>
                </c:pt>
                <c:pt idx="2">
                  <c:v>53.97312493181969</c:v>
                </c:pt>
                <c:pt idx="3">
                  <c:v>79.304227854956778</c:v>
                </c:pt>
                <c:pt idx="4">
                  <c:v>116.52392859623266</c:v>
                </c:pt>
                <c:pt idx="5">
                  <c:v>171.2118799054831</c:v>
                </c:pt>
                <c:pt idx="6">
                  <c:v>251.5664222268361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29-43B9-883C-C2C27BC9D80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CO2Price!$Q$7:$Q$13</c:f>
              <c:numCache>
                <c:formatCode>General</c:formatCode>
                <c:ptCount val="7"/>
                <c:pt idx="0">
                  <c:v>25</c:v>
                </c:pt>
                <c:pt idx="1">
                  <c:v>36.733201920000006</c:v>
                </c:pt>
                <c:pt idx="2">
                  <c:v>49.157310356489454</c:v>
                </c:pt>
                <c:pt idx="3">
                  <c:v>65.783570045075592</c:v>
                </c:pt>
                <c:pt idx="4">
                  <c:v>88.033256020161375</c:v>
                </c:pt>
                <c:pt idx="5">
                  <c:v>117.80835488558918</c:v>
                </c:pt>
                <c:pt idx="6">
                  <c:v>157.65415376287342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29-43B9-883C-C2C27BC9D80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CO2Price!$R$7:$R$13</c:f>
              <c:numCache>
                <c:formatCode>General</c:formatCode>
                <c:ptCount val="7"/>
                <c:pt idx="0">
                  <c:v>25</c:v>
                </c:pt>
                <c:pt idx="1">
                  <c:v>30.416322560000008</c:v>
                </c:pt>
                <c:pt idx="2">
                  <c:v>37.006107122958618</c:v>
                </c:pt>
                <c:pt idx="3">
                  <c:v>45.023587637672925</c:v>
                </c:pt>
                <c:pt idx="4">
                  <c:v>54.778078575835536</c:v>
                </c:pt>
                <c:pt idx="5">
                  <c:v>66.645908287185577</c:v>
                </c:pt>
                <c:pt idx="6">
                  <c:v>81.084937750688567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29-43B9-883C-C2C27BC9D80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CO2Price!$L$7:$L$13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CO2Price!$S$7:$S$13</c:f>
              <c:numCache>
                <c:formatCode>General</c:formatCode>
                <c:ptCount val="7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29-43B9-883C-C2C27BC9D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743808"/>
        <c:axId val="471743480"/>
      </c:lineChart>
      <c:catAx>
        <c:axId val="47174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43480"/>
        <c:crosses val="autoZero"/>
        <c:auto val="1"/>
        <c:lblAlgn val="ctr"/>
        <c:lblOffset val="100"/>
        <c:noMultiLvlLbl val="0"/>
      </c:catAx>
      <c:valAx>
        <c:axId val="47174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4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714375</xdr:colOff>
      <xdr:row>16</xdr:row>
      <xdr:rowOff>0</xdr:rowOff>
    </xdr:from>
    <xdr:to>
      <xdr:col>14</xdr:col>
      <xdr:colOff>323850</xdr:colOff>
      <xdr:row>30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9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3</v>
      </c>
      <c r="C2" s="3" t="s">
        <v>4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"&amp;TEXT(CO2Price!C7,"0.00")&amp;""</f>
        <v>TOTCO2 reduction multiplier 2.00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3.00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4.00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5.00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6.00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7.00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8.00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9.00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10.00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9"/>
  <sheetViews>
    <sheetView tabSelected="1" topLeftCell="F16" workbookViewId="0">
      <selection activeCell="Q28" sqref="Q28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1">
      <c r="A1" t="s">
        <v>16</v>
      </c>
    </row>
    <row r="2" spans="1:21">
      <c r="A2" s="1">
        <v>4</v>
      </c>
    </row>
    <row r="5" spans="1:21">
      <c r="B5" t="s">
        <v>7</v>
      </c>
      <c r="C5" t="s">
        <v>8</v>
      </c>
      <c r="F5" s="9" t="s">
        <v>15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1" ht="15.75" thickBot="1">
      <c r="B6">
        <v>1</v>
      </c>
      <c r="C6">
        <v>1</v>
      </c>
      <c r="F6" s="11" t="s">
        <v>5</v>
      </c>
      <c r="G6" s="11" t="s">
        <v>6</v>
      </c>
      <c r="H6" s="11" t="s">
        <v>0</v>
      </c>
      <c r="I6" s="13" t="s">
        <v>12</v>
      </c>
      <c r="J6" s="13" t="s">
        <v>2</v>
      </c>
      <c r="K6" s="13" t="s">
        <v>13</v>
      </c>
      <c r="L6" s="12" t="s">
        <v>1</v>
      </c>
      <c r="M6" s="12" t="s">
        <v>14</v>
      </c>
      <c r="N6" s="14"/>
      <c r="O6" s="8">
        <v>5</v>
      </c>
      <c r="P6" s="8">
        <v>4</v>
      </c>
      <c r="Q6" s="8">
        <v>3</v>
      </c>
      <c r="R6" s="8">
        <v>2</v>
      </c>
      <c r="S6" s="8">
        <v>1</v>
      </c>
      <c r="T6" s="8"/>
    </row>
    <row r="7" spans="1:21" ht="15.75" thickBot="1">
      <c r="B7">
        <v>2</v>
      </c>
      <c r="C7" s="8">
        <v>2</v>
      </c>
      <c r="F7" s="8"/>
      <c r="G7" s="8"/>
      <c r="H7" s="8" t="s">
        <v>10</v>
      </c>
      <c r="I7" s="8"/>
      <c r="J7" s="8" t="s">
        <v>11</v>
      </c>
      <c r="K7" s="8"/>
      <c r="L7" s="12">
        <v>2020</v>
      </c>
      <c r="M7" s="8">
        <f>+SUMIF($O$6:$S$6,$A$2,$O7:$S7)/$T$7</f>
        <v>2.5000000000000001E-2</v>
      </c>
      <c r="O7" s="8">
        <v>25</v>
      </c>
      <c r="P7" s="8">
        <v>25</v>
      </c>
      <c r="Q7" s="8">
        <v>25</v>
      </c>
      <c r="R7" s="8">
        <v>25</v>
      </c>
      <c r="S7" s="8">
        <v>25</v>
      </c>
      <c r="T7" s="8">
        <v>1000</v>
      </c>
    </row>
    <row r="8" spans="1:21" ht="15.75" thickBot="1">
      <c r="B8">
        <v>3</v>
      </c>
      <c r="C8" s="8">
        <v>3</v>
      </c>
      <c r="F8" s="8"/>
      <c r="G8" s="8"/>
      <c r="H8" s="8" t="s">
        <v>10</v>
      </c>
      <c r="I8" s="8"/>
      <c r="J8" s="8" t="s">
        <v>11</v>
      </c>
      <c r="K8" s="8"/>
      <c r="L8" s="12">
        <v>2025</v>
      </c>
      <c r="M8" s="8">
        <f t="shared" ref="M8:M15" si="0">+SUMIF($O$6:$S$6,$A$2,$O8:$S8)/$T$7</f>
        <v>3.6733201920000007E-2</v>
      </c>
      <c r="O8" s="8">
        <f>+O7*1.1^5</f>
        <v>40.262750000000011</v>
      </c>
      <c r="P8" s="8">
        <f>+P7*1.08^5</f>
        <v>36.733201920000006</v>
      </c>
      <c r="Q8" s="8">
        <f>+Q7*1.08^5</f>
        <v>36.733201920000006</v>
      </c>
      <c r="R8" s="8">
        <f>+R7*1.04^5</f>
        <v>30.416322560000008</v>
      </c>
      <c r="S8" s="8">
        <v>25</v>
      </c>
      <c r="T8" s="8"/>
    </row>
    <row r="9" spans="1:21" ht="15.75" thickBot="1">
      <c r="B9">
        <v>4</v>
      </c>
      <c r="C9" s="8">
        <v>4</v>
      </c>
      <c r="F9" s="8"/>
      <c r="G9" s="8"/>
      <c r="H9" s="8" t="s">
        <v>10</v>
      </c>
      <c r="I9" s="8"/>
      <c r="J9" s="8" t="s">
        <v>11</v>
      </c>
      <c r="K9" s="8"/>
      <c r="L9" s="12">
        <v>2030</v>
      </c>
      <c r="M9" s="8">
        <f t="shared" si="0"/>
        <v>5.3973124931819688E-2</v>
      </c>
      <c r="O9" s="8">
        <f t="shared" ref="O9:O14" si="1">+O8*1.1^5</f>
        <v>64.843561502500037</v>
      </c>
      <c r="P9" s="8">
        <f t="shared" ref="P9:P14" si="2">+P8*1.08^5</f>
        <v>53.97312493181969</v>
      </c>
      <c r="Q9" s="8">
        <f>+Q8*1.06^5</f>
        <v>49.157310356489454</v>
      </c>
      <c r="R9" s="8">
        <f t="shared" ref="R9:R14" si="3">+R8*1.04^5</f>
        <v>37.006107122958618</v>
      </c>
      <c r="S9" s="8">
        <v>25</v>
      </c>
      <c r="T9" s="8"/>
    </row>
    <row r="10" spans="1:21" ht="15.75" thickBot="1">
      <c r="B10">
        <v>5</v>
      </c>
      <c r="C10" s="8">
        <v>5</v>
      </c>
      <c r="F10" s="8"/>
      <c r="G10" s="8"/>
      <c r="H10" s="8" t="s">
        <v>10</v>
      </c>
      <c r="I10" s="8"/>
      <c r="J10" s="8" t="s">
        <v>11</v>
      </c>
      <c r="K10" s="8"/>
      <c r="L10" s="12">
        <v>2035</v>
      </c>
      <c r="M10" s="8">
        <f t="shared" si="0"/>
        <v>7.9304227854956777E-2</v>
      </c>
      <c r="O10" s="8">
        <f t="shared" si="1"/>
        <v>104.43120423539138</v>
      </c>
      <c r="P10" s="8">
        <f t="shared" si="2"/>
        <v>79.304227854956778</v>
      </c>
      <c r="Q10" s="8">
        <f t="shared" ref="Q10:Q14" si="4">+Q9*1.06^5</f>
        <v>65.783570045075592</v>
      </c>
      <c r="R10" s="8">
        <f t="shared" si="3"/>
        <v>45.023587637672925</v>
      </c>
      <c r="S10" s="8">
        <v>25</v>
      </c>
      <c r="T10" s="8"/>
    </row>
    <row r="11" spans="1:21" ht="15.75" thickBot="1">
      <c r="B11">
        <v>6</v>
      </c>
      <c r="C11" s="8">
        <v>6</v>
      </c>
      <c r="F11" s="8"/>
      <c r="G11" s="8"/>
      <c r="H11" s="8" t="s">
        <v>10</v>
      </c>
      <c r="I11" s="8"/>
      <c r="J11" s="8" t="s">
        <v>11</v>
      </c>
      <c r="K11" s="8"/>
      <c r="L11" s="12">
        <v>2040</v>
      </c>
      <c r="M11" s="8">
        <f t="shared" si="0"/>
        <v>0.11652392859623266</v>
      </c>
      <c r="O11" s="8">
        <f t="shared" si="1"/>
        <v>168.18749873314022</v>
      </c>
      <c r="P11" s="8">
        <f t="shared" si="2"/>
        <v>116.52392859623266</v>
      </c>
      <c r="Q11" s="8">
        <f t="shared" si="4"/>
        <v>88.033256020161375</v>
      </c>
      <c r="R11" s="8">
        <f t="shared" si="3"/>
        <v>54.778078575835536</v>
      </c>
      <c r="S11" s="8">
        <v>25</v>
      </c>
      <c r="T11" s="8"/>
    </row>
    <row r="12" spans="1:21" ht="15.75" thickBot="1">
      <c r="B12">
        <v>7</v>
      </c>
      <c r="C12" s="8">
        <v>7</v>
      </c>
      <c r="F12" s="8"/>
      <c r="G12" s="8"/>
      <c r="H12" s="8" t="s">
        <v>10</v>
      </c>
      <c r="I12" s="8"/>
      <c r="J12" s="8" t="s">
        <v>11</v>
      </c>
      <c r="K12" s="8"/>
      <c r="L12" s="12">
        <v>2045</v>
      </c>
      <c r="M12" s="8">
        <f t="shared" si="0"/>
        <v>0.17121187990548309</v>
      </c>
      <c r="O12" s="8">
        <f t="shared" si="1"/>
        <v>270.86764858470974</v>
      </c>
      <c r="P12" s="8">
        <f t="shared" si="2"/>
        <v>171.2118799054831</v>
      </c>
      <c r="Q12" s="8">
        <f t="shared" si="4"/>
        <v>117.80835488558918</v>
      </c>
      <c r="R12" s="8">
        <f t="shared" si="3"/>
        <v>66.645908287185577</v>
      </c>
      <c r="S12" s="8">
        <v>25</v>
      </c>
      <c r="T12" s="8"/>
      <c r="U12" s="7"/>
    </row>
    <row r="13" spans="1:21" ht="15.75" thickBot="1">
      <c r="B13">
        <v>8</v>
      </c>
      <c r="C13" s="8">
        <v>8</v>
      </c>
      <c r="F13" s="8"/>
      <c r="G13" s="8"/>
      <c r="H13" s="8" t="s">
        <v>10</v>
      </c>
      <c r="I13" s="8"/>
      <c r="J13" s="8" t="s">
        <v>11</v>
      </c>
      <c r="K13" s="8"/>
      <c r="L13" s="12">
        <v>2050</v>
      </c>
      <c r="M13" s="8">
        <f t="shared" si="0"/>
        <v>0.25156642222683612</v>
      </c>
      <c r="O13" s="8">
        <f t="shared" si="1"/>
        <v>436.23505672216106</v>
      </c>
      <c r="P13" s="8">
        <f t="shared" si="2"/>
        <v>251.5664222268361</v>
      </c>
      <c r="Q13" s="8">
        <f t="shared" si="4"/>
        <v>157.65415376287342</v>
      </c>
      <c r="R13" s="8">
        <f t="shared" si="3"/>
        <v>81.084937750688567</v>
      </c>
      <c r="S13" s="8">
        <v>25</v>
      </c>
      <c r="T13" s="8"/>
      <c r="U13" s="7"/>
    </row>
    <row r="14" spans="1:21" ht="15.75" thickBot="1">
      <c r="B14">
        <v>9</v>
      </c>
      <c r="C14" s="8">
        <v>9</v>
      </c>
      <c r="F14" s="8"/>
      <c r="G14" s="8"/>
      <c r="H14" s="8" t="s">
        <v>10</v>
      </c>
      <c r="I14" s="8"/>
      <c r="J14" s="8" t="s">
        <v>11</v>
      </c>
      <c r="K14" s="8"/>
      <c r="L14" s="12">
        <v>2055</v>
      </c>
      <c r="M14" s="8">
        <f t="shared" si="0"/>
        <v>0.36963360735801393</v>
      </c>
      <c r="O14" s="8">
        <f t="shared" si="1"/>
        <v>702.56092120160781</v>
      </c>
      <c r="P14" s="8">
        <f t="shared" si="2"/>
        <v>369.63360735801393</v>
      </c>
      <c r="Q14" s="8">
        <f t="shared" si="4"/>
        <v>210.97682098036057</v>
      </c>
      <c r="R14" s="8">
        <f t="shared" si="3"/>
        <v>98.652224855298599</v>
      </c>
      <c r="S14" s="8">
        <v>25</v>
      </c>
      <c r="T14" s="8"/>
    </row>
    <row r="15" spans="1:21" ht="15.75" thickBot="1">
      <c r="B15">
        <v>10</v>
      </c>
      <c r="C15" s="8">
        <v>10</v>
      </c>
      <c r="F15" s="8"/>
      <c r="G15" s="8"/>
      <c r="H15" s="8" t="s">
        <v>10</v>
      </c>
      <c r="I15" s="8"/>
      <c r="J15" s="8" t="s">
        <v>11</v>
      </c>
      <c r="K15" s="8"/>
      <c r="L15" s="12">
        <v>2060</v>
      </c>
      <c r="M15" s="8">
        <f t="shared" si="0"/>
        <v>0.36963360735801393</v>
      </c>
      <c r="O15" s="8">
        <f>+O14</f>
        <v>702.56092120160781</v>
      </c>
      <c r="P15" s="8">
        <f>+P14</f>
        <v>369.63360735801393</v>
      </c>
      <c r="Q15" s="8">
        <f>+Q14</f>
        <v>210.97682098036057</v>
      </c>
      <c r="R15" s="8">
        <f>+R14</f>
        <v>98.652224855298599</v>
      </c>
      <c r="S15" s="8">
        <v>25</v>
      </c>
      <c r="T15" s="8"/>
    </row>
    <row r="16" spans="1:21">
      <c r="F16" s="8"/>
      <c r="G16" s="8"/>
      <c r="H16" s="8"/>
      <c r="I16" s="8"/>
      <c r="J16" s="8"/>
      <c r="K16" s="8"/>
      <c r="L16" s="14"/>
      <c r="M16" s="8"/>
      <c r="O16" s="8"/>
      <c r="R16" s="8"/>
      <c r="S16" s="8"/>
      <c r="T16" s="8"/>
    </row>
    <row r="17" spans="6:13">
      <c r="F17" s="7"/>
      <c r="G17" s="7"/>
      <c r="H17" s="7"/>
      <c r="I17" s="7"/>
      <c r="J17" s="6"/>
      <c r="K17" s="7"/>
      <c r="L17" s="7"/>
      <c r="M17" s="7"/>
    </row>
    <row r="18" spans="6:13">
      <c r="F18" s="7"/>
      <c r="G18" s="7"/>
      <c r="H18" s="7"/>
      <c r="I18" s="7"/>
      <c r="J18" s="6"/>
      <c r="K18" s="7"/>
      <c r="L18" s="7"/>
      <c r="M18" s="7"/>
    </row>
    <row r="19" spans="6:13">
      <c r="F19" s="7"/>
      <c r="G19" s="7"/>
      <c r="H19" s="7"/>
      <c r="I19" s="7"/>
      <c r="J19" s="6"/>
      <c r="K19" s="7"/>
      <c r="L19" s="7"/>
      <c r="M19" s="7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2020-03-17T09:11:45Z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