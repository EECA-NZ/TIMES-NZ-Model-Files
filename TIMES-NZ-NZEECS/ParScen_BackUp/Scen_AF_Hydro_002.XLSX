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<sst xmlns="http://schemas.openxmlformats.org/spreadsheetml/2006/main" count="256" uniqueCount="54">
  <si>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</si>
  <si>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</si>
  <si>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</si>
  <si>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</si>
  <si>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</si>
  <si>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</si>
  <si>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</si>
  <si>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</si>
  <si>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</si>
  <si>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</si>
  <si>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</si>
  <si>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</si>
  <si>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</si>
  <si>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</si>
  <si>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</si>
  <si>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</si>
  <si>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</si>
  <si>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</si>
  <si>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</si>
  <si>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</si>
  <si>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</si>
  <si>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</si>
  <si>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</si>
  <si>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</si>
  <si>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</si>
  <si>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</si>
  <si>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</si>
  <si>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</si>
  <si>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</si>
  <si>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</si>
  <si>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UC_RHSTS</t>
  </si>
  <si>
    <t>UC_RHSTS~0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</si>
  <si>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</si>
  <si>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</si>
  <si>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</si>
  <si>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</si>
  <si>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</si>
  <si>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</si>
  <si>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</si>
  <si>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</si>
  <si>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</si>
  <si>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</si>
  <si>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</si>
  <si>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</si>
  <si>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</si>
  <si>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</si>
  <si>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</si>
  <si>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</si>
  <si>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</si>
  <si>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UC_T</t>
  </si>
  <si>
    <t>UC_Sets: R_E: NI</t>
  </si>
  <si>
    <t>UC_Sets:TS_S</t>
  </si>
  <si>
    <t>UC_Sets: R_E: SI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</si>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</sst>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52" fillId="0" borderId="27" applyFont="0" applyAlignment="0">
      <alignment vertical="top" wrapText="1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zoomScale="90" zoomScaleNormal="90" workbookViewId="0">
      <selection activeCell="K1" sqref="K1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45</v>
      </c>
    </row>
    <row r="2" spans="1:26">
      <c r="A2" s="1">
        <v>2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RCP8.5 min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53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39</v>
      </c>
      <c r="R7" s="12" t="s">
        <v>10</v>
      </c>
      <c r="S7" s="13" t="s">
        <v>14</v>
      </c>
      <c r="T7" s="13" t="s">
        <v>44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48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33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48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33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48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33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48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33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44</v>
      </c>
      <c r="F12" s="8">
        <v>1</v>
      </c>
      <c r="G12" s="14" t="s">
        <v>21</v>
      </c>
      <c r="H12" s="14"/>
      <c r="I12" s="14" t="s">
        <v>48</v>
      </c>
      <c r="J12" s="14">
        <v>2025</v>
      </c>
      <c r="K12" s="22">
        <f>R12*(1+S12)</f>
        <v>0.38683659959432048</v>
      </c>
      <c r="L12" s="16" t="s">
        <v>22</v>
      </c>
      <c r="M12" s="17" t="s">
        <v>23</v>
      </c>
      <c r="N12" s="18"/>
      <c r="O12" s="14" t="s">
        <v>33</v>
      </c>
      <c r="P12" s="20"/>
      <c r="Q12" s="49"/>
      <c r="R12" s="15">
        <v>0.38683659959432048</v>
      </c>
      <c r="S12" s="6">
        <f t="shared" ref="S12:S34" si="1">+SUMIF($U$7:$Z$7,$D$3,$U12:$Z12)</f>
        <v>0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48</v>
      </c>
      <c r="J13" s="14">
        <v>2025</v>
      </c>
      <c r="K13" s="22">
        <f t="shared" ref="K13:K19" si="2">R13*(1+S13)</f>
        <v>0.36316496517857133</v>
      </c>
      <c r="L13" s="16" t="s">
        <v>22</v>
      </c>
      <c r="M13" s="17" t="s">
        <v>23</v>
      </c>
      <c r="N13" s="18"/>
      <c r="O13" s="14" t="s">
        <v>33</v>
      </c>
      <c r="P13" s="20"/>
      <c r="Q13" s="49"/>
      <c r="R13" s="15">
        <v>0.38227891071428566</v>
      </c>
      <c r="S13" s="6">
        <f t="shared" si="1"/>
        <v>-0.05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48</v>
      </c>
      <c r="J14" s="14">
        <v>2025</v>
      </c>
      <c r="K14" s="22">
        <f t="shared" si="2"/>
        <v>0.52051244920634909</v>
      </c>
      <c r="L14" s="16" t="s">
        <v>22</v>
      </c>
      <c r="M14" s="17" t="s">
        <v>23</v>
      </c>
      <c r="N14" s="18"/>
      <c r="O14" s="14" t="s">
        <v>33</v>
      </c>
      <c r="P14" s="20"/>
      <c r="Q14" s="49"/>
      <c r="R14" s="15">
        <v>0.52051244920634909</v>
      </c>
      <c r="S14" s="6">
        <f t="shared" si="1"/>
        <v>0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48</v>
      </c>
      <c r="J15" s="14">
        <v>2025</v>
      </c>
      <c r="K15" s="22">
        <f t="shared" si="2"/>
        <v>0.48884000812274364</v>
      </c>
      <c r="L15" s="16" t="s">
        <v>22</v>
      </c>
      <c r="M15" s="17" t="s">
        <v>23</v>
      </c>
      <c r="N15" s="18"/>
      <c r="O15" s="14" t="s">
        <v>33</v>
      </c>
      <c r="P15" s="20"/>
      <c r="Q15" s="49"/>
      <c r="R15" s="15">
        <v>0.51456842960288807</v>
      </c>
      <c r="S15" s="6">
        <f t="shared" si="1"/>
        <v>-0.05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48</v>
      </c>
      <c r="J16" s="14">
        <v>2055</v>
      </c>
      <c r="K16" s="22">
        <f t="shared" si="2"/>
        <v>0.38683659959432048</v>
      </c>
      <c r="L16" s="16" t="s">
        <v>22</v>
      </c>
      <c r="M16" s="17" t="s">
        <v>23</v>
      </c>
      <c r="N16" s="18"/>
      <c r="O16" s="14" t="s">
        <v>33</v>
      </c>
      <c r="P16" s="20"/>
      <c r="Q16" s="49"/>
      <c r="R16" s="15">
        <v>0.38683659959432048</v>
      </c>
      <c r="S16" s="6">
        <f t="shared" si="1"/>
        <v>0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48</v>
      </c>
      <c r="J17" s="14">
        <v>2055</v>
      </c>
      <c r="K17" s="22">
        <f t="shared" si="2"/>
        <v>0.36316496517857133</v>
      </c>
      <c r="L17" s="16" t="s">
        <v>22</v>
      </c>
      <c r="M17" s="17" t="s">
        <v>23</v>
      </c>
      <c r="N17" s="18"/>
      <c r="O17" s="14" t="s">
        <v>33</v>
      </c>
      <c r="P17" s="20"/>
      <c r="Q17" s="49"/>
      <c r="R17" s="15">
        <v>0.38227891071428566</v>
      </c>
      <c r="S17" s="6">
        <f t="shared" si="1"/>
        <v>-0.05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48</v>
      </c>
      <c r="J18" s="14">
        <v>2055</v>
      </c>
      <c r="K18" s="22">
        <f t="shared" si="2"/>
        <v>0.78076867380952364</v>
      </c>
      <c r="L18" s="16" t="s">
        <v>22</v>
      </c>
      <c r="M18" s="17" t="s">
        <v>23</v>
      </c>
      <c r="N18" s="18"/>
      <c r="O18" s="14" t="s">
        <v>33</v>
      </c>
      <c r="P18" s="20"/>
      <c r="Q18" s="49"/>
      <c r="R18" s="15">
        <v>0.52051244920634909</v>
      </c>
      <c r="S18" s="6">
        <f t="shared" si="1"/>
        <v>0.5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48</v>
      </c>
      <c r="J19" s="14">
        <v>2055</v>
      </c>
      <c r="K19" s="22">
        <f t="shared" si="2"/>
        <v>0.48884000812274364</v>
      </c>
      <c r="L19" s="16" t="s">
        <v>22</v>
      </c>
      <c r="M19" s="17" t="s">
        <v>23</v>
      </c>
      <c r="N19" s="18"/>
      <c r="O19" s="14" t="s">
        <v>33</v>
      </c>
      <c r="P19" s="20"/>
      <c r="Q19" s="49"/>
      <c r="R19" s="15">
        <v>0.51456842960288807</v>
      </c>
      <c r="S19" s="6">
        <f t="shared" si="1"/>
        <v>-0.05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53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47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48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33</v>
      </c>
      <c r="P23" s="45"/>
      <c r="Q23" s="49" t="s">
        <v>47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48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33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48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33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48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33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48</v>
      </c>
      <c r="J27" s="38">
        <v>2025</v>
      </c>
      <c r="K27" s="39">
        <f>R27*(1+S27)</f>
        <v>0.58373702999999999</v>
      </c>
      <c r="L27" s="40" t="s">
        <v>22</v>
      </c>
      <c r="M27" s="41" t="s">
        <v>23</v>
      </c>
      <c r="N27" s="42"/>
      <c r="O27" s="38" t="s">
        <v>33</v>
      </c>
      <c r="P27" s="45"/>
      <c r="Q27" s="49"/>
      <c r="R27" s="43">
        <v>0.58373702999999999</v>
      </c>
      <c r="S27" s="32">
        <f>+SUMIF($U$7:$Z$7,$D$3,$U27:$Z27)</f>
        <v>0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48</v>
      </c>
      <c r="J28" s="38">
        <v>2025</v>
      </c>
      <c r="K28" s="39">
        <f t="shared" ref="K28:K34" si="4">R28*(1+S28)</f>
        <v>0.51257462799999998</v>
      </c>
      <c r="L28" s="40" t="s">
        <v>22</v>
      </c>
      <c r="M28" s="41" t="s">
        <v>23</v>
      </c>
      <c r="N28" s="42"/>
      <c r="O28" s="38" t="s">
        <v>33</v>
      </c>
      <c r="P28" s="45"/>
      <c r="Q28" s="49"/>
      <c r="R28" s="43">
        <v>0.53955224000000002</v>
      </c>
      <c r="S28" s="32">
        <f t="shared" si="1"/>
        <v>-0.05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48</v>
      </c>
      <c r="J29" s="38">
        <v>2025</v>
      </c>
      <c r="K29" s="39">
        <f t="shared" si="4"/>
        <v>0.59310947000000003</v>
      </c>
      <c r="L29" s="40" t="s">
        <v>22</v>
      </c>
      <c r="M29" s="41" t="s">
        <v>23</v>
      </c>
      <c r="N29" s="42"/>
      <c r="O29" s="38" t="s">
        <v>33</v>
      </c>
      <c r="P29" s="45"/>
      <c r="Q29" s="49"/>
      <c r="R29" s="43">
        <v>0.59310947000000003</v>
      </c>
      <c r="S29" s="32">
        <f t="shared" si="1"/>
        <v>0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48</v>
      </c>
      <c r="J30" s="38">
        <v>2025</v>
      </c>
      <c r="K30" s="39">
        <f t="shared" si="4"/>
        <v>0.54525381100000003</v>
      </c>
      <c r="L30" s="40" t="s">
        <v>22</v>
      </c>
      <c r="M30" s="41" t="s">
        <v>23</v>
      </c>
      <c r="N30" s="42"/>
      <c r="O30" s="38" t="s">
        <v>33</v>
      </c>
      <c r="P30" s="45"/>
      <c r="Q30" s="49"/>
      <c r="R30" s="43">
        <v>0.57395138000000001</v>
      </c>
      <c r="S30" s="32">
        <f t="shared" si="1"/>
        <v>-0.05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48</v>
      </c>
      <c r="J31" s="38">
        <v>2055</v>
      </c>
      <c r="K31" s="39">
        <f t="shared" si="4"/>
        <v>0.58373702999999999</v>
      </c>
      <c r="L31" s="40" t="s">
        <v>22</v>
      </c>
      <c r="M31" s="41" t="s">
        <v>23</v>
      </c>
      <c r="N31" s="42"/>
      <c r="O31" s="38" t="s">
        <v>33</v>
      </c>
      <c r="P31" s="45"/>
      <c r="Q31" s="49"/>
      <c r="R31" s="43">
        <v>0.58373702999999999</v>
      </c>
      <c r="S31" s="32">
        <f t="shared" si="1"/>
        <v>0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48</v>
      </c>
      <c r="J32" s="38">
        <v>2055</v>
      </c>
      <c r="K32" s="39">
        <f t="shared" si="4"/>
        <v>0.51257462799999998</v>
      </c>
      <c r="L32" s="40" t="s">
        <v>22</v>
      </c>
      <c r="M32" s="41" t="s">
        <v>23</v>
      </c>
      <c r="N32" s="42"/>
      <c r="O32" s="38" t="s">
        <v>33</v>
      </c>
      <c r="P32" s="45"/>
      <c r="Q32" s="49"/>
      <c r="R32" s="43">
        <v>0.53955224000000002</v>
      </c>
      <c r="S32" s="32">
        <f t="shared" si="1"/>
        <v>-0.05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48</v>
      </c>
      <c r="J33" s="38">
        <v>2055</v>
      </c>
      <c r="K33" s="39">
        <f t="shared" si="4"/>
        <v>0.8896642050000001</v>
      </c>
      <c r="L33" s="40" t="s">
        <v>22</v>
      </c>
      <c r="M33" s="41" t="s">
        <v>23</v>
      </c>
      <c r="N33" s="42"/>
      <c r="O33" s="38" t="s">
        <v>33</v>
      </c>
      <c r="P33" s="45"/>
      <c r="Q33" s="49"/>
      <c r="R33" s="43">
        <v>0.59310947000000003</v>
      </c>
      <c r="S33" s="32">
        <f t="shared" si="1"/>
        <v>0.5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48</v>
      </c>
      <c r="J34" s="38">
        <v>2055</v>
      </c>
      <c r="K34" s="39">
        <f t="shared" si="4"/>
        <v>0.54525381100000003</v>
      </c>
      <c r="L34" s="40" t="s">
        <v>22</v>
      </c>
      <c r="M34" s="41" t="s">
        <v>23</v>
      </c>
      <c r="N34" s="42"/>
      <c r="O34" s="38" t="s">
        <v>33</v>
      </c>
      <c r="P34" s="45"/>
      <c r="Q34" s="49"/>
      <c r="R34" s="43">
        <v>0.57395138000000001</v>
      </c>
      <c r="S34" s="32">
        <f t="shared" si="1"/>
        <v>-0.05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50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51</v>
      </c>
      <c r="H41" s="23"/>
      <c r="I41" s="23"/>
      <c r="J41" s="23"/>
      <c r="K41" s="23"/>
      <c r="L41" s="23"/>
      <c r="M41" s="23"/>
      <c r="N41" s="23"/>
      <c r="O41" s="23" t="s">
        <v>49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42</v>
      </c>
      <c r="R42" s="26" t="s">
        <v>34</v>
      </c>
      <c r="S42" s="26" t="s">
        <v>35</v>
      </c>
      <c r="T42" s="25" t="s">
        <v>30</v>
      </c>
      <c r="U42" s="25" t="s">
        <v>31</v>
      </c>
      <c r="V42" s="27" t="s">
        <v>32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33</v>
      </c>
      <c r="L43" s="23"/>
      <c r="M43" s="23"/>
      <c r="N43" s="23">
        <v>2016</v>
      </c>
      <c r="O43" s="23" t="s">
        <v>43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33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-0.33244223318096711</v>
      </c>
      <c r="S44" s="23">
        <f>-1/31.536/K16/$O$55</f>
        <v>-0.33244223318096711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33</v>
      </c>
      <c r="N45" s="23">
        <f>+N43</f>
        <v>2016</v>
      </c>
      <c r="O45" s="23" t="s">
        <v>43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41</v>
      </c>
      <c r="J46" s="24" t="s">
        <v>23</v>
      </c>
      <c r="K46" s="23" t="s">
        <v>33</v>
      </c>
      <c r="Q46" s="23">
        <f>-1/31.536/R9/$O$56</f>
        <v>-0.3290925799280946</v>
      </c>
      <c r="R46" s="23">
        <f>-1/31.536/K13/$O$56</f>
        <v>-0.34641324202957335</v>
      </c>
      <c r="S46" s="23">
        <f>-1/31.536/K17/$O$56</f>
        <v>-0.34641324202957335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33</v>
      </c>
      <c r="N47" s="23">
        <f>+N45</f>
        <v>2016</v>
      </c>
      <c r="O47" s="23" t="s">
        <v>43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33</v>
      </c>
      <c r="Q48" s="23">
        <f>-1/31.536/R10/$O$57</f>
        <v>-0.24169480128839821</v>
      </c>
      <c r="R48" s="23">
        <f>-1/31.536/K14/$O$57</f>
        <v>-0.24169480128839821</v>
      </c>
      <c r="S48" s="23">
        <f>-1/31.536/K18/$O$57</f>
        <v>-0.16112986752559882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33</v>
      </c>
      <c r="L49" s="23"/>
      <c r="M49" s="23"/>
      <c r="N49" s="23">
        <f>+N47</f>
        <v>2016</v>
      </c>
      <c r="O49" s="23" t="s">
        <v>43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33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-0.2601825240860634</v>
      </c>
      <c r="S50" s="23">
        <f>-1/31.536/K19/$O$58</f>
        <v>-0.2601825240860634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36</v>
      </c>
      <c r="N53" t="s">
        <v>37</v>
      </c>
      <c r="O53" t="s">
        <v>38</v>
      </c>
      <c r="P53" t="s">
        <v>39</v>
      </c>
      <c r="Q53">
        <v>31.536000000000001</v>
      </c>
      <c r="R53" t="s">
        <v>39</v>
      </c>
      <c r="S53" t="s">
        <v>40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52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51</v>
      </c>
      <c r="H61" s="23"/>
      <c r="I61" s="23"/>
      <c r="J61" s="23"/>
      <c r="K61" s="23"/>
      <c r="L61" s="23"/>
      <c r="M61" s="23"/>
      <c r="N61" s="23"/>
      <c r="O61" s="23" t="s">
        <v>49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46</v>
      </c>
      <c r="Q62" s="26" t="s">
        <v>42</v>
      </c>
      <c r="R62" s="26" t="s">
        <v>34</v>
      </c>
      <c r="S62" s="26" t="s">
        <v>35</v>
      </c>
      <c r="T62" s="25" t="s">
        <v>30</v>
      </c>
      <c r="U62" s="25" t="s">
        <v>31</v>
      </c>
      <c r="V62" s="27" t="s">
        <v>32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33</v>
      </c>
      <c r="L63" s="23"/>
      <c r="M63" s="23"/>
      <c r="N63" s="23">
        <v>2016</v>
      </c>
      <c r="O63" s="23" t="s">
        <v>43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33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-0.2203060906471318</v>
      </c>
      <c r="S64" s="23">
        <f>-1/31.536/K31/$O$55</f>
        <v>-0.2203060906471318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33</v>
      </c>
      <c r="L65" s="23"/>
      <c r="M65" s="23"/>
      <c r="N65" s="23">
        <f>+N63</f>
        <v>2016</v>
      </c>
      <c r="O65" s="23" t="s">
        <v>43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41</v>
      </c>
      <c r="I66" s="23"/>
      <c r="J66" s="24" t="s">
        <v>23</v>
      </c>
      <c r="K66" s="23" t="s">
        <v>33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-0.24543772966278388</v>
      </c>
      <c r="S66" s="23">
        <f>-1/31.536/K32/$O$56</f>
        <v>-0.24543772966278388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33</v>
      </c>
      <c r="L67" s="23"/>
      <c r="M67" s="23"/>
      <c r="N67" s="23">
        <f>+N65</f>
        <v>2016</v>
      </c>
      <c r="O67" s="23" t="s">
        <v>43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33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-0.21211118578003146</v>
      </c>
      <c r="S68" s="23">
        <f>-1/31.536/K33/$O$57</f>
        <v>-0.14140745718668765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33</v>
      </c>
      <c r="L69" s="23"/>
      <c r="M69" s="23"/>
      <c r="N69" s="23">
        <f>+N67</f>
        <v>2016</v>
      </c>
      <c r="O69" s="23" t="s">
        <v>43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33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-0.23326316042498449</v>
      </c>
      <c r="S70" s="23">
        <f>-1/31.536/K34/$O$58</f>
        <v>-0.23326316042498449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920338928699493</vt:r8>
  </property>
</Properties>
</file>