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arleL\Repos\TIMES-NZ-Model-Files\TIMES-NZ\SuppXLS\"/>
    </mc:Choice>
  </mc:AlternateContent>
  <xr:revisionPtr revIDLastSave="0" documentId="13_ncr:1_{29C498A1-F2A2-4789-A9E4-098526CCB5F3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<sst xmlns="http://schemas.openxmlformats.org/spreadsheetml/2006/main" count="2779" uniqueCount="967">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</sst>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 * #,##0.00_ ;_ * \-#,##0.00_ ;_ * &quot;-&quot;??_ ;_ @_ "/>
    <numFmt numFmtId="166" formatCode="_-[$€-2]* #,##0.00_-;\-[$€-2]* #,##0.00_-;_-[$€-2]* &quot;-&quot;??_-"/>
    <numFmt numFmtId="167" formatCode="#,##0.0"/>
    <numFmt numFmtId="168" formatCode="_-* #,##0.00\ _D_M_-;\-* #,##0.00\ _D_M_-;_-* &quot;-&quot;??\ _D_M_-;_-@_-"/>
    <numFmt numFmtId="169" formatCode="0.0%"/>
    <numFmt numFmtId="170" formatCode="[$-C09]d\ mmmm\ yyyy;@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00000"/>
    <numFmt numFmtId="181" formatCode="0.0000"/>
  </numFmts>
  <fonts count="112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</font>
    <font>
      <b/>
      <sz val="12"/>
      <name val="Arial"/>
    </font>
    <font>
      <sz val="8"/>
      <color indexed="9"/>
      <name val="Arial"/>
    </font>
    <font>
      <b/>
      <sz val="8"/>
      <name val="Arial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4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165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8" fontId="4" fillId="0" borderId="0" applyFont="0" applyFill="0" applyBorder="0" applyAlignment="0" applyProtection="0"/>
    <xf numFmtId="0" fontId="34" fillId="41" borderId="11" applyNumberFormat="0" applyAlignment="0" applyProtection="0"/>
    <xf numFmtId="166" fontId="4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 applyBorder="0"/>
    <xf numFmtId="169" fontId="2" fillId="0" borderId="0"/>
    <xf numFmtId="169" fontId="2" fillId="0" borderId="0"/>
    <xf numFmtId="169" fontId="2" fillId="0" borderId="0"/>
    <xf numFmtId="0" fontId="4" fillId="0" borderId="0"/>
    <xf numFmtId="169" fontId="2" fillId="0" borderId="0"/>
    <xf numFmtId="0" fontId="4" fillId="0" borderId="0"/>
    <xf numFmtId="0" fontId="68" fillId="0" borderId="0"/>
    <xf numFmtId="170" fontId="2" fillId="0" borderId="0"/>
    <xf numFmtId="169" fontId="2" fillId="0" borderId="0"/>
    <xf numFmtId="0" fontId="63" fillId="0" borderId="0"/>
    <xf numFmtId="170" fontId="63" fillId="0" borderId="0"/>
    <xf numFmtId="169" fontId="2" fillId="0" borderId="0"/>
    <xf numFmtId="0" fontId="4" fillId="0" borderId="0" applyBorder="0"/>
    <xf numFmtId="170" fontId="4" fillId="0" borderId="0" applyBorder="0"/>
    <xf numFmtId="0" fontId="4" fillId="0" borderId="0"/>
    <xf numFmtId="170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63" fillId="0" borderId="23" applyFont="0" applyAlignment="0">
      <alignment vertical="top" wrapText="1"/>
    </xf>
    <xf numFmtId="0" fontId="7" fillId="0" borderId="0"/>
    <xf numFmtId="166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6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6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6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6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6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6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6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6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6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6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6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6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6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6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6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6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6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6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6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6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6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6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6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6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6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6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6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6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6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6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6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6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6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6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6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6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6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6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6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6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6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6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6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6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6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6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6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6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6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6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6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6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6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6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6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6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6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6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6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6" fontId="25" fillId="48" borderId="0" applyNumberFormat="0" applyBorder="0" applyAlignment="0" applyProtection="0"/>
    <xf numFmtId="0" fontId="25" fillId="46" borderId="0" applyNumberFormat="0" applyBorder="0" applyAlignment="0" applyProtection="0"/>
    <xf numFmtId="166" fontId="25" fillId="48" borderId="0" applyNumberFormat="0" applyBorder="0" applyAlignment="0" applyProtection="0"/>
    <xf numFmtId="0" fontId="25" fillId="46" borderId="0" applyNumberFormat="0" applyBorder="0" applyAlignment="0" applyProtection="0"/>
    <xf numFmtId="166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6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6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6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6" fontId="25" fillId="43" borderId="0" applyNumberFormat="0" applyBorder="0" applyAlignment="0" applyProtection="0"/>
    <xf numFmtId="0" fontId="25" fillId="43" borderId="0" applyNumberFormat="0" applyBorder="0" applyAlignment="0" applyProtection="0"/>
    <xf numFmtId="166" fontId="25" fillId="43" borderId="0" applyNumberFormat="0" applyBorder="0" applyAlignment="0" applyProtection="0"/>
    <xf numFmtId="0" fontId="25" fillId="43" borderId="0" applyNumberFormat="0" applyBorder="0" applyAlignment="0" applyProtection="0"/>
    <xf numFmtId="166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6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6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6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6" fontId="25" fillId="56" borderId="0" applyNumberFormat="0" applyBorder="0" applyAlignment="0" applyProtection="0"/>
    <xf numFmtId="0" fontId="25" fillId="44" borderId="0" applyNumberFormat="0" applyBorder="0" applyAlignment="0" applyProtection="0"/>
    <xf numFmtId="166" fontId="25" fillId="56" borderId="0" applyNumberFormat="0" applyBorder="0" applyAlignment="0" applyProtection="0"/>
    <xf numFmtId="0" fontId="25" fillId="44" borderId="0" applyNumberFormat="0" applyBorder="0" applyAlignment="0" applyProtection="0"/>
    <xf numFmtId="166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6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6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6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6" fontId="25" fillId="54" borderId="0" applyNumberFormat="0" applyBorder="0" applyAlignment="0" applyProtection="0"/>
    <xf numFmtId="0" fontId="25" fillId="47" borderId="0" applyNumberFormat="0" applyBorder="0" applyAlignment="0" applyProtection="0"/>
    <xf numFmtId="166" fontId="25" fillId="54" borderId="0" applyNumberFormat="0" applyBorder="0" applyAlignment="0" applyProtection="0"/>
    <xf numFmtId="0" fontId="25" fillId="47" borderId="0" applyNumberFormat="0" applyBorder="0" applyAlignment="0" applyProtection="0"/>
    <xf numFmtId="166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6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6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6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6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6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6" fontId="25" fillId="43" borderId="0" applyNumberFormat="0" applyBorder="0" applyAlignment="0" applyProtection="0"/>
    <xf numFmtId="0" fontId="25" fillId="49" borderId="0" applyNumberFormat="0" applyBorder="0" applyAlignment="0" applyProtection="0"/>
    <xf numFmtId="166" fontId="25" fillId="43" borderId="0" applyNumberFormat="0" applyBorder="0" applyAlignment="0" applyProtection="0"/>
    <xf numFmtId="0" fontId="25" fillId="49" borderId="0" applyNumberFormat="0" applyBorder="0" applyAlignment="0" applyProtection="0"/>
    <xf numFmtId="166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6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6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6" fontId="25" fillId="48" borderId="0" applyNumberFormat="0" applyBorder="0" applyAlignment="0" applyProtection="0"/>
    <xf numFmtId="0" fontId="25" fillId="50" borderId="0" applyNumberFormat="0" applyBorder="0" applyAlignment="0" applyProtection="0"/>
    <xf numFmtId="166" fontId="25" fillId="48" borderId="0" applyNumberFormat="0" applyBorder="0" applyAlignment="0" applyProtection="0"/>
    <xf numFmtId="0" fontId="25" fillId="50" borderId="0" applyNumberFormat="0" applyBorder="0" applyAlignment="0" applyProtection="0"/>
    <xf numFmtId="166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6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6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6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6" fontId="25" fillId="51" borderId="0" applyNumberFormat="0" applyBorder="0" applyAlignment="0" applyProtection="0"/>
    <xf numFmtId="0" fontId="25" fillId="51" borderId="0" applyNumberFormat="0" applyBorder="0" applyAlignment="0" applyProtection="0"/>
    <xf numFmtId="166" fontId="25" fillId="51" borderId="0" applyNumberFormat="0" applyBorder="0" applyAlignment="0" applyProtection="0"/>
    <xf numFmtId="0" fontId="25" fillId="51" borderId="0" applyNumberFormat="0" applyBorder="0" applyAlignment="0" applyProtection="0"/>
    <xf numFmtId="166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6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6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6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6" fontId="25" fillId="52" borderId="0" applyNumberFormat="0" applyBorder="0" applyAlignment="0" applyProtection="0"/>
    <xf numFmtId="0" fontId="25" fillId="52" borderId="0" applyNumberFormat="0" applyBorder="0" applyAlignment="0" applyProtection="0"/>
    <xf numFmtId="166" fontId="25" fillId="52" borderId="0" applyNumberFormat="0" applyBorder="0" applyAlignment="0" applyProtection="0"/>
    <xf numFmtId="0" fontId="25" fillId="52" borderId="0" applyNumberFormat="0" applyBorder="0" applyAlignment="0" applyProtection="0"/>
    <xf numFmtId="166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6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6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6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6" fontId="25" fillId="93" borderId="0" applyNumberFormat="0" applyBorder="0" applyAlignment="0" applyProtection="0"/>
    <xf numFmtId="0" fontId="25" fillId="47" borderId="0" applyNumberFormat="0" applyBorder="0" applyAlignment="0" applyProtection="0"/>
    <xf numFmtId="166" fontId="25" fillId="93" borderId="0" applyNumberFormat="0" applyBorder="0" applyAlignment="0" applyProtection="0"/>
    <xf numFmtId="0" fontId="25" fillId="47" borderId="0" applyNumberFormat="0" applyBorder="0" applyAlignment="0" applyProtection="0"/>
    <xf numFmtId="166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6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6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6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166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6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6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6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6" fontId="25" fillId="49" borderId="0" applyNumberFormat="0" applyBorder="0" applyAlignment="0" applyProtection="0"/>
    <xf numFmtId="0" fontId="25" fillId="53" borderId="0" applyNumberFormat="0" applyBorder="0" applyAlignment="0" applyProtection="0"/>
    <xf numFmtId="166" fontId="25" fillId="49" borderId="0" applyNumberFormat="0" applyBorder="0" applyAlignment="0" applyProtection="0"/>
    <xf numFmtId="0" fontId="25" fillId="53" borderId="0" applyNumberFormat="0" applyBorder="0" applyAlignment="0" applyProtection="0"/>
    <xf numFmtId="166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6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6" fontId="72" fillId="0" borderId="0"/>
    <xf numFmtId="166" fontId="43" fillId="0" borderId="0" applyNumberFormat="0" applyFill="0" applyBorder="0" applyAlignment="0" applyProtection="0"/>
    <xf numFmtId="166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6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6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6" fontId="26" fillId="37" borderId="0" applyNumberFormat="0" applyBorder="0" applyAlignment="0" applyProtection="0"/>
    <xf numFmtId="0" fontId="26" fillId="37" borderId="0" applyNumberFormat="0" applyBorder="0" applyAlignment="0" applyProtection="0"/>
    <xf numFmtId="166" fontId="26" fillId="37" borderId="0" applyNumberFormat="0" applyBorder="0" applyAlignment="0" applyProtection="0"/>
    <xf numFmtId="0" fontId="26" fillId="37" borderId="0" applyNumberFormat="0" applyBorder="0" applyAlignment="0" applyProtection="0"/>
    <xf numFmtId="166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6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1" fontId="74" fillId="76" borderId="21">
      <alignment horizontal="center" vertical="center"/>
    </xf>
    <xf numFmtId="171" fontId="74" fillId="76" borderId="21">
      <alignment horizontal="center" vertical="center"/>
    </xf>
    <xf numFmtId="171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1" fontId="74" fillId="76" borderId="21">
      <alignment horizontal="center" vertical="center"/>
    </xf>
    <xf numFmtId="171" fontId="74" fillId="76" borderId="21">
      <alignment horizontal="center" vertical="center"/>
    </xf>
    <xf numFmtId="166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6" fontId="27" fillId="61" borderId="11" applyNumberFormat="0" applyAlignment="0" applyProtection="0"/>
    <xf numFmtId="166" fontId="27" fillId="61" borderId="11" applyNumberFormat="0" applyAlignment="0" applyProtection="0"/>
    <xf numFmtId="166" fontId="27" fillId="61" borderId="11" applyNumberFormat="0" applyAlignment="0" applyProtection="0"/>
    <xf numFmtId="0" fontId="27" fillId="54" borderId="11" applyNumberFormat="0" applyAlignment="0" applyProtection="0"/>
    <xf numFmtId="166" fontId="27" fillId="61" borderId="11" applyNumberFormat="0" applyAlignment="0" applyProtection="0"/>
    <xf numFmtId="166" fontId="27" fillId="61" borderId="11" applyNumberFormat="0" applyAlignment="0" applyProtection="0"/>
    <xf numFmtId="166" fontId="27" fillId="61" borderId="11" applyNumberFormat="0" applyAlignment="0" applyProtection="0"/>
    <xf numFmtId="0" fontId="27" fillId="54" borderId="11" applyNumberFormat="0" applyAlignment="0" applyProtection="0"/>
    <xf numFmtId="166" fontId="27" fillId="61" borderId="11" applyNumberFormat="0" applyAlignment="0" applyProtection="0"/>
    <xf numFmtId="166" fontId="27" fillId="61" borderId="11" applyNumberFormat="0" applyAlignment="0" applyProtection="0"/>
    <xf numFmtId="166" fontId="27" fillId="54" borderId="11" applyNumberFormat="0" applyAlignment="0" applyProtection="0"/>
    <xf numFmtId="0" fontId="27" fillId="54" borderId="11" applyNumberFormat="0" applyAlignment="0" applyProtection="0"/>
    <xf numFmtId="166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1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2" fontId="4" fillId="0" borderId="0"/>
    <xf numFmtId="173" fontId="4" fillId="0" borderId="0"/>
    <xf numFmtId="174" fontId="4" fillId="0" borderId="0"/>
    <xf numFmtId="175" fontId="4" fillId="0" borderId="0"/>
    <xf numFmtId="176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6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6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6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6" fontId="28" fillId="55" borderId="12" applyNumberFormat="0" applyAlignment="0" applyProtection="0"/>
    <xf numFmtId="0" fontId="28" fillId="55" borderId="12" applyNumberFormat="0" applyAlignment="0" applyProtection="0"/>
    <xf numFmtId="166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6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5" fontId="2" fillId="0" borderId="0" applyFont="0" applyFill="0" applyBorder="0" applyAlignment="0" applyProtection="0"/>
    <xf numFmtId="165" fontId="63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6" fontId="4" fillId="0" borderId="0" applyBorder="0"/>
    <xf numFmtId="166" fontId="4" fillId="0" borderId="0" applyBorder="0"/>
    <xf numFmtId="166" fontId="4" fillId="0" borderId="0" applyBorder="0"/>
    <xf numFmtId="166" fontId="3" fillId="0" borderId="0"/>
    <xf numFmtId="166" fontId="3" fillId="0" borderId="0">
      <alignment horizontal="center"/>
    </xf>
    <xf numFmtId="166" fontId="43" fillId="0" borderId="0">
      <alignment horizontal="center"/>
    </xf>
    <xf numFmtId="166" fontId="43" fillId="0" borderId="0">
      <alignment horizontal="center"/>
    </xf>
    <xf numFmtId="166" fontId="43" fillId="0" borderId="0">
      <alignment horizontal="center"/>
    </xf>
    <xf numFmtId="166" fontId="43" fillId="0" borderId="0">
      <alignment horizontal="center"/>
    </xf>
    <xf numFmtId="166" fontId="4" fillId="0" borderId="0">
      <alignment horizontal="center"/>
    </xf>
    <xf numFmtId="166" fontId="4" fillId="0" borderId="0">
      <alignment wrapText="1"/>
    </xf>
    <xf numFmtId="166" fontId="70" fillId="0" borderId="0"/>
    <xf numFmtId="166" fontId="65" fillId="0" borderId="0"/>
    <xf numFmtId="166" fontId="65" fillId="0" borderId="0"/>
    <xf numFmtId="166" fontId="65" fillId="0" borderId="0"/>
    <xf numFmtId="166" fontId="65" fillId="0" borderId="0"/>
    <xf numFmtId="166" fontId="77" fillId="0" borderId="0"/>
    <xf numFmtId="164" fontId="63" fillId="0" borderId="0" applyFont="0" applyFill="0" applyBorder="0" applyAlignment="0" applyProtection="0"/>
    <xf numFmtId="164" fontId="2" fillId="0" borderId="0" applyFont="0" applyFill="0" applyBorder="0" applyAlignment="0" applyProtection="0"/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4" fontId="7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5" fillId="0" borderId="0" applyFont="0" applyFill="0" applyBorder="0" applyAlignment="0" applyProtection="0"/>
    <xf numFmtId="177" fontId="78" fillId="0" borderId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3" fillId="0" borderId="0" applyFont="0" applyFill="0" applyBorder="0" applyAlignment="0" applyProtection="0"/>
    <xf numFmtId="164" fontId="63" fillId="0" borderId="0" applyFont="0" applyFill="0" applyBorder="0" applyAlignment="0" applyProtection="0"/>
    <xf numFmtId="164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6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6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6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6" fontId="79" fillId="0" borderId="0"/>
    <xf numFmtId="166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6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6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6" fontId="30" fillId="38" borderId="0" applyNumberFormat="0" applyBorder="0" applyAlignment="0" applyProtection="0"/>
    <xf numFmtId="0" fontId="30" fillId="38" borderId="0" applyNumberFormat="0" applyBorder="0" applyAlignment="0" applyProtection="0"/>
    <xf numFmtId="166" fontId="30" fillId="38" borderId="0" applyNumberFormat="0" applyBorder="0" applyAlignment="0" applyProtection="0"/>
    <xf numFmtId="0" fontId="30" fillId="38" borderId="0" applyNumberFormat="0" applyBorder="0" applyAlignment="0" applyProtection="0"/>
    <xf numFmtId="166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6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6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6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6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6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6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6" fontId="82" fillId="0" borderId="15" applyNumberFormat="0" applyFill="0" applyAlignment="0" applyProtection="0"/>
    <xf numFmtId="0" fontId="32" fillId="0" borderId="15" applyNumberFormat="0" applyFill="0" applyAlignment="0" applyProtection="0"/>
    <xf numFmtId="166" fontId="82" fillId="0" borderId="15" applyNumberFormat="0" applyFill="0" applyAlignment="0" applyProtection="0"/>
    <xf numFmtId="0" fontId="32" fillId="0" borderId="15" applyNumberFormat="0" applyFill="0" applyAlignment="0" applyProtection="0"/>
    <xf numFmtId="166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6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6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6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6" fontId="83" fillId="0" borderId="29" applyNumberFormat="0" applyFill="0" applyAlignment="0" applyProtection="0"/>
    <xf numFmtId="0" fontId="33" fillId="0" borderId="16" applyNumberFormat="0" applyFill="0" applyAlignment="0" applyProtection="0"/>
    <xf numFmtId="166" fontId="83" fillId="0" borderId="29" applyNumberFormat="0" applyFill="0" applyAlignment="0" applyProtection="0"/>
    <xf numFmtId="0" fontId="33" fillId="0" borderId="16" applyNumberFormat="0" applyFill="0" applyAlignment="0" applyProtection="0"/>
    <xf numFmtId="166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6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6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6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6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2" fontId="66" fillId="98" borderId="0"/>
    <xf numFmtId="173" fontId="66" fillId="98" borderId="0"/>
    <xf numFmtId="174" fontId="66" fillId="98" borderId="0"/>
    <xf numFmtId="166" fontId="4" fillId="98" borderId="0">
      <protection locked="0"/>
    </xf>
    <xf numFmtId="177" fontId="4" fillId="98" borderId="0">
      <protection locked="0"/>
    </xf>
    <xf numFmtId="175" fontId="4" fillId="98" borderId="0">
      <protection locked="0"/>
    </xf>
    <xf numFmtId="176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6" fontId="74" fillId="99" borderId="21" applyNumberFormat="0">
      <alignment horizontal="center" vertical="center"/>
      <protection locked="0"/>
    </xf>
    <xf numFmtId="166" fontId="74" fillId="99" borderId="21" applyNumberFormat="0">
      <alignment horizontal="center" vertical="center"/>
      <protection locked="0"/>
    </xf>
    <xf numFmtId="166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6" fontId="74" fillId="99" borderId="21" applyNumberFormat="0">
      <alignment horizontal="center" vertical="center"/>
      <protection locked="0"/>
    </xf>
    <xf numFmtId="166" fontId="74" fillId="99" borderId="21" applyNumberFormat="0">
      <alignment horizontal="center" vertical="center"/>
      <protection locked="0"/>
    </xf>
    <xf numFmtId="166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6" fontId="34" fillId="56" borderId="11" applyNumberFormat="0" applyAlignment="0" applyProtection="0"/>
    <xf numFmtId="166" fontId="34" fillId="56" borderId="11" applyNumberFormat="0" applyAlignment="0" applyProtection="0"/>
    <xf numFmtId="166" fontId="34" fillId="56" borderId="11" applyNumberFormat="0" applyAlignment="0" applyProtection="0"/>
    <xf numFmtId="0" fontId="34" fillId="41" borderId="11" applyNumberFormat="0" applyAlignment="0" applyProtection="0"/>
    <xf numFmtId="166" fontId="34" fillId="56" borderId="11" applyNumberFormat="0" applyAlignment="0" applyProtection="0"/>
    <xf numFmtId="166" fontId="34" fillId="56" borderId="11" applyNumberFormat="0" applyAlignment="0" applyProtection="0"/>
    <xf numFmtId="166" fontId="34" fillId="56" borderId="11" applyNumberFormat="0" applyAlignment="0" applyProtection="0"/>
    <xf numFmtId="0" fontId="34" fillId="41" borderId="11" applyNumberFormat="0" applyAlignment="0" applyProtection="0"/>
    <xf numFmtId="166" fontId="34" fillId="56" borderId="11" applyNumberFormat="0" applyAlignment="0" applyProtection="0"/>
    <xf numFmtId="166" fontId="34" fillId="56" borderId="11" applyNumberFormat="0" applyAlignment="0" applyProtection="0"/>
    <xf numFmtId="166" fontId="34" fillId="41" borderId="11" applyNumberFormat="0" applyAlignment="0" applyProtection="0"/>
    <xf numFmtId="0" fontId="34" fillId="41" borderId="11" applyNumberFormat="0" applyAlignment="0" applyProtection="0"/>
    <xf numFmtId="166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6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6" fontId="4" fillId="98" borderId="0">
      <protection locked="0"/>
    </xf>
    <xf numFmtId="166" fontId="4" fillId="98" borderId="0">
      <protection locked="0"/>
    </xf>
    <xf numFmtId="166" fontId="3" fillId="98" borderId="0">
      <protection locked="0"/>
    </xf>
    <xf numFmtId="166" fontId="4" fillId="98" borderId="0">
      <alignment horizontal="center"/>
      <protection locked="0"/>
    </xf>
    <xf numFmtId="166" fontId="4" fillId="98" borderId="0">
      <protection locked="0"/>
    </xf>
    <xf numFmtId="166" fontId="4" fillId="98" borderId="0"/>
    <xf numFmtId="166" fontId="4" fillId="98" borderId="0">
      <alignment wrapText="1"/>
      <protection locked="0"/>
    </xf>
    <xf numFmtId="166" fontId="70" fillId="98" borderId="0">
      <protection locked="0"/>
    </xf>
    <xf numFmtId="166" fontId="65" fillId="98" borderId="0">
      <protection locked="0"/>
    </xf>
    <xf numFmtId="166" fontId="65" fillId="98" borderId="0">
      <protection locked="0"/>
    </xf>
    <xf numFmtId="166" fontId="65" fillId="98" borderId="0">
      <protection locked="0"/>
    </xf>
    <xf numFmtId="166" fontId="65" fillId="98" borderId="0">
      <protection locked="0"/>
    </xf>
    <xf numFmtId="166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6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6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6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6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6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6" fontId="36" fillId="56" borderId="0" applyNumberFormat="0" applyBorder="0" applyAlignment="0" applyProtection="0"/>
    <xf numFmtId="0" fontId="36" fillId="56" borderId="0" applyNumberFormat="0" applyBorder="0" applyAlignment="0" applyProtection="0"/>
    <xf numFmtId="166" fontId="36" fillId="56" borderId="0" applyNumberFormat="0" applyBorder="0" applyAlignment="0" applyProtection="0"/>
    <xf numFmtId="0" fontId="36" fillId="56" borderId="0" applyNumberFormat="0" applyBorder="0" applyAlignment="0" applyProtection="0"/>
    <xf numFmtId="166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6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2" fontId="65" fillId="0" borderId="0"/>
    <xf numFmtId="166" fontId="7" fillId="0" borderId="0"/>
    <xf numFmtId="166" fontId="7" fillId="0" borderId="0"/>
    <xf numFmtId="166" fontId="7" fillId="0" borderId="0"/>
    <xf numFmtId="166" fontId="7" fillId="0" borderId="0"/>
    <xf numFmtId="166" fontId="4" fillId="0" borderId="0"/>
    <xf numFmtId="166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59" fillId="0" borderId="0"/>
    <xf numFmtId="166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78" fillId="99" borderId="18" applyNumberFormat="0" applyAlignment="0" applyProtection="0"/>
    <xf numFmtId="166" fontId="78" fillId="99" borderId="18" applyNumberFormat="0" applyAlignment="0" applyProtection="0"/>
    <xf numFmtId="166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78" fillId="100" borderId="18" applyNumberFormat="0" applyAlignment="0" applyProtection="0"/>
    <xf numFmtId="166" fontId="78" fillId="100" borderId="18" applyNumberForma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8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6" fontId="37" fillId="81" borderId="10" applyNumberFormat="0" applyAlignment="0" applyProtection="0"/>
    <xf numFmtId="166" fontId="37" fillId="81" borderId="10" applyNumberFormat="0" applyAlignment="0" applyProtection="0"/>
    <xf numFmtId="166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6" fontId="37" fillId="68" borderId="10" applyNumberFormat="0" applyAlignment="0" applyProtection="0"/>
    <xf numFmtId="166" fontId="37" fillId="68" borderId="10" applyNumberFormat="0" applyAlignment="0" applyProtection="0"/>
    <xf numFmtId="166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6" fontId="37" fillId="61" borderId="10" applyNumberFormat="0" applyAlignment="0" applyProtection="0"/>
    <xf numFmtId="166" fontId="37" fillId="61" borderId="10" applyNumberFormat="0" applyAlignment="0" applyProtection="0"/>
    <xf numFmtId="166" fontId="37" fillId="61" borderId="10" applyNumberFormat="0" applyAlignment="0" applyProtection="0"/>
    <xf numFmtId="0" fontId="37" fillId="54" borderId="10" applyNumberFormat="0" applyAlignment="0" applyProtection="0"/>
    <xf numFmtId="166" fontId="37" fillId="61" borderId="10" applyNumberFormat="0" applyAlignment="0" applyProtection="0"/>
    <xf numFmtId="166" fontId="37" fillId="61" borderId="10" applyNumberFormat="0" applyAlignment="0" applyProtection="0"/>
    <xf numFmtId="166" fontId="37" fillId="61" borderId="10" applyNumberFormat="0" applyAlignment="0" applyProtection="0"/>
    <xf numFmtId="0" fontId="37" fillId="54" borderId="10" applyNumberFormat="0" applyAlignment="0" applyProtection="0"/>
    <xf numFmtId="166" fontId="37" fillId="61" borderId="10" applyNumberFormat="0" applyAlignment="0" applyProtection="0"/>
    <xf numFmtId="166" fontId="37" fillId="61" borderId="10" applyNumberFormat="0" applyAlignment="0" applyProtection="0"/>
    <xf numFmtId="166" fontId="37" fillId="54" borderId="10" applyNumberFormat="0" applyAlignment="0" applyProtection="0"/>
    <xf numFmtId="0" fontId="37" fillId="54" borderId="10" applyNumberFormat="0" applyAlignment="0" applyProtection="0"/>
    <xf numFmtId="166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6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6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6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6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6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6" fontId="85" fillId="0" borderId="32">
      <alignment horizontal="center"/>
    </xf>
    <xf numFmtId="166" fontId="85" fillId="0" borderId="32">
      <alignment horizontal="center"/>
    </xf>
    <xf numFmtId="0" fontId="85" fillId="0" borderId="22">
      <alignment horizontal="center"/>
    </xf>
    <xf numFmtId="166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6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6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6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6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6" fontId="64" fillId="101" borderId="0" applyNumberFormat="0" applyFont="0" applyBorder="0" applyAlignment="0" applyProtection="0"/>
    <xf numFmtId="172" fontId="4" fillId="0" borderId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70" fillId="0" borderId="0" applyNumberFormat="0" applyFill="0" applyBorder="0" applyAlignment="0" applyProtection="0"/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6" fillId="68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87" fillId="103" borderId="0" applyNumberFormat="0" applyBorder="0">
      <alignment horizontal="left"/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78" fillId="100" borderId="0" applyNumberForma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78" fillId="100" borderId="0" applyNumberForma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6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6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6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1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6" fontId="1" fillId="0" borderId="13" applyNumberFormat="0" applyFill="0" applyAlignment="0" applyProtection="0"/>
    <xf numFmtId="166" fontId="1" fillId="0" borderId="13" applyNumberFormat="0" applyFill="0" applyAlignment="0" applyProtection="0"/>
    <xf numFmtId="166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6" fontId="1" fillId="0" borderId="34" applyNumberFormat="0" applyFill="0" applyAlignment="0" applyProtection="0"/>
    <xf numFmtId="166" fontId="1" fillId="0" borderId="34" applyNumberFormat="0" applyFill="0" applyAlignment="0" applyProtection="0"/>
    <xf numFmtId="166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6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6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6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6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6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6" fontId="90" fillId="73" borderId="35">
      <alignment horizontal="center" wrapText="1"/>
    </xf>
    <xf numFmtId="166" fontId="90" fillId="73" borderId="35">
      <alignment horizontal="center" wrapText="1"/>
    </xf>
    <xf numFmtId="166" fontId="90" fillId="73" borderId="35">
      <alignment horizontal="center" wrapText="1"/>
    </xf>
    <xf numFmtId="166" fontId="90" fillId="73" borderId="35">
      <alignment horizontal="center" wrapText="1"/>
    </xf>
    <xf numFmtId="166" fontId="90" fillId="73" borderId="35">
      <alignment horizontal="center" wrapText="1"/>
    </xf>
    <xf numFmtId="166" fontId="90" fillId="73" borderId="35">
      <alignment horizontal="center" wrapText="1"/>
    </xf>
    <xf numFmtId="166" fontId="90" fillId="73" borderId="35">
      <alignment horizontal="center" vertical="top" textRotation="90" wrapText="1"/>
    </xf>
    <xf numFmtId="166" fontId="90" fillId="73" borderId="35">
      <alignment horizontal="center" vertical="top" textRotation="90" wrapText="1"/>
    </xf>
    <xf numFmtId="166" fontId="90" fillId="73" borderId="35">
      <alignment horizontal="center" vertical="top" textRotation="90" wrapText="1"/>
    </xf>
    <xf numFmtId="166" fontId="42" fillId="0" borderId="0">
      <alignment horizontal="center"/>
    </xf>
    <xf numFmtId="166" fontId="91" fillId="74" borderId="0"/>
    <xf numFmtId="166" fontId="92" fillId="105" borderId="0"/>
    <xf numFmtId="166" fontId="91" fillId="74" borderId="0"/>
    <xf numFmtId="166" fontId="91" fillId="67" borderId="0"/>
    <xf numFmtId="166" fontId="93" fillId="74" borderId="21">
      <alignment horizontal="center" vertical="center"/>
    </xf>
    <xf numFmtId="166" fontId="93" fillId="74" borderId="21">
      <alignment horizontal="center" vertical="center"/>
    </xf>
    <xf numFmtId="166" fontId="93" fillId="74" borderId="21">
      <alignment horizontal="center" vertical="center"/>
    </xf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0" fontId="59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3" fillId="0" borderId="0" applyFont="0" applyFill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63" fillId="0" borderId="0" applyFont="0" applyFill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6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54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52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54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165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43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3" fillId="0" borderId="23" applyFont="0" applyAlignment="0">
      <alignment vertical="top" wrapText="1"/>
    </xf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6" fillId="0" borderId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43" fontId="59" fillId="0" borderId="0" applyFont="0" applyFill="0" applyBorder="0" applyAlignment="0" applyProtection="0"/>
    <xf numFmtId="0" fontId="59" fillId="0" borderId="0"/>
    <xf numFmtId="0" fontId="59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0" fontId="4" fillId="0" borderId="0" applyBorder="0"/>
    <xf numFmtId="0" fontId="4" fillId="0" borderId="0"/>
    <xf numFmtId="17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43" fontId="7" fillId="0" borderId="0" applyFont="0" applyFill="0" applyBorder="0" applyAlignment="0" applyProtection="0"/>
    <xf numFmtId="0" fontId="7" fillId="25" borderId="0" applyNumberFormat="0" applyBorder="0" applyAlignment="0" applyProtection="0"/>
    <xf numFmtId="43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2" fontId="4" fillId="0" borderId="0"/>
    <xf numFmtId="173" fontId="4" fillId="0" borderId="0"/>
    <xf numFmtId="174" fontId="4" fillId="0" borderId="0"/>
    <xf numFmtId="175" fontId="4" fillId="0" borderId="0"/>
    <xf numFmtId="176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6" fontId="4" fillId="0" borderId="0" applyBorder="0"/>
    <xf numFmtId="166" fontId="4" fillId="0" borderId="0" applyBorder="0"/>
    <xf numFmtId="166" fontId="4" fillId="0" borderId="0" applyBorder="0"/>
    <xf numFmtId="166" fontId="4" fillId="0" borderId="0">
      <alignment horizontal="center"/>
    </xf>
    <xf numFmtId="166" fontId="4" fillId="0" borderId="0">
      <alignment wrapText="1"/>
    </xf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98" borderId="0">
      <protection locked="0"/>
    </xf>
    <xf numFmtId="177" fontId="4" fillId="98" borderId="0">
      <protection locked="0"/>
    </xf>
    <xf numFmtId="175" fontId="4" fillId="98" borderId="0">
      <protection locked="0"/>
    </xf>
    <xf numFmtId="176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6" fontId="4" fillId="98" borderId="0">
      <protection locked="0"/>
    </xf>
    <xf numFmtId="166" fontId="4" fillId="98" borderId="0">
      <protection locked="0"/>
    </xf>
    <xf numFmtId="166" fontId="4" fillId="98" borderId="0">
      <alignment horizontal="center"/>
      <protection locked="0"/>
    </xf>
    <xf numFmtId="166" fontId="4" fillId="98" borderId="0">
      <protection locked="0"/>
    </xf>
    <xf numFmtId="166" fontId="4" fillId="98" borderId="0"/>
    <xf numFmtId="166" fontId="4" fillId="98" borderId="0">
      <alignment wrapText="1"/>
      <protection locked="0"/>
    </xf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166" fontId="4" fillId="0" borderId="0"/>
    <xf numFmtId="166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2" fontId="4" fillId="0" borderId="0"/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0" fontId="4" fillId="0" borderId="0" applyBorder="0"/>
    <xf numFmtId="0" fontId="4" fillId="0" borderId="0"/>
    <xf numFmtId="17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2" fontId="4" fillId="0" borderId="0"/>
    <xf numFmtId="173" fontId="4" fillId="0" borderId="0"/>
    <xf numFmtId="174" fontId="4" fillId="0" borderId="0"/>
    <xf numFmtId="175" fontId="4" fillId="0" borderId="0"/>
    <xf numFmtId="176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6" fontId="4" fillId="0" borderId="0" applyBorder="0"/>
    <xf numFmtId="166" fontId="4" fillId="0" borderId="0" applyBorder="0"/>
    <xf numFmtId="166" fontId="4" fillId="0" borderId="0" applyBorder="0"/>
    <xf numFmtId="166" fontId="4" fillId="0" borderId="0">
      <alignment horizontal="center"/>
    </xf>
    <xf numFmtId="166" fontId="4" fillId="0" borderId="0">
      <alignment wrapText="1"/>
    </xf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98" borderId="0">
      <protection locked="0"/>
    </xf>
    <xf numFmtId="177" fontId="4" fillId="98" borderId="0">
      <protection locked="0"/>
    </xf>
    <xf numFmtId="175" fontId="4" fillId="98" borderId="0">
      <protection locked="0"/>
    </xf>
    <xf numFmtId="176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6" fontId="4" fillId="98" borderId="0">
      <protection locked="0"/>
    </xf>
    <xf numFmtId="166" fontId="4" fillId="98" borderId="0">
      <protection locked="0"/>
    </xf>
    <xf numFmtId="166" fontId="4" fillId="98" borderId="0">
      <alignment horizontal="center"/>
      <protection locked="0"/>
    </xf>
    <xf numFmtId="166" fontId="4" fillId="98" borderId="0">
      <protection locked="0"/>
    </xf>
    <xf numFmtId="166" fontId="4" fillId="98" borderId="0"/>
    <xf numFmtId="166" fontId="4" fillId="98" borderId="0">
      <alignment wrapText="1"/>
      <protection locked="0"/>
    </xf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166" fontId="4" fillId="0" borderId="0"/>
    <xf numFmtId="166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6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2" fontId="4" fillId="0" borderId="0"/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104" borderId="0" applyNumberFormat="0" applyFont="0" applyBorder="0" applyAlignment="0">
      <protection locked="0"/>
    </xf>
    <xf numFmtId="166" fontId="4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3" fontId="59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43" fontId="63" fillId="0" borderId="23" applyFont="0" applyAlignment="0">
      <alignment vertical="top" wrapText="1"/>
    </xf>
    <xf numFmtId="0" fontId="7" fillId="0" borderId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13" borderId="0" applyNumberFormat="0" applyBorder="0" applyAlignment="0" applyProtection="0"/>
    <xf numFmtId="165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165" fontId="2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5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5" fillId="0" borderId="0" applyFont="0" applyFill="0" applyBorder="0" applyAlignment="0" applyProtection="0"/>
    <xf numFmtId="166" fontId="7" fillId="0" borderId="0"/>
    <xf numFmtId="166" fontId="7" fillId="0" borderId="0"/>
    <xf numFmtId="166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0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8" fillId="0" borderId="0" xfId="0" applyFont="1"/>
    <xf numFmtId="0" fontId="108" fillId="0" borderId="0" xfId="0" applyFont="1" applyAlignment="1">
      <alignment horizontal="center"/>
    </xf>
    <xf numFmtId="0" fontId="109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10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8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11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1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5"/>
  <sheetData>
    <row r="1" spans="1:1">
      <c r="A1" t="s">
        <v>957</v>
      </c>
    </row>
    <row r="2" spans="1:1">
      <c r="A2" t="s">
        <v>958</v>
      </c>
    </row>
    <row r="3" spans="1:1">
      <c r="A3" t="s">
        <v>959</v>
      </c>
    </row>
    <row r="4" spans="1:1">
      <c r="A4" t="s">
        <v>960</v>
      </c>
    </row>
    <row r="5" spans="1:1">
      <c r="A5" t="s">
        <v>961</v>
      </c>
    </row>
    <row r="6" spans="1:1">
      <c r="A6" t="s">
        <v>962</v>
      </c>
    </row>
    <row r="7" spans="1:1">
      <c r="A7" t="s">
        <v>963</v>
      </c>
    </row>
    <row r="8" spans="1:1">
      <c r="A8" t="s">
        <v>964</v>
      </c>
    </row>
    <row r="9" spans="1:1">
      <c r="A9" t="s">
        <v>965</v>
      </c>
    </row>
    <row r="10" spans="1:1">
      <c r="A10" t="s">
        <v>966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P35"/>
  <sheetViews>
    <sheetView tabSelected="1" workbookViewId="0">
      <selection activeCell="C33" sqref="C33"/>
    </sheetView>
  </sheetViews>
  <sheetFormatPr defaultRowHeight="15"/>
  <cols>
    <col min="2" max="2" width="10.140625" bestFit="1" customWidth="1"/>
    <col min="3" max="3" width="8.85546875" bestFit="1" customWidth="1"/>
    <col min="4" max="4" width="8.7109375" bestFit="1" customWidth="1"/>
    <col min="5" max="5" width="8.42578125" bestFit="1" customWidth="1"/>
    <col min="6" max="6" width="11.5703125" bestFit="1" customWidth="1"/>
    <col min="7" max="7" width="9.7109375" bestFit="1" customWidth="1"/>
    <col min="8" max="8" width="10.7109375" bestFit="1" customWidth="1"/>
    <col min="9" max="12" width="10.7109375" customWidth="1"/>
    <col min="13" max="13" width="8.7109375" bestFit="1" customWidth="1"/>
    <col min="14" max="15" width="8.42578125" bestFit="1" customWidth="1"/>
    <col min="16" max="16" width="7.5703125" bestFit="1" customWidth="1"/>
    <col min="17" max="17" width="8.5703125" bestFit="1" customWidth="1"/>
    <col min="18" max="18" width="8.7109375" bestFit="1" customWidth="1"/>
    <col min="19" max="20" width="8.4257812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96</v>
      </c>
      <c r="E11" t="s">
        <v>95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94</v>
      </c>
    </row>
    <row r="12" spans="3:14">
      <c r="E12" t="s">
        <v>97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2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98</v>
      </c>
      <c r="E18" t="s">
        <v>95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103</v>
      </c>
    </row>
    <row r="19" spans="3:16">
      <c r="L19" s="8"/>
      <c r="M19" s="8"/>
      <c r="N19" s="8"/>
      <c r="O19" s="10"/>
    </row>
    <row r="22" spans="3:16">
      <c r="F22" t="s">
        <v>99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2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100</v>
      </c>
      <c r="E30" t="s">
        <v>101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102</v>
      </c>
    </row>
    <row r="32" spans="3:16">
      <c r="C32" t="s">
        <v>54</v>
      </c>
    </row>
    <row r="33" spans="3:15">
      <c r="C33" t="s">
        <v>55</v>
      </c>
      <c r="K33" t="s">
        <v>8</v>
      </c>
    </row>
    <row r="34" spans="3:15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5">
      <c r="C35" t="s">
        <v>104</v>
      </c>
      <c r="E35" t="s">
        <v>105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106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>
      <selection activeCell="C19" sqref="C19"/>
    </sheetView>
  </sheetViews>
  <sheetFormatPr defaultColWidth="11.42578125" defaultRowHeight="15"/>
  <cols>
    <col min="1" max="1" width="11.42578125" style="27" customWidth="1"/>
    <col min="2" max="2" width="21.140625" style="27" bestFit="1" customWidth="1"/>
    <col min="3" max="3" width="18.42578125" style="27" bestFit="1" customWidth="1"/>
    <col min="4" max="4" width="9.7109375" style="27" customWidth="1"/>
    <col min="5" max="6" width="9.85546875" style="27" customWidth="1"/>
    <col min="7" max="7" width="7.85546875" style="27" bestFit="1" customWidth="1"/>
    <col min="8" max="8" width="5.85546875" style="27" bestFit="1" customWidth="1"/>
    <col min="9" max="9" width="13" style="27" customWidth="1"/>
    <col min="10" max="11" width="10" style="27" customWidth="1"/>
    <col min="12" max="12" width="11.7109375" style="28" customWidth="1"/>
    <col min="13" max="13" width="23.42578125" style="27" customWidth="1"/>
    <col min="14" max="14" width="47.42578125" style="27" customWidth="1"/>
    <col min="15" max="256" width="11.42578125" style="27"/>
    <col min="257" max="257" width="11.42578125" style="27" customWidth="1"/>
    <col min="258" max="258" width="21.140625" style="27" bestFit="1" customWidth="1"/>
    <col min="259" max="259" width="18.42578125" style="27" bestFit="1" customWidth="1"/>
    <col min="260" max="260" width="9.7109375" style="27" customWidth="1"/>
    <col min="261" max="262" width="9.85546875" style="27" customWidth="1"/>
    <col min="263" max="263" width="7.85546875" style="27" bestFit="1" customWidth="1"/>
    <col min="264" max="264" width="5.85546875" style="27" bestFit="1" customWidth="1"/>
    <col min="265" max="265" width="13" style="27" customWidth="1"/>
    <col min="266" max="267" width="10" style="27" customWidth="1"/>
    <col min="268" max="268" width="11.7109375" style="27" customWidth="1"/>
    <col min="269" max="269" width="23.42578125" style="27" customWidth="1"/>
    <col min="270" max="270" width="47.42578125" style="27" customWidth="1"/>
    <col min="271" max="512" width="11.42578125" style="27"/>
    <col min="513" max="513" width="11.42578125" style="27" customWidth="1"/>
    <col min="514" max="514" width="21.140625" style="27" bestFit="1" customWidth="1"/>
    <col min="515" max="515" width="18.42578125" style="27" bestFit="1" customWidth="1"/>
    <col min="516" max="516" width="9.7109375" style="27" customWidth="1"/>
    <col min="517" max="518" width="9.85546875" style="27" customWidth="1"/>
    <col min="519" max="519" width="7.85546875" style="27" bestFit="1" customWidth="1"/>
    <col min="520" max="520" width="5.85546875" style="27" bestFit="1" customWidth="1"/>
    <col min="521" max="521" width="13" style="27" customWidth="1"/>
    <col min="522" max="523" width="10" style="27" customWidth="1"/>
    <col min="524" max="524" width="11.7109375" style="27" customWidth="1"/>
    <col min="525" max="525" width="23.42578125" style="27" customWidth="1"/>
    <col min="526" max="526" width="47.42578125" style="27" customWidth="1"/>
    <col min="527" max="768" width="11.42578125" style="27"/>
    <col min="769" max="769" width="11.42578125" style="27" customWidth="1"/>
    <col min="770" max="770" width="21.140625" style="27" bestFit="1" customWidth="1"/>
    <col min="771" max="771" width="18.42578125" style="27" bestFit="1" customWidth="1"/>
    <col min="772" max="772" width="9.7109375" style="27" customWidth="1"/>
    <col min="773" max="774" width="9.85546875" style="27" customWidth="1"/>
    <col min="775" max="775" width="7.85546875" style="27" bestFit="1" customWidth="1"/>
    <col min="776" max="776" width="5.85546875" style="27" bestFit="1" customWidth="1"/>
    <col min="777" max="777" width="13" style="27" customWidth="1"/>
    <col min="778" max="779" width="10" style="27" customWidth="1"/>
    <col min="780" max="780" width="11.7109375" style="27" customWidth="1"/>
    <col min="781" max="781" width="23.42578125" style="27" customWidth="1"/>
    <col min="782" max="782" width="47.42578125" style="27" customWidth="1"/>
    <col min="783" max="1024" width="11.42578125" style="27"/>
    <col min="1025" max="1025" width="11.42578125" style="27" customWidth="1"/>
    <col min="1026" max="1026" width="21.140625" style="27" bestFit="1" customWidth="1"/>
    <col min="1027" max="1027" width="18.42578125" style="27" bestFit="1" customWidth="1"/>
    <col min="1028" max="1028" width="9.7109375" style="27" customWidth="1"/>
    <col min="1029" max="1030" width="9.85546875" style="27" customWidth="1"/>
    <col min="1031" max="1031" width="7.85546875" style="27" bestFit="1" customWidth="1"/>
    <col min="1032" max="1032" width="5.85546875" style="27" bestFit="1" customWidth="1"/>
    <col min="1033" max="1033" width="13" style="27" customWidth="1"/>
    <col min="1034" max="1035" width="10" style="27" customWidth="1"/>
    <col min="1036" max="1036" width="11.7109375" style="27" customWidth="1"/>
    <col min="1037" max="1037" width="23.42578125" style="27" customWidth="1"/>
    <col min="1038" max="1038" width="47.42578125" style="27" customWidth="1"/>
    <col min="1039" max="1280" width="11.42578125" style="27"/>
    <col min="1281" max="1281" width="11.42578125" style="27" customWidth="1"/>
    <col min="1282" max="1282" width="21.140625" style="27" bestFit="1" customWidth="1"/>
    <col min="1283" max="1283" width="18.42578125" style="27" bestFit="1" customWidth="1"/>
    <col min="1284" max="1284" width="9.7109375" style="27" customWidth="1"/>
    <col min="1285" max="1286" width="9.85546875" style="27" customWidth="1"/>
    <col min="1287" max="1287" width="7.85546875" style="27" bestFit="1" customWidth="1"/>
    <col min="1288" max="1288" width="5.85546875" style="27" bestFit="1" customWidth="1"/>
    <col min="1289" max="1289" width="13" style="27" customWidth="1"/>
    <col min="1290" max="1291" width="10" style="27" customWidth="1"/>
    <col min="1292" max="1292" width="11.7109375" style="27" customWidth="1"/>
    <col min="1293" max="1293" width="23.42578125" style="27" customWidth="1"/>
    <col min="1294" max="1294" width="47.42578125" style="27" customWidth="1"/>
    <col min="1295" max="1536" width="11.42578125" style="27"/>
    <col min="1537" max="1537" width="11.42578125" style="27" customWidth="1"/>
    <col min="1538" max="1538" width="21.140625" style="27" bestFit="1" customWidth="1"/>
    <col min="1539" max="1539" width="18.42578125" style="27" bestFit="1" customWidth="1"/>
    <col min="1540" max="1540" width="9.7109375" style="27" customWidth="1"/>
    <col min="1541" max="1542" width="9.85546875" style="27" customWidth="1"/>
    <col min="1543" max="1543" width="7.85546875" style="27" bestFit="1" customWidth="1"/>
    <col min="1544" max="1544" width="5.85546875" style="27" bestFit="1" customWidth="1"/>
    <col min="1545" max="1545" width="13" style="27" customWidth="1"/>
    <col min="1546" max="1547" width="10" style="27" customWidth="1"/>
    <col min="1548" max="1548" width="11.7109375" style="27" customWidth="1"/>
    <col min="1549" max="1549" width="23.42578125" style="27" customWidth="1"/>
    <col min="1550" max="1550" width="47.42578125" style="27" customWidth="1"/>
    <col min="1551" max="1792" width="11.42578125" style="27"/>
    <col min="1793" max="1793" width="11.42578125" style="27" customWidth="1"/>
    <col min="1794" max="1794" width="21.140625" style="27" bestFit="1" customWidth="1"/>
    <col min="1795" max="1795" width="18.42578125" style="27" bestFit="1" customWidth="1"/>
    <col min="1796" max="1796" width="9.7109375" style="27" customWidth="1"/>
    <col min="1797" max="1798" width="9.85546875" style="27" customWidth="1"/>
    <col min="1799" max="1799" width="7.85546875" style="27" bestFit="1" customWidth="1"/>
    <col min="1800" max="1800" width="5.85546875" style="27" bestFit="1" customWidth="1"/>
    <col min="1801" max="1801" width="13" style="27" customWidth="1"/>
    <col min="1802" max="1803" width="10" style="27" customWidth="1"/>
    <col min="1804" max="1804" width="11.7109375" style="27" customWidth="1"/>
    <col min="1805" max="1805" width="23.42578125" style="27" customWidth="1"/>
    <col min="1806" max="1806" width="47.42578125" style="27" customWidth="1"/>
    <col min="1807" max="2048" width="11.42578125" style="27"/>
    <col min="2049" max="2049" width="11.42578125" style="27" customWidth="1"/>
    <col min="2050" max="2050" width="21.140625" style="27" bestFit="1" customWidth="1"/>
    <col min="2051" max="2051" width="18.42578125" style="27" bestFit="1" customWidth="1"/>
    <col min="2052" max="2052" width="9.7109375" style="27" customWidth="1"/>
    <col min="2053" max="2054" width="9.85546875" style="27" customWidth="1"/>
    <col min="2055" max="2055" width="7.85546875" style="27" bestFit="1" customWidth="1"/>
    <col min="2056" max="2056" width="5.85546875" style="27" bestFit="1" customWidth="1"/>
    <col min="2057" max="2057" width="13" style="27" customWidth="1"/>
    <col min="2058" max="2059" width="10" style="27" customWidth="1"/>
    <col min="2060" max="2060" width="11.7109375" style="27" customWidth="1"/>
    <col min="2061" max="2061" width="23.42578125" style="27" customWidth="1"/>
    <col min="2062" max="2062" width="47.42578125" style="27" customWidth="1"/>
    <col min="2063" max="2304" width="11.42578125" style="27"/>
    <col min="2305" max="2305" width="11.42578125" style="27" customWidth="1"/>
    <col min="2306" max="2306" width="21.140625" style="27" bestFit="1" customWidth="1"/>
    <col min="2307" max="2307" width="18.42578125" style="27" bestFit="1" customWidth="1"/>
    <col min="2308" max="2308" width="9.7109375" style="27" customWidth="1"/>
    <col min="2309" max="2310" width="9.85546875" style="27" customWidth="1"/>
    <col min="2311" max="2311" width="7.85546875" style="27" bestFit="1" customWidth="1"/>
    <col min="2312" max="2312" width="5.85546875" style="27" bestFit="1" customWidth="1"/>
    <col min="2313" max="2313" width="13" style="27" customWidth="1"/>
    <col min="2314" max="2315" width="10" style="27" customWidth="1"/>
    <col min="2316" max="2316" width="11.7109375" style="27" customWidth="1"/>
    <col min="2317" max="2317" width="23.42578125" style="27" customWidth="1"/>
    <col min="2318" max="2318" width="47.42578125" style="27" customWidth="1"/>
    <col min="2319" max="2560" width="11.42578125" style="27"/>
    <col min="2561" max="2561" width="11.42578125" style="27" customWidth="1"/>
    <col min="2562" max="2562" width="21.140625" style="27" bestFit="1" customWidth="1"/>
    <col min="2563" max="2563" width="18.42578125" style="27" bestFit="1" customWidth="1"/>
    <col min="2564" max="2564" width="9.7109375" style="27" customWidth="1"/>
    <col min="2565" max="2566" width="9.85546875" style="27" customWidth="1"/>
    <col min="2567" max="2567" width="7.85546875" style="27" bestFit="1" customWidth="1"/>
    <col min="2568" max="2568" width="5.85546875" style="27" bestFit="1" customWidth="1"/>
    <col min="2569" max="2569" width="13" style="27" customWidth="1"/>
    <col min="2570" max="2571" width="10" style="27" customWidth="1"/>
    <col min="2572" max="2572" width="11.7109375" style="27" customWidth="1"/>
    <col min="2573" max="2573" width="23.42578125" style="27" customWidth="1"/>
    <col min="2574" max="2574" width="47.42578125" style="27" customWidth="1"/>
    <col min="2575" max="2816" width="11.42578125" style="27"/>
    <col min="2817" max="2817" width="11.42578125" style="27" customWidth="1"/>
    <col min="2818" max="2818" width="21.140625" style="27" bestFit="1" customWidth="1"/>
    <col min="2819" max="2819" width="18.42578125" style="27" bestFit="1" customWidth="1"/>
    <col min="2820" max="2820" width="9.7109375" style="27" customWidth="1"/>
    <col min="2821" max="2822" width="9.85546875" style="27" customWidth="1"/>
    <col min="2823" max="2823" width="7.85546875" style="27" bestFit="1" customWidth="1"/>
    <col min="2824" max="2824" width="5.85546875" style="27" bestFit="1" customWidth="1"/>
    <col min="2825" max="2825" width="13" style="27" customWidth="1"/>
    <col min="2826" max="2827" width="10" style="27" customWidth="1"/>
    <col min="2828" max="2828" width="11.7109375" style="27" customWidth="1"/>
    <col min="2829" max="2829" width="23.42578125" style="27" customWidth="1"/>
    <col min="2830" max="2830" width="47.42578125" style="27" customWidth="1"/>
    <col min="2831" max="3072" width="11.42578125" style="27"/>
    <col min="3073" max="3073" width="11.42578125" style="27" customWidth="1"/>
    <col min="3074" max="3074" width="21.140625" style="27" bestFit="1" customWidth="1"/>
    <col min="3075" max="3075" width="18.42578125" style="27" bestFit="1" customWidth="1"/>
    <col min="3076" max="3076" width="9.7109375" style="27" customWidth="1"/>
    <col min="3077" max="3078" width="9.85546875" style="27" customWidth="1"/>
    <col min="3079" max="3079" width="7.85546875" style="27" bestFit="1" customWidth="1"/>
    <col min="3080" max="3080" width="5.85546875" style="27" bestFit="1" customWidth="1"/>
    <col min="3081" max="3081" width="13" style="27" customWidth="1"/>
    <col min="3082" max="3083" width="10" style="27" customWidth="1"/>
    <col min="3084" max="3084" width="11.7109375" style="27" customWidth="1"/>
    <col min="3085" max="3085" width="23.42578125" style="27" customWidth="1"/>
    <col min="3086" max="3086" width="47.42578125" style="27" customWidth="1"/>
    <col min="3087" max="3328" width="11.42578125" style="27"/>
    <col min="3329" max="3329" width="11.42578125" style="27" customWidth="1"/>
    <col min="3330" max="3330" width="21.140625" style="27" bestFit="1" customWidth="1"/>
    <col min="3331" max="3331" width="18.42578125" style="27" bestFit="1" customWidth="1"/>
    <col min="3332" max="3332" width="9.7109375" style="27" customWidth="1"/>
    <col min="3333" max="3334" width="9.85546875" style="27" customWidth="1"/>
    <col min="3335" max="3335" width="7.85546875" style="27" bestFit="1" customWidth="1"/>
    <col min="3336" max="3336" width="5.85546875" style="27" bestFit="1" customWidth="1"/>
    <col min="3337" max="3337" width="13" style="27" customWidth="1"/>
    <col min="3338" max="3339" width="10" style="27" customWidth="1"/>
    <col min="3340" max="3340" width="11.7109375" style="27" customWidth="1"/>
    <col min="3341" max="3341" width="23.42578125" style="27" customWidth="1"/>
    <col min="3342" max="3342" width="47.42578125" style="27" customWidth="1"/>
    <col min="3343" max="3584" width="11.42578125" style="27"/>
    <col min="3585" max="3585" width="11.42578125" style="27" customWidth="1"/>
    <col min="3586" max="3586" width="21.140625" style="27" bestFit="1" customWidth="1"/>
    <col min="3587" max="3587" width="18.42578125" style="27" bestFit="1" customWidth="1"/>
    <col min="3588" max="3588" width="9.7109375" style="27" customWidth="1"/>
    <col min="3589" max="3590" width="9.85546875" style="27" customWidth="1"/>
    <col min="3591" max="3591" width="7.85546875" style="27" bestFit="1" customWidth="1"/>
    <col min="3592" max="3592" width="5.85546875" style="27" bestFit="1" customWidth="1"/>
    <col min="3593" max="3593" width="13" style="27" customWidth="1"/>
    <col min="3594" max="3595" width="10" style="27" customWidth="1"/>
    <col min="3596" max="3596" width="11.7109375" style="27" customWidth="1"/>
    <col min="3597" max="3597" width="23.42578125" style="27" customWidth="1"/>
    <col min="3598" max="3598" width="47.42578125" style="27" customWidth="1"/>
    <col min="3599" max="3840" width="11.42578125" style="27"/>
    <col min="3841" max="3841" width="11.42578125" style="27" customWidth="1"/>
    <col min="3842" max="3842" width="21.140625" style="27" bestFit="1" customWidth="1"/>
    <col min="3843" max="3843" width="18.42578125" style="27" bestFit="1" customWidth="1"/>
    <col min="3844" max="3844" width="9.7109375" style="27" customWidth="1"/>
    <col min="3845" max="3846" width="9.85546875" style="27" customWidth="1"/>
    <col min="3847" max="3847" width="7.85546875" style="27" bestFit="1" customWidth="1"/>
    <col min="3848" max="3848" width="5.85546875" style="27" bestFit="1" customWidth="1"/>
    <col min="3849" max="3849" width="13" style="27" customWidth="1"/>
    <col min="3850" max="3851" width="10" style="27" customWidth="1"/>
    <col min="3852" max="3852" width="11.7109375" style="27" customWidth="1"/>
    <col min="3853" max="3853" width="23.42578125" style="27" customWidth="1"/>
    <col min="3854" max="3854" width="47.42578125" style="27" customWidth="1"/>
    <col min="3855" max="4096" width="11.42578125" style="27"/>
    <col min="4097" max="4097" width="11.42578125" style="27" customWidth="1"/>
    <col min="4098" max="4098" width="21.140625" style="27" bestFit="1" customWidth="1"/>
    <col min="4099" max="4099" width="18.42578125" style="27" bestFit="1" customWidth="1"/>
    <col min="4100" max="4100" width="9.7109375" style="27" customWidth="1"/>
    <col min="4101" max="4102" width="9.85546875" style="27" customWidth="1"/>
    <col min="4103" max="4103" width="7.85546875" style="27" bestFit="1" customWidth="1"/>
    <col min="4104" max="4104" width="5.85546875" style="27" bestFit="1" customWidth="1"/>
    <col min="4105" max="4105" width="13" style="27" customWidth="1"/>
    <col min="4106" max="4107" width="10" style="27" customWidth="1"/>
    <col min="4108" max="4108" width="11.7109375" style="27" customWidth="1"/>
    <col min="4109" max="4109" width="23.42578125" style="27" customWidth="1"/>
    <col min="4110" max="4110" width="47.42578125" style="27" customWidth="1"/>
    <col min="4111" max="4352" width="11.42578125" style="27"/>
    <col min="4353" max="4353" width="11.42578125" style="27" customWidth="1"/>
    <col min="4354" max="4354" width="21.140625" style="27" bestFit="1" customWidth="1"/>
    <col min="4355" max="4355" width="18.42578125" style="27" bestFit="1" customWidth="1"/>
    <col min="4356" max="4356" width="9.7109375" style="27" customWidth="1"/>
    <col min="4357" max="4358" width="9.85546875" style="27" customWidth="1"/>
    <col min="4359" max="4359" width="7.85546875" style="27" bestFit="1" customWidth="1"/>
    <col min="4360" max="4360" width="5.85546875" style="27" bestFit="1" customWidth="1"/>
    <col min="4361" max="4361" width="13" style="27" customWidth="1"/>
    <col min="4362" max="4363" width="10" style="27" customWidth="1"/>
    <col min="4364" max="4364" width="11.7109375" style="27" customWidth="1"/>
    <col min="4365" max="4365" width="23.42578125" style="27" customWidth="1"/>
    <col min="4366" max="4366" width="47.42578125" style="27" customWidth="1"/>
    <col min="4367" max="4608" width="11.42578125" style="27"/>
    <col min="4609" max="4609" width="11.42578125" style="27" customWidth="1"/>
    <col min="4610" max="4610" width="21.140625" style="27" bestFit="1" customWidth="1"/>
    <col min="4611" max="4611" width="18.42578125" style="27" bestFit="1" customWidth="1"/>
    <col min="4612" max="4612" width="9.7109375" style="27" customWidth="1"/>
    <col min="4613" max="4614" width="9.85546875" style="27" customWidth="1"/>
    <col min="4615" max="4615" width="7.85546875" style="27" bestFit="1" customWidth="1"/>
    <col min="4616" max="4616" width="5.85546875" style="27" bestFit="1" customWidth="1"/>
    <col min="4617" max="4617" width="13" style="27" customWidth="1"/>
    <col min="4618" max="4619" width="10" style="27" customWidth="1"/>
    <col min="4620" max="4620" width="11.7109375" style="27" customWidth="1"/>
    <col min="4621" max="4621" width="23.42578125" style="27" customWidth="1"/>
    <col min="4622" max="4622" width="47.42578125" style="27" customWidth="1"/>
    <col min="4623" max="4864" width="11.42578125" style="27"/>
    <col min="4865" max="4865" width="11.42578125" style="27" customWidth="1"/>
    <col min="4866" max="4866" width="21.140625" style="27" bestFit="1" customWidth="1"/>
    <col min="4867" max="4867" width="18.42578125" style="27" bestFit="1" customWidth="1"/>
    <col min="4868" max="4868" width="9.7109375" style="27" customWidth="1"/>
    <col min="4869" max="4870" width="9.85546875" style="27" customWidth="1"/>
    <col min="4871" max="4871" width="7.85546875" style="27" bestFit="1" customWidth="1"/>
    <col min="4872" max="4872" width="5.85546875" style="27" bestFit="1" customWidth="1"/>
    <col min="4873" max="4873" width="13" style="27" customWidth="1"/>
    <col min="4874" max="4875" width="10" style="27" customWidth="1"/>
    <col min="4876" max="4876" width="11.7109375" style="27" customWidth="1"/>
    <col min="4877" max="4877" width="23.42578125" style="27" customWidth="1"/>
    <col min="4878" max="4878" width="47.42578125" style="27" customWidth="1"/>
    <col min="4879" max="5120" width="11.42578125" style="27"/>
    <col min="5121" max="5121" width="11.42578125" style="27" customWidth="1"/>
    <col min="5122" max="5122" width="21.140625" style="27" bestFit="1" customWidth="1"/>
    <col min="5123" max="5123" width="18.42578125" style="27" bestFit="1" customWidth="1"/>
    <col min="5124" max="5124" width="9.7109375" style="27" customWidth="1"/>
    <col min="5125" max="5126" width="9.85546875" style="27" customWidth="1"/>
    <col min="5127" max="5127" width="7.85546875" style="27" bestFit="1" customWidth="1"/>
    <col min="5128" max="5128" width="5.85546875" style="27" bestFit="1" customWidth="1"/>
    <col min="5129" max="5129" width="13" style="27" customWidth="1"/>
    <col min="5130" max="5131" width="10" style="27" customWidth="1"/>
    <col min="5132" max="5132" width="11.7109375" style="27" customWidth="1"/>
    <col min="5133" max="5133" width="23.42578125" style="27" customWidth="1"/>
    <col min="5134" max="5134" width="47.42578125" style="27" customWidth="1"/>
    <col min="5135" max="5376" width="11.42578125" style="27"/>
    <col min="5377" max="5377" width="11.42578125" style="27" customWidth="1"/>
    <col min="5378" max="5378" width="21.140625" style="27" bestFit="1" customWidth="1"/>
    <col min="5379" max="5379" width="18.42578125" style="27" bestFit="1" customWidth="1"/>
    <col min="5380" max="5380" width="9.7109375" style="27" customWidth="1"/>
    <col min="5381" max="5382" width="9.85546875" style="27" customWidth="1"/>
    <col min="5383" max="5383" width="7.85546875" style="27" bestFit="1" customWidth="1"/>
    <col min="5384" max="5384" width="5.85546875" style="27" bestFit="1" customWidth="1"/>
    <col min="5385" max="5385" width="13" style="27" customWidth="1"/>
    <col min="5386" max="5387" width="10" style="27" customWidth="1"/>
    <col min="5388" max="5388" width="11.7109375" style="27" customWidth="1"/>
    <col min="5389" max="5389" width="23.42578125" style="27" customWidth="1"/>
    <col min="5390" max="5390" width="47.42578125" style="27" customWidth="1"/>
    <col min="5391" max="5632" width="11.42578125" style="27"/>
    <col min="5633" max="5633" width="11.42578125" style="27" customWidth="1"/>
    <col min="5634" max="5634" width="21.140625" style="27" bestFit="1" customWidth="1"/>
    <col min="5635" max="5635" width="18.42578125" style="27" bestFit="1" customWidth="1"/>
    <col min="5636" max="5636" width="9.7109375" style="27" customWidth="1"/>
    <col min="5637" max="5638" width="9.85546875" style="27" customWidth="1"/>
    <col min="5639" max="5639" width="7.85546875" style="27" bestFit="1" customWidth="1"/>
    <col min="5640" max="5640" width="5.85546875" style="27" bestFit="1" customWidth="1"/>
    <col min="5641" max="5641" width="13" style="27" customWidth="1"/>
    <col min="5642" max="5643" width="10" style="27" customWidth="1"/>
    <col min="5644" max="5644" width="11.7109375" style="27" customWidth="1"/>
    <col min="5645" max="5645" width="23.42578125" style="27" customWidth="1"/>
    <col min="5646" max="5646" width="47.42578125" style="27" customWidth="1"/>
    <col min="5647" max="5888" width="11.42578125" style="27"/>
    <col min="5889" max="5889" width="11.42578125" style="27" customWidth="1"/>
    <col min="5890" max="5890" width="21.140625" style="27" bestFit="1" customWidth="1"/>
    <col min="5891" max="5891" width="18.42578125" style="27" bestFit="1" customWidth="1"/>
    <col min="5892" max="5892" width="9.7109375" style="27" customWidth="1"/>
    <col min="5893" max="5894" width="9.85546875" style="27" customWidth="1"/>
    <col min="5895" max="5895" width="7.85546875" style="27" bestFit="1" customWidth="1"/>
    <col min="5896" max="5896" width="5.85546875" style="27" bestFit="1" customWidth="1"/>
    <col min="5897" max="5897" width="13" style="27" customWidth="1"/>
    <col min="5898" max="5899" width="10" style="27" customWidth="1"/>
    <col min="5900" max="5900" width="11.7109375" style="27" customWidth="1"/>
    <col min="5901" max="5901" width="23.42578125" style="27" customWidth="1"/>
    <col min="5902" max="5902" width="47.42578125" style="27" customWidth="1"/>
    <col min="5903" max="6144" width="11.42578125" style="27"/>
    <col min="6145" max="6145" width="11.42578125" style="27" customWidth="1"/>
    <col min="6146" max="6146" width="21.140625" style="27" bestFit="1" customWidth="1"/>
    <col min="6147" max="6147" width="18.42578125" style="27" bestFit="1" customWidth="1"/>
    <col min="6148" max="6148" width="9.7109375" style="27" customWidth="1"/>
    <col min="6149" max="6150" width="9.85546875" style="27" customWidth="1"/>
    <col min="6151" max="6151" width="7.85546875" style="27" bestFit="1" customWidth="1"/>
    <col min="6152" max="6152" width="5.85546875" style="27" bestFit="1" customWidth="1"/>
    <col min="6153" max="6153" width="13" style="27" customWidth="1"/>
    <col min="6154" max="6155" width="10" style="27" customWidth="1"/>
    <col min="6156" max="6156" width="11.7109375" style="27" customWidth="1"/>
    <col min="6157" max="6157" width="23.42578125" style="27" customWidth="1"/>
    <col min="6158" max="6158" width="47.42578125" style="27" customWidth="1"/>
    <col min="6159" max="6400" width="11.42578125" style="27"/>
    <col min="6401" max="6401" width="11.42578125" style="27" customWidth="1"/>
    <col min="6402" max="6402" width="21.140625" style="27" bestFit="1" customWidth="1"/>
    <col min="6403" max="6403" width="18.42578125" style="27" bestFit="1" customWidth="1"/>
    <col min="6404" max="6404" width="9.7109375" style="27" customWidth="1"/>
    <col min="6405" max="6406" width="9.85546875" style="27" customWidth="1"/>
    <col min="6407" max="6407" width="7.85546875" style="27" bestFit="1" customWidth="1"/>
    <col min="6408" max="6408" width="5.85546875" style="27" bestFit="1" customWidth="1"/>
    <col min="6409" max="6409" width="13" style="27" customWidth="1"/>
    <col min="6410" max="6411" width="10" style="27" customWidth="1"/>
    <col min="6412" max="6412" width="11.7109375" style="27" customWidth="1"/>
    <col min="6413" max="6413" width="23.42578125" style="27" customWidth="1"/>
    <col min="6414" max="6414" width="47.42578125" style="27" customWidth="1"/>
    <col min="6415" max="6656" width="11.42578125" style="27"/>
    <col min="6657" max="6657" width="11.42578125" style="27" customWidth="1"/>
    <col min="6658" max="6658" width="21.140625" style="27" bestFit="1" customWidth="1"/>
    <col min="6659" max="6659" width="18.42578125" style="27" bestFit="1" customWidth="1"/>
    <col min="6660" max="6660" width="9.7109375" style="27" customWidth="1"/>
    <col min="6661" max="6662" width="9.85546875" style="27" customWidth="1"/>
    <col min="6663" max="6663" width="7.85546875" style="27" bestFit="1" customWidth="1"/>
    <col min="6664" max="6664" width="5.85546875" style="27" bestFit="1" customWidth="1"/>
    <col min="6665" max="6665" width="13" style="27" customWidth="1"/>
    <col min="6666" max="6667" width="10" style="27" customWidth="1"/>
    <col min="6668" max="6668" width="11.7109375" style="27" customWidth="1"/>
    <col min="6669" max="6669" width="23.42578125" style="27" customWidth="1"/>
    <col min="6670" max="6670" width="47.42578125" style="27" customWidth="1"/>
    <col min="6671" max="6912" width="11.42578125" style="27"/>
    <col min="6913" max="6913" width="11.42578125" style="27" customWidth="1"/>
    <col min="6914" max="6914" width="21.140625" style="27" bestFit="1" customWidth="1"/>
    <col min="6915" max="6915" width="18.42578125" style="27" bestFit="1" customWidth="1"/>
    <col min="6916" max="6916" width="9.7109375" style="27" customWidth="1"/>
    <col min="6917" max="6918" width="9.85546875" style="27" customWidth="1"/>
    <col min="6919" max="6919" width="7.85546875" style="27" bestFit="1" customWidth="1"/>
    <col min="6920" max="6920" width="5.85546875" style="27" bestFit="1" customWidth="1"/>
    <col min="6921" max="6921" width="13" style="27" customWidth="1"/>
    <col min="6922" max="6923" width="10" style="27" customWidth="1"/>
    <col min="6924" max="6924" width="11.7109375" style="27" customWidth="1"/>
    <col min="6925" max="6925" width="23.42578125" style="27" customWidth="1"/>
    <col min="6926" max="6926" width="47.42578125" style="27" customWidth="1"/>
    <col min="6927" max="7168" width="11.42578125" style="27"/>
    <col min="7169" max="7169" width="11.42578125" style="27" customWidth="1"/>
    <col min="7170" max="7170" width="21.140625" style="27" bestFit="1" customWidth="1"/>
    <col min="7171" max="7171" width="18.42578125" style="27" bestFit="1" customWidth="1"/>
    <col min="7172" max="7172" width="9.7109375" style="27" customWidth="1"/>
    <col min="7173" max="7174" width="9.85546875" style="27" customWidth="1"/>
    <col min="7175" max="7175" width="7.85546875" style="27" bestFit="1" customWidth="1"/>
    <col min="7176" max="7176" width="5.85546875" style="27" bestFit="1" customWidth="1"/>
    <col min="7177" max="7177" width="13" style="27" customWidth="1"/>
    <col min="7178" max="7179" width="10" style="27" customWidth="1"/>
    <col min="7180" max="7180" width="11.7109375" style="27" customWidth="1"/>
    <col min="7181" max="7181" width="23.42578125" style="27" customWidth="1"/>
    <col min="7182" max="7182" width="47.42578125" style="27" customWidth="1"/>
    <col min="7183" max="7424" width="11.42578125" style="27"/>
    <col min="7425" max="7425" width="11.42578125" style="27" customWidth="1"/>
    <col min="7426" max="7426" width="21.140625" style="27" bestFit="1" customWidth="1"/>
    <col min="7427" max="7427" width="18.42578125" style="27" bestFit="1" customWidth="1"/>
    <col min="7428" max="7428" width="9.7109375" style="27" customWidth="1"/>
    <col min="7429" max="7430" width="9.85546875" style="27" customWidth="1"/>
    <col min="7431" max="7431" width="7.85546875" style="27" bestFit="1" customWidth="1"/>
    <col min="7432" max="7432" width="5.85546875" style="27" bestFit="1" customWidth="1"/>
    <col min="7433" max="7433" width="13" style="27" customWidth="1"/>
    <col min="7434" max="7435" width="10" style="27" customWidth="1"/>
    <col min="7436" max="7436" width="11.7109375" style="27" customWidth="1"/>
    <col min="7437" max="7437" width="23.42578125" style="27" customWidth="1"/>
    <col min="7438" max="7438" width="47.42578125" style="27" customWidth="1"/>
    <col min="7439" max="7680" width="11.42578125" style="27"/>
    <col min="7681" max="7681" width="11.42578125" style="27" customWidth="1"/>
    <col min="7682" max="7682" width="21.140625" style="27" bestFit="1" customWidth="1"/>
    <col min="7683" max="7683" width="18.42578125" style="27" bestFit="1" customWidth="1"/>
    <col min="7684" max="7684" width="9.7109375" style="27" customWidth="1"/>
    <col min="7685" max="7686" width="9.85546875" style="27" customWidth="1"/>
    <col min="7687" max="7687" width="7.85546875" style="27" bestFit="1" customWidth="1"/>
    <col min="7688" max="7688" width="5.85546875" style="27" bestFit="1" customWidth="1"/>
    <col min="7689" max="7689" width="13" style="27" customWidth="1"/>
    <col min="7690" max="7691" width="10" style="27" customWidth="1"/>
    <col min="7692" max="7692" width="11.7109375" style="27" customWidth="1"/>
    <col min="7693" max="7693" width="23.42578125" style="27" customWidth="1"/>
    <col min="7694" max="7694" width="47.42578125" style="27" customWidth="1"/>
    <col min="7695" max="7936" width="11.42578125" style="27"/>
    <col min="7937" max="7937" width="11.42578125" style="27" customWidth="1"/>
    <col min="7938" max="7938" width="21.140625" style="27" bestFit="1" customWidth="1"/>
    <col min="7939" max="7939" width="18.42578125" style="27" bestFit="1" customWidth="1"/>
    <col min="7940" max="7940" width="9.7109375" style="27" customWidth="1"/>
    <col min="7941" max="7942" width="9.85546875" style="27" customWidth="1"/>
    <col min="7943" max="7943" width="7.85546875" style="27" bestFit="1" customWidth="1"/>
    <col min="7944" max="7944" width="5.85546875" style="27" bestFit="1" customWidth="1"/>
    <col min="7945" max="7945" width="13" style="27" customWidth="1"/>
    <col min="7946" max="7947" width="10" style="27" customWidth="1"/>
    <col min="7948" max="7948" width="11.7109375" style="27" customWidth="1"/>
    <col min="7949" max="7949" width="23.42578125" style="27" customWidth="1"/>
    <col min="7950" max="7950" width="47.42578125" style="27" customWidth="1"/>
    <col min="7951" max="8192" width="11.42578125" style="27"/>
    <col min="8193" max="8193" width="11.42578125" style="27" customWidth="1"/>
    <col min="8194" max="8194" width="21.140625" style="27" bestFit="1" customWidth="1"/>
    <col min="8195" max="8195" width="18.42578125" style="27" bestFit="1" customWidth="1"/>
    <col min="8196" max="8196" width="9.7109375" style="27" customWidth="1"/>
    <col min="8197" max="8198" width="9.85546875" style="27" customWidth="1"/>
    <col min="8199" max="8199" width="7.85546875" style="27" bestFit="1" customWidth="1"/>
    <col min="8200" max="8200" width="5.85546875" style="27" bestFit="1" customWidth="1"/>
    <col min="8201" max="8201" width="13" style="27" customWidth="1"/>
    <col min="8202" max="8203" width="10" style="27" customWidth="1"/>
    <col min="8204" max="8204" width="11.7109375" style="27" customWidth="1"/>
    <col min="8205" max="8205" width="23.42578125" style="27" customWidth="1"/>
    <col min="8206" max="8206" width="47.42578125" style="27" customWidth="1"/>
    <col min="8207" max="8448" width="11.42578125" style="27"/>
    <col min="8449" max="8449" width="11.42578125" style="27" customWidth="1"/>
    <col min="8450" max="8450" width="21.140625" style="27" bestFit="1" customWidth="1"/>
    <col min="8451" max="8451" width="18.42578125" style="27" bestFit="1" customWidth="1"/>
    <col min="8452" max="8452" width="9.7109375" style="27" customWidth="1"/>
    <col min="8453" max="8454" width="9.85546875" style="27" customWidth="1"/>
    <col min="8455" max="8455" width="7.85546875" style="27" bestFit="1" customWidth="1"/>
    <col min="8456" max="8456" width="5.85546875" style="27" bestFit="1" customWidth="1"/>
    <col min="8457" max="8457" width="13" style="27" customWidth="1"/>
    <col min="8458" max="8459" width="10" style="27" customWidth="1"/>
    <col min="8460" max="8460" width="11.7109375" style="27" customWidth="1"/>
    <col min="8461" max="8461" width="23.42578125" style="27" customWidth="1"/>
    <col min="8462" max="8462" width="47.42578125" style="27" customWidth="1"/>
    <col min="8463" max="8704" width="11.42578125" style="27"/>
    <col min="8705" max="8705" width="11.42578125" style="27" customWidth="1"/>
    <col min="8706" max="8706" width="21.140625" style="27" bestFit="1" customWidth="1"/>
    <col min="8707" max="8707" width="18.42578125" style="27" bestFit="1" customWidth="1"/>
    <col min="8708" max="8708" width="9.7109375" style="27" customWidth="1"/>
    <col min="8709" max="8710" width="9.85546875" style="27" customWidth="1"/>
    <col min="8711" max="8711" width="7.85546875" style="27" bestFit="1" customWidth="1"/>
    <col min="8712" max="8712" width="5.85546875" style="27" bestFit="1" customWidth="1"/>
    <col min="8713" max="8713" width="13" style="27" customWidth="1"/>
    <col min="8714" max="8715" width="10" style="27" customWidth="1"/>
    <col min="8716" max="8716" width="11.7109375" style="27" customWidth="1"/>
    <col min="8717" max="8717" width="23.42578125" style="27" customWidth="1"/>
    <col min="8718" max="8718" width="47.42578125" style="27" customWidth="1"/>
    <col min="8719" max="8960" width="11.42578125" style="27"/>
    <col min="8961" max="8961" width="11.42578125" style="27" customWidth="1"/>
    <col min="8962" max="8962" width="21.140625" style="27" bestFit="1" customWidth="1"/>
    <col min="8963" max="8963" width="18.42578125" style="27" bestFit="1" customWidth="1"/>
    <col min="8964" max="8964" width="9.7109375" style="27" customWidth="1"/>
    <col min="8965" max="8966" width="9.85546875" style="27" customWidth="1"/>
    <col min="8967" max="8967" width="7.85546875" style="27" bestFit="1" customWidth="1"/>
    <col min="8968" max="8968" width="5.85546875" style="27" bestFit="1" customWidth="1"/>
    <col min="8969" max="8969" width="13" style="27" customWidth="1"/>
    <col min="8970" max="8971" width="10" style="27" customWidth="1"/>
    <col min="8972" max="8972" width="11.7109375" style="27" customWidth="1"/>
    <col min="8973" max="8973" width="23.42578125" style="27" customWidth="1"/>
    <col min="8974" max="8974" width="47.42578125" style="27" customWidth="1"/>
    <col min="8975" max="9216" width="11.42578125" style="27"/>
    <col min="9217" max="9217" width="11.42578125" style="27" customWidth="1"/>
    <col min="9218" max="9218" width="21.140625" style="27" bestFit="1" customWidth="1"/>
    <col min="9219" max="9219" width="18.42578125" style="27" bestFit="1" customWidth="1"/>
    <col min="9220" max="9220" width="9.7109375" style="27" customWidth="1"/>
    <col min="9221" max="9222" width="9.85546875" style="27" customWidth="1"/>
    <col min="9223" max="9223" width="7.85546875" style="27" bestFit="1" customWidth="1"/>
    <col min="9224" max="9224" width="5.85546875" style="27" bestFit="1" customWidth="1"/>
    <col min="9225" max="9225" width="13" style="27" customWidth="1"/>
    <col min="9226" max="9227" width="10" style="27" customWidth="1"/>
    <col min="9228" max="9228" width="11.7109375" style="27" customWidth="1"/>
    <col min="9229" max="9229" width="23.42578125" style="27" customWidth="1"/>
    <col min="9230" max="9230" width="47.42578125" style="27" customWidth="1"/>
    <col min="9231" max="9472" width="11.42578125" style="27"/>
    <col min="9473" max="9473" width="11.42578125" style="27" customWidth="1"/>
    <col min="9474" max="9474" width="21.140625" style="27" bestFit="1" customWidth="1"/>
    <col min="9475" max="9475" width="18.42578125" style="27" bestFit="1" customWidth="1"/>
    <col min="9476" max="9476" width="9.7109375" style="27" customWidth="1"/>
    <col min="9477" max="9478" width="9.85546875" style="27" customWidth="1"/>
    <col min="9479" max="9479" width="7.85546875" style="27" bestFit="1" customWidth="1"/>
    <col min="9480" max="9480" width="5.85546875" style="27" bestFit="1" customWidth="1"/>
    <col min="9481" max="9481" width="13" style="27" customWidth="1"/>
    <col min="9482" max="9483" width="10" style="27" customWidth="1"/>
    <col min="9484" max="9484" width="11.7109375" style="27" customWidth="1"/>
    <col min="9485" max="9485" width="23.42578125" style="27" customWidth="1"/>
    <col min="9486" max="9486" width="47.42578125" style="27" customWidth="1"/>
    <col min="9487" max="9728" width="11.42578125" style="27"/>
    <col min="9729" max="9729" width="11.42578125" style="27" customWidth="1"/>
    <col min="9730" max="9730" width="21.140625" style="27" bestFit="1" customWidth="1"/>
    <col min="9731" max="9731" width="18.42578125" style="27" bestFit="1" customWidth="1"/>
    <col min="9732" max="9732" width="9.7109375" style="27" customWidth="1"/>
    <col min="9733" max="9734" width="9.85546875" style="27" customWidth="1"/>
    <col min="9735" max="9735" width="7.85546875" style="27" bestFit="1" customWidth="1"/>
    <col min="9736" max="9736" width="5.85546875" style="27" bestFit="1" customWidth="1"/>
    <col min="9737" max="9737" width="13" style="27" customWidth="1"/>
    <col min="9738" max="9739" width="10" style="27" customWidth="1"/>
    <col min="9740" max="9740" width="11.7109375" style="27" customWidth="1"/>
    <col min="9741" max="9741" width="23.42578125" style="27" customWidth="1"/>
    <col min="9742" max="9742" width="47.42578125" style="27" customWidth="1"/>
    <col min="9743" max="9984" width="11.42578125" style="27"/>
    <col min="9985" max="9985" width="11.42578125" style="27" customWidth="1"/>
    <col min="9986" max="9986" width="21.140625" style="27" bestFit="1" customWidth="1"/>
    <col min="9987" max="9987" width="18.42578125" style="27" bestFit="1" customWidth="1"/>
    <col min="9988" max="9988" width="9.7109375" style="27" customWidth="1"/>
    <col min="9989" max="9990" width="9.85546875" style="27" customWidth="1"/>
    <col min="9991" max="9991" width="7.85546875" style="27" bestFit="1" customWidth="1"/>
    <col min="9992" max="9992" width="5.85546875" style="27" bestFit="1" customWidth="1"/>
    <col min="9993" max="9993" width="13" style="27" customWidth="1"/>
    <col min="9994" max="9995" width="10" style="27" customWidth="1"/>
    <col min="9996" max="9996" width="11.7109375" style="27" customWidth="1"/>
    <col min="9997" max="9997" width="23.42578125" style="27" customWidth="1"/>
    <col min="9998" max="9998" width="47.42578125" style="27" customWidth="1"/>
    <col min="9999" max="10240" width="11.42578125" style="27"/>
    <col min="10241" max="10241" width="11.42578125" style="27" customWidth="1"/>
    <col min="10242" max="10242" width="21.140625" style="27" bestFit="1" customWidth="1"/>
    <col min="10243" max="10243" width="18.42578125" style="27" bestFit="1" customWidth="1"/>
    <col min="10244" max="10244" width="9.7109375" style="27" customWidth="1"/>
    <col min="10245" max="10246" width="9.85546875" style="27" customWidth="1"/>
    <col min="10247" max="10247" width="7.85546875" style="27" bestFit="1" customWidth="1"/>
    <col min="10248" max="10248" width="5.85546875" style="27" bestFit="1" customWidth="1"/>
    <col min="10249" max="10249" width="13" style="27" customWidth="1"/>
    <col min="10250" max="10251" width="10" style="27" customWidth="1"/>
    <col min="10252" max="10252" width="11.7109375" style="27" customWidth="1"/>
    <col min="10253" max="10253" width="23.42578125" style="27" customWidth="1"/>
    <col min="10254" max="10254" width="47.42578125" style="27" customWidth="1"/>
    <col min="10255" max="10496" width="11.42578125" style="27"/>
    <col min="10497" max="10497" width="11.42578125" style="27" customWidth="1"/>
    <col min="10498" max="10498" width="21.140625" style="27" bestFit="1" customWidth="1"/>
    <col min="10499" max="10499" width="18.42578125" style="27" bestFit="1" customWidth="1"/>
    <col min="10500" max="10500" width="9.7109375" style="27" customWidth="1"/>
    <col min="10501" max="10502" width="9.85546875" style="27" customWidth="1"/>
    <col min="10503" max="10503" width="7.85546875" style="27" bestFit="1" customWidth="1"/>
    <col min="10504" max="10504" width="5.85546875" style="27" bestFit="1" customWidth="1"/>
    <col min="10505" max="10505" width="13" style="27" customWidth="1"/>
    <col min="10506" max="10507" width="10" style="27" customWidth="1"/>
    <col min="10508" max="10508" width="11.7109375" style="27" customWidth="1"/>
    <col min="10509" max="10509" width="23.42578125" style="27" customWidth="1"/>
    <col min="10510" max="10510" width="47.42578125" style="27" customWidth="1"/>
    <col min="10511" max="10752" width="11.42578125" style="27"/>
    <col min="10753" max="10753" width="11.42578125" style="27" customWidth="1"/>
    <col min="10754" max="10754" width="21.140625" style="27" bestFit="1" customWidth="1"/>
    <col min="10755" max="10755" width="18.42578125" style="27" bestFit="1" customWidth="1"/>
    <col min="10756" max="10756" width="9.7109375" style="27" customWidth="1"/>
    <col min="10757" max="10758" width="9.85546875" style="27" customWidth="1"/>
    <col min="10759" max="10759" width="7.85546875" style="27" bestFit="1" customWidth="1"/>
    <col min="10760" max="10760" width="5.85546875" style="27" bestFit="1" customWidth="1"/>
    <col min="10761" max="10761" width="13" style="27" customWidth="1"/>
    <col min="10762" max="10763" width="10" style="27" customWidth="1"/>
    <col min="10764" max="10764" width="11.7109375" style="27" customWidth="1"/>
    <col min="10765" max="10765" width="23.42578125" style="27" customWidth="1"/>
    <col min="10766" max="10766" width="47.42578125" style="27" customWidth="1"/>
    <col min="10767" max="11008" width="11.42578125" style="27"/>
    <col min="11009" max="11009" width="11.42578125" style="27" customWidth="1"/>
    <col min="11010" max="11010" width="21.140625" style="27" bestFit="1" customWidth="1"/>
    <col min="11011" max="11011" width="18.42578125" style="27" bestFit="1" customWidth="1"/>
    <col min="11012" max="11012" width="9.7109375" style="27" customWidth="1"/>
    <col min="11013" max="11014" width="9.85546875" style="27" customWidth="1"/>
    <col min="11015" max="11015" width="7.85546875" style="27" bestFit="1" customWidth="1"/>
    <col min="11016" max="11016" width="5.85546875" style="27" bestFit="1" customWidth="1"/>
    <col min="11017" max="11017" width="13" style="27" customWidth="1"/>
    <col min="11018" max="11019" width="10" style="27" customWidth="1"/>
    <col min="11020" max="11020" width="11.7109375" style="27" customWidth="1"/>
    <col min="11021" max="11021" width="23.42578125" style="27" customWidth="1"/>
    <col min="11022" max="11022" width="47.42578125" style="27" customWidth="1"/>
    <col min="11023" max="11264" width="11.42578125" style="27"/>
    <col min="11265" max="11265" width="11.42578125" style="27" customWidth="1"/>
    <col min="11266" max="11266" width="21.140625" style="27" bestFit="1" customWidth="1"/>
    <col min="11267" max="11267" width="18.42578125" style="27" bestFit="1" customWidth="1"/>
    <col min="11268" max="11268" width="9.7109375" style="27" customWidth="1"/>
    <col min="11269" max="11270" width="9.85546875" style="27" customWidth="1"/>
    <col min="11271" max="11271" width="7.85546875" style="27" bestFit="1" customWidth="1"/>
    <col min="11272" max="11272" width="5.85546875" style="27" bestFit="1" customWidth="1"/>
    <col min="11273" max="11273" width="13" style="27" customWidth="1"/>
    <col min="11274" max="11275" width="10" style="27" customWidth="1"/>
    <col min="11276" max="11276" width="11.7109375" style="27" customWidth="1"/>
    <col min="11277" max="11277" width="23.42578125" style="27" customWidth="1"/>
    <col min="11278" max="11278" width="47.42578125" style="27" customWidth="1"/>
    <col min="11279" max="11520" width="11.42578125" style="27"/>
    <col min="11521" max="11521" width="11.42578125" style="27" customWidth="1"/>
    <col min="11522" max="11522" width="21.140625" style="27" bestFit="1" customWidth="1"/>
    <col min="11523" max="11523" width="18.42578125" style="27" bestFit="1" customWidth="1"/>
    <col min="11524" max="11524" width="9.7109375" style="27" customWidth="1"/>
    <col min="11525" max="11526" width="9.85546875" style="27" customWidth="1"/>
    <col min="11527" max="11527" width="7.85546875" style="27" bestFit="1" customWidth="1"/>
    <col min="11528" max="11528" width="5.85546875" style="27" bestFit="1" customWidth="1"/>
    <col min="11529" max="11529" width="13" style="27" customWidth="1"/>
    <col min="11530" max="11531" width="10" style="27" customWidth="1"/>
    <col min="11532" max="11532" width="11.7109375" style="27" customWidth="1"/>
    <col min="11533" max="11533" width="23.42578125" style="27" customWidth="1"/>
    <col min="11534" max="11534" width="47.42578125" style="27" customWidth="1"/>
    <col min="11535" max="11776" width="11.42578125" style="27"/>
    <col min="11777" max="11777" width="11.42578125" style="27" customWidth="1"/>
    <col min="11778" max="11778" width="21.140625" style="27" bestFit="1" customWidth="1"/>
    <col min="11779" max="11779" width="18.42578125" style="27" bestFit="1" customWidth="1"/>
    <col min="11780" max="11780" width="9.7109375" style="27" customWidth="1"/>
    <col min="11781" max="11782" width="9.85546875" style="27" customWidth="1"/>
    <col min="11783" max="11783" width="7.85546875" style="27" bestFit="1" customWidth="1"/>
    <col min="11784" max="11784" width="5.85546875" style="27" bestFit="1" customWidth="1"/>
    <col min="11785" max="11785" width="13" style="27" customWidth="1"/>
    <col min="11786" max="11787" width="10" style="27" customWidth="1"/>
    <col min="11788" max="11788" width="11.7109375" style="27" customWidth="1"/>
    <col min="11789" max="11789" width="23.42578125" style="27" customWidth="1"/>
    <col min="11790" max="11790" width="47.42578125" style="27" customWidth="1"/>
    <col min="11791" max="12032" width="11.42578125" style="27"/>
    <col min="12033" max="12033" width="11.42578125" style="27" customWidth="1"/>
    <col min="12034" max="12034" width="21.140625" style="27" bestFit="1" customWidth="1"/>
    <col min="12035" max="12035" width="18.42578125" style="27" bestFit="1" customWidth="1"/>
    <col min="12036" max="12036" width="9.7109375" style="27" customWidth="1"/>
    <col min="12037" max="12038" width="9.85546875" style="27" customWidth="1"/>
    <col min="12039" max="12039" width="7.85546875" style="27" bestFit="1" customWidth="1"/>
    <col min="12040" max="12040" width="5.85546875" style="27" bestFit="1" customWidth="1"/>
    <col min="12041" max="12041" width="13" style="27" customWidth="1"/>
    <col min="12042" max="12043" width="10" style="27" customWidth="1"/>
    <col min="12044" max="12044" width="11.7109375" style="27" customWidth="1"/>
    <col min="12045" max="12045" width="23.42578125" style="27" customWidth="1"/>
    <col min="12046" max="12046" width="47.42578125" style="27" customWidth="1"/>
    <col min="12047" max="12288" width="11.42578125" style="27"/>
    <col min="12289" max="12289" width="11.42578125" style="27" customWidth="1"/>
    <col min="12290" max="12290" width="21.140625" style="27" bestFit="1" customWidth="1"/>
    <col min="12291" max="12291" width="18.42578125" style="27" bestFit="1" customWidth="1"/>
    <col min="12292" max="12292" width="9.7109375" style="27" customWidth="1"/>
    <col min="12293" max="12294" width="9.85546875" style="27" customWidth="1"/>
    <col min="12295" max="12295" width="7.85546875" style="27" bestFit="1" customWidth="1"/>
    <col min="12296" max="12296" width="5.85546875" style="27" bestFit="1" customWidth="1"/>
    <col min="12297" max="12297" width="13" style="27" customWidth="1"/>
    <col min="12298" max="12299" width="10" style="27" customWidth="1"/>
    <col min="12300" max="12300" width="11.7109375" style="27" customWidth="1"/>
    <col min="12301" max="12301" width="23.42578125" style="27" customWidth="1"/>
    <col min="12302" max="12302" width="47.42578125" style="27" customWidth="1"/>
    <col min="12303" max="12544" width="11.42578125" style="27"/>
    <col min="12545" max="12545" width="11.42578125" style="27" customWidth="1"/>
    <col min="12546" max="12546" width="21.140625" style="27" bestFit="1" customWidth="1"/>
    <col min="12547" max="12547" width="18.42578125" style="27" bestFit="1" customWidth="1"/>
    <col min="12548" max="12548" width="9.7109375" style="27" customWidth="1"/>
    <col min="12549" max="12550" width="9.85546875" style="27" customWidth="1"/>
    <col min="12551" max="12551" width="7.85546875" style="27" bestFit="1" customWidth="1"/>
    <col min="12552" max="12552" width="5.85546875" style="27" bestFit="1" customWidth="1"/>
    <col min="12553" max="12553" width="13" style="27" customWidth="1"/>
    <col min="12554" max="12555" width="10" style="27" customWidth="1"/>
    <col min="12556" max="12556" width="11.7109375" style="27" customWidth="1"/>
    <col min="12557" max="12557" width="23.42578125" style="27" customWidth="1"/>
    <col min="12558" max="12558" width="47.42578125" style="27" customWidth="1"/>
    <col min="12559" max="12800" width="11.42578125" style="27"/>
    <col min="12801" max="12801" width="11.42578125" style="27" customWidth="1"/>
    <col min="12802" max="12802" width="21.140625" style="27" bestFit="1" customWidth="1"/>
    <col min="12803" max="12803" width="18.42578125" style="27" bestFit="1" customWidth="1"/>
    <col min="12804" max="12804" width="9.7109375" style="27" customWidth="1"/>
    <col min="12805" max="12806" width="9.85546875" style="27" customWidth="1"/>
    <col min="12807" max="12807" width="7.85546875" style="27" bestFit="1" customWidth="1"/>
    <col min="12808" max="12808" width="5.85546875" style="27" bestFit="1" customWidth="1"/>
    <col min="12809" max="12809" width="13" style="27" customWidth="1"/>
    <col min="12810" max="12811" width="10" style="27" customWidth="1"/>
    <col min="12812" max="12812" width="11.7109375" style="27" customWidth="1"/>
    <col min="12813" max="12813" width="23.42578125" style="27" customWidth="1"/>
    <col min="12814" max="12814" width="47.42578125" style="27" customWidth="1"/>
    <col min="12815" max="13056" width="11.42578125" style="27"/>
    <col min="13057" max="13057" width="11.42578125" style="27" customWidth="1"/>
    <col min="13058" max="13058" width="21.140625" style="27" bestFit="1" customWidth="1"/>
    <col min="13059" max="13059" width="18.42578125" style="27" bestFit="1" customWidth="1"/>
    <col min="13060" max="13060" width="9.7109375" style="27" customWidth="1"/>
    <col min="13061" max="13062" width="9.85546875" style="27" customWidth="1"/>
    <col min="13063" max="13063" width="7.85546875" style="27" bestFit="1" customWidth="1"/>
    <col min="13064" max="13064" width="5.85546875" style="27" bestFit="1" customWidth="1"/>
    <col min="13065" max="13065" width="13" style="27" customWidth="1"/>
    <col min="13066" max="13067" width="10" style="27" customWidth="1"/>
    <col min="13068" max="13068" width="11.7109375" style="27" customWidth="1"/>
    <col min="13069" max="13069" width="23.42578125" style="27" customWidth="1"/>
    <col min="13070" max="13070" width="47.42578125" style="27" customWidth="1"/>
    <col min="13071" max="13312" width="11.42578125" style="27"/>
    <col min="13313" max="13313" width="11.42578125" style="27" customWidth="1"/>
    <col min="13314" max="13314" width="21.140625" style="27" bestFit="1" customWidth="1"/>
    <col min="13315" max="13315" width="18.42578125" style="27" bestFit="1" customWidth="1"/>
    <col min="13316" max="13316" width="9.7109375" style="27" customWidth="1"/>
    <col min="13317" max="13318" width="9.85546875" style="27" customWidth="1"/>
    <col min="13319" max="13319" width="7.85546875" style="27" bestFit="1" customWidth="1"/>
    <col min="13320" max="13320" width="5.85546875" style="27" bestFit="1" customWidth="1"/>
    <col min="13321" max="13321" width="13" style="27" customWidth="1"/>
    <col min="13322" max="13323" width="10" style="27" customWidth="1"/>
    <col min="13324" max="13324" width="11.7109375" style="27" customWidth="1"/>
    <col min="13325" max="13325" width="23.42578125" style="27" customWidth="1"/>
    <col min="13326" max="13326" width="47.42578125" style="27" customWidth="1"/>
    <col min="13327" max="13568" width="11.42578125" style="27"/>
    <col min="13569" max="13569" width="11.42578125" style="27" customWidth="1"/>
    <col min="13570" max="13570" width="21.140625" style="27" bestFit="1" customWidth="1"/>
    <col min="13571" max="13571" width="18.42578125" style="27" bestFit="1" customWidth="1"/>
    <col min="13572" max="13572" width="9.7109375" style="27" customWidth="1"/>
    <col min="13573" max="13574" width="9.85546875" style="27" customWidth="1"/>
    <col min="13575" max="13575" width="7.85546875" style="27" bestFit="1" customWidth="1"/>
    <col min="13576" max="13576" width="5.85546875" style="27" bestFit="1" customWidth="1"/>
    <col min="13577" max="13577" width="13" style="27" customWidth="1"/>
    <col min="13578" max="13579" width="10" style="27" customWidth="1"/>
    <col min="13580" max="13580" width="11.7109375" style="27" customWidth="1"/>
    <col min="13581" max="13581" width="23.42578125" style="27" customWidth="1"/>
    <col min="13582" max="13582" width="47.42578125" style="27" customWidth="1"/>
    <col min="13583" max="13824" width="11.42578125" style="27"/>
    <col min="13825" max="13825" width="11.42578125" style="27" customWidth="1"/>
    <col min="13826" max="13826" width="21.140625" style="27" bestFit="1" customWidth="1"/>
    <col min="13827" max="13827" width="18.42578125" style="27" bestFit="1" customWidth="1"/>
    <col min="13828" max="13828" width="9.7109375" style="27" customWidth="1"/>
    <col min="13829" max="13830" width="9.85546875" style="27" customWidth="1"/>
    <col min="13831" max="13831" width="7.85546875" style="27" bestFit="1" customWidth="1"/>
    <col min="13832" max="13832" width="5.85546875" style="27" bestFit="1" customWidth="1"/>
    <col min="13833" max="13833" width="13" style="27" customWidth="1"/>
    <col min="13834" max="13835" width="10" style="27" customWidth="1"/>
    <col min="13836" max="13836" width="11.7109375" style="27" customWidth="1"/>
    <col min="13837" max="13837" width="23.42578125" style="27" customWidth="1"/>
    <col min="13838" max="13838" width="47.42578125" style="27" customWidth="1"/>
    <col min="13839" max="14080" width="11.42578125" style="27"/>
    <col min="14081" max="14081" width="11.42578125" style="27" customWidth="1"/>
    <col min="14082" max="14082" width="21.140625" style="27" bestFit="1" customWidth="1"/>
    <col min="14083" max="14083" width="18.42578125" style="27" bestFit="1" customWidth="1"/>
    <col min="14084" max="14084" width="9.7109375" style="27" customWidth="1"/>
    <col min="14085" max="14086" width="9.85546875" style="27" customWidth="1"/>
    <col min="14087" max="14087" width="7.85546875" style="27" bestFit="1" customWidth="1"/>
    <col min="14088" max="14088" width="5.85546875" style="27" bestFit="1" customWidth="1"/>
    <col min="14089" max="14089" width="13" style="27" customWidth="1"/>
    <col min="14090" max="14091" width="10" style="27" customWidth="1"/>
    <col min="14092" max="14092" width="11.7109375" style="27" customWidth="1"/>
    <col min="14093" max="14093" width="23.42578125" style="27" customWidth="1"/>
    <col min="14094" max="14094" width="47.42578125" style="27" customWidth="1"/>
    <col min="14095" max="14336" width="11.42578125" style="27"/>
    <col min="14337" max="14337" width="11.42578125" style="27" customWidth="1"/>
    <col min="14338" max="14338" width="21.140625" style="27" bestFit="1" customWidth="1"/>
    <col min="14339" max="14339" width="18.42578125" style="27" bestFit="1" customWidth="1"/>
    <col min="14340" max="14340" width="9.7109375" style="27" customWidth="1"/>
    <col min="14341" max="14342" width="9.85546875" style="27" customWidth="1"/>
    <col min="14343" max="14343" width="7.85546875" style="27" bestFit="1" customWidth="1"/>
    <col min="14344" max="14344" width="5.85546875" style="27" bestFit="1" customWidth="1"/>
    <col min="14345" max="14345" width="13" style="27" customWidth="1"/>
    <col min="14346" max="14347" width="10" style="27" customWidth="1"/>
    <col min="14348" max="14348" width="11.7109375" style="27" customWidth="1"/>
    <col min="14349" max="14349" width="23.42578125" style="27" customWidth="1"/>
    <col min="14350" max="14350" width="47.42578125" style="27" customWidth="1"/>
    <col min="14351" max="14592" width="11.42578125" style="27"/>
    <col min="14593" max="14593" width="11.42578125" style="27" customWidth="1"/>
    <col min="14594" max="14594" width="21.140625" style="27" bestFit="1" customWidth="1"/>
    <col min="14595" max="14595" width="18.42578125" style="27" bestFit="1" customWidth="1"/>
    <col min="14596" max="14596" width="9.7109375" style="27" customWidth="1"/>
    <col min="14597" max="14598" width="9.85546875" style="27" customWidth="1"/>
    <col min="14599" max="14599" width="7.85546875" style="27" bestFit="1" customWidth="1"/>
    <col min="14600" max="14600" width="5.85546875" style="27" bestFit="1" customWidth="1"/>
    <col min="14601" max="14601" width="13" style="27" customWidth="1"/>
    <col min="14602" max="14603" width="10" style="27" customWidth="1"/>
    <col min="14604" max="14604" width="11.7109375" style="27" customWidth="1"/>
    <col min="14605" max="14605" width="23.42578125" style="27" customWidth="1"/>
    <col min="14606" max="14606" width="47.42578125" style="27" customWidth="1"/>
    <col min="14607" max="14848" width="11.42578125" style="27"/>
    <col min="14849" max="14849" width="11.42578125" style="27" customWidth="1"/>
    <col min="14850" max="14850" width="21.140625" style="27" bestFit="1" customWidth="1"/>
    <col min="14851" max="14851" width="18.42578125" style="27" bestFit="1" customWidth="1"/>
    <col min="14852" max="14852" width="9.7109375" style="27" customWidth="1"/>
    <col min="14853" max="14854" width="9.85546875" style="27" customWidth="1"/>
    <col min="14855" max="14855" width="7.85546875" style="27" bestFit="1" customWidth="1"/>
    <col min="14856" max="14856" width="5.85546875" style="27" bestFit="1" customWidth="1"/>
    <col min="14857" max="14857" width="13" style="27" customWidth="1"/>
    <col min="14858" max="14859" width="10" style="27" customWidth="1"/>
    <col min="14860" max="14860" width="11.7109375" style="27" customWidth="1"/>
    <col min="14861" max="14861" width="23.42578125" style="27" customWidth="1"/>
    <col min="14862" max="14862" width="47.42578125" style="27" customWidth="1"/>
    <col min="14863" max="15104" width="11.42578125" style="27"/>
    <col min="15105" max="15105" width="11.42578125" style="27" customWidth="1"/>
    <col min="15106" max="15106" width="21.140625" style="27" bestFit="1" customWidth="1"/>
    <col min="15107" max="15107" width="18.42578125" style="27" bestFit="1" customWidth="1"/>
    <col min="15108" max="15108" width="9.7109375" style="27" customWidth="1"/>
    <col min="15109" max="15110" width="9.85546875" style="27" customWidth="1"/>
    <col min="15111" max="15111" width="7.85546875" style="27" bestFit="1" customWidth="1"/>
    <col min="15112" max="15112" width="5.85546875" style="27" bestFit="1" customWidth="1"/>
    <col min="15113" max="15113" width="13" style="27" customWidth="1"/>
    <col min="15114" max="15115" width="10" style="27" customWidth="1"/>
    <col min="15116" max="15116" width="11.7109375" style="27" customWidth="1"/>
    <col min="15117" max="15117" width="23.42578125" style="27" customWidth="1"/>
    <col min="15118" max="15118" width="47.42578125" style="27" customWidth="1"/>
    <col min="15119" max="15360" width="11.42578125" style="27"/>
    <col min="15361" max="15361" width="11.42578125" style="27" customWidth="1"/>
    <col min="15362" max="15362" width="21.140625" style="27" bestFit="1" customWidth="1"/>
    <col min="15363" max="15363" width="18.42578125" style="27" bestFit="1" customWidth="1"/>
    <col min="15364" max="15364" width="9.7109375" style="27" customWidth="1"/>
    <col min="15365" max="15366" width="9.85546875" style="27" customWidth="1"/>
    <col min="15367" max="15367" width="7.85546875" style="27" bestFit="1" customWidth="1"/>
    <col min="15368" max="15368" width="5.85546875" style="27" bestFit="1" customWidth="1"/>
    <col min="15369" max="15369" width="13" style="27" customWidth="1"/>
    <col min="15370" max="15371" width="10" style="27" customWidth="1"/>
    <col min="15372" max="15372" width="11.7109375" style="27" customWidth="1"/>
    <col min="15373" max="15373" width="23.42578125" style="27" customWidth="1"/>
    <col min="15374" max="15374" width="47.42578125" style="27" customWidth="1"/>
    <col min="15375" max="15616" width="11.42578125" style="27"/>
    <col min="15617" max="15617" width="11.42578125" style="27" customWidth="1"/>
    <col min="15618" max="15618" width="21.140625" style="27" bestFit="1" customWidth="1"/>
    <col min="15619" max="15619" width="18.42578125" style="27" bestFit="1" customWidth="1"/>
    <col min="15620" max="15620" width="9.7109375" style="27" customWidth="1"/>
    <col min="15621" max="15622" width="9.85546875" style="27" customWidth="1"/>
    <col min="15623" max="15623" width="7.85546875" style="27" bestFit="1" customWidth="1"/>
    <col min="15624" max="15624" width="5.85546875" style="27" bestFit="1" customWidth="1"/>
    <col min="15625" max="15625" width="13" style="27" customWidth="1"/>
    <col min="15626" max="15627" width="10" style="27" customWidth="1"/>
    <col min="15628" max="15628" width="11.7109375" style="27" customWidth="1"/>
    <col min="15629" max="15629" width="23.42578125" style="27" customWidth="1"/>
    <col min="15630" max="15630" width="47.42578125" style="27" customWidth="1"/>
    <col min="15631" max="15872" width="11.42578125" style="27"/>
    <col min="15873" max="15873" width="11.42578125" style="27" customWidth="1"/>
    <col min="15874" max="15874" width="21.140625" style="27" bestFit="1" customWidth="1"/>
    <col min="15875" max="15875" width="18.42578125" style="27" bestFit="1" customWidth="1"/>
    <col min="15876" max="15876" width="9.7109375" style="27" customWidth="1"/>
    <col min="15877" max="15878" width="9.85546875" style="27" customWidth="1"/>
    <col min="15879" max="15879" width="7.85546875" style="27" bestFit="1" customWidth="1"/>
    <col min="15880" max="15880" width="5.85546875" style="27" bestFit="1" customWidth="1"/>
    <col min="15881" max="15881" width="13" style="27" customWidth="1"/>
    <col min="15882" max="15883" width="10" style="27" customWidth="1"/>
    <col min="15884" max="15884" width="11.7109375" style="27" customWidth="1"/>
    <col min="15885" max="15885" width="23.42578125" style="27" customWidth="1"/>
    <col min="15886" max="15886" width="47.42578125" style="27" customWidth="1"/>
    <col min="15887" max="16128" width="11.42578125" style="27"/>
    <col min="16129" max="16129" width="11.42578125" style="27" customWidth="1"/>
    <col min="16130" max="16130" width="21.140625" style="27" bestFit="1" customWidth="1"/>
    <col min="16131" max="16131" width="18.42578125" style="27" bestFit="1" customWidth="1"/>
    <col min="16132" max="16132" width="9.7109375" style="27" customWidth="1"/>
    <col min="16133" max="16134" width="9.85546875" style="27" customWidth="1"/>
    <col min="16135" max="16135" width="7.85546875" style="27" bestFit="1" customWidth="1"/>
    <col min="16136" max="16136" width="5.85546875" style="27" bestFit="1" customWidth="1"/>
    <col min="16137" max="16137" width="13" style="27" customWidth="1"/>
    <col min="16138" max="16139" width="10" style="27" customWidth="1"/>
    <col min="16140" max="16140" width="11.7109375" style="27" customWidth="1"/>
    <col min="16141" max="16141" width="23.42578125" style="27" customWidth="1"/>
    <col min="16142" max="16142" width="47.42578125" style="27" customWidth="1"/>
    <col min="16143" max="16384" width="11.4257812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2.5">
      <c r="B8" s="36" t="s">
        <v>1</v>
      </c>
      <c r="C8" s="36" t="s">
        <v>130</v>
      </c>
      <c r="D8" s="36" t="s">
        <v>131</v>
      </c>
      <c r="E8" s="36" t="s">
        <v>132</v>
      </c>
      <c r="F8" s="36" t="s">
        <v>133</v>
      </c>
      <c r="G8" s="36" t="s">
        <v>10</v>
      </c>
      <c r="H8" s="36" t="s">
        <v>3</v>
      </c>
      <c r="I8" s="36" t="s">
        <v>19</v>
      </c>
      <c r="J8" s="36" t="s">
        <v>134</v>
      </c>
      <c r="K8" s="36" t="s">
        <v>135</v>
      </c>
      <c r="L8" s="36" t="s">
        <v>136</v>
      </c>
      <c r="M8" s="36" t="s">
        <v>12</v>
      </c>
    </row>
    <row r="9" spans="1:25">
      <c r="B9" s="37" t="s">
        <v>137</v>
      </c>
      <c r="C9" s="38" t="s">
        <v>138</v>
      </c>
      <c r="D9" s="38"/>
      <c r="E9" s="39"/>
      <c r="F9" s="38" t="s">
        <v>139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140</v>
      </c>
    </row>
    <row r="10" spans="1:25" ht="15" customHeight="1">
      <c r="B10" s="37"/>
      <c r="C10" s="38" t="s">
        <v>141</v>
      </c>
      <c r="D10" s="38"/>
      <c r="E10" s="39"/>
      <c r="F10" s="38" t="s">
        <v>139</v>
      </c>
      <c r="G10" s="37"/>
      <c r="H10" s="37"/>
      <c r="I10" s="43">
        <v>0.105</v>
      </c>
      <c r="L10" s="41"/>
      <c r="M10" s="44"/>
    </row>
    <row r="11" spans="1:25">
      <c r="B11" s="37" t="s">
        <v>142</v>
      </c>
      <c r="C11" s="38" t="s">
        <v>143</v>
      </c>
      <c r="D11" s="38" t="s">
        <v>144</v>
      </c>
      <c r="E11" s="39"/>
      <c r="F11" s="38" t="s">
        <v>145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146</v>
      </c>
    </row>
    <row r="12" spans="1:25">
      <c r="C12" s="38" t="s">
        <v>147</v>
      </c>
      <c r="D12" s="38" t="s">
        <v>148</v>
      </c>
      <c r="E12" s="39"/>
      <c r="F12" s="38" t="s">
        <v>145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>
      <selection activeCell="G31" sqref="G31"/>
    </sheetView>
  </sheetViews>
  <sheetFormatPr defaultRowHeight="15"/>
  <cols>
    <col min="2" max="2" width="10.140625" bestFit="1" customWidth="1"/>
    <col min="3" max="3" width="8.85546875" bestFit="1" customWidth="1"/>
    <col min="4" max="4" width="8.7109375" bestFit="1" customWidth="1"/>
    <col min="5" max="5" width="8.85546875" bestFit="1" customWidth="1"/>
    <col min="6" max="6" width="11.5703125" bestFit="1" customWidth="1"/>
    <col min="7" max="7" width="9.7109375" bestFit="1" customWidth="1"/>
    <col min="8" max="8" width="10.7109375" bestFit="1" customWidth="1"/>
    <col min="9" max="10" width="10.7109375" customWidth="1"/>
    <col min="11" max="12" width="8.42578125" bestFit="1" customWidth="1"/>
    <col min="13" max="13" width="7.5703125" bestFit="1" customWidth="1"/>
    <col min="14" max="14" width="8.5703125" bestFit="1" customWidth="1"/>
    <col min="15" max="15" width="8.7109375" bestFit="1" customWidth="1"/>
    <col min="16" max="17" width="8.4257812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956</v>
      </c>
      <c r="K8" s="6" t="s">
        <v>65</v>
      </c>
      <c r="L8" s="6" t="s">
        <v>56</v>
      </c>
      <c r="M8" s="4" t="s">
        <v>12</v>
      </c>
    </row>
    <row r="9" spans="1:13">
      <c r="D9" t="s">
        <v>955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954</v>
      </c>
    </row>
    <row r="10" spans="1:13">
      <c r="I10" s="7"/>
      <c r="J10" s="7"/>
    </row>
    <row r="13" spans="1:13">
      <c r="A13" t="s">
        <v>117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116</v>
      </c>
    </row>
    <row r="22" spans="1:20">
      <c r="D22" s="19" t="s">
        <v>107</v>
      </c>
      <c r="M22" s="20"/>
      <c r="N22" s="21"/>
      <c r="O22" s="21"/>
      <c r="P22" s="21"/>
      <c r="Q22" s="21"/>
      <c r="R22" s="21"/>
      <c r="S22" s="21"/>
      <c r="T22" s="21"/>
    </row>
    <row r="23" spans="1:20" ht="15.7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108</v>
      </c>
      <c r="I23" s="22" t="s">
        <v>109</v>
      </c>
      <c r="J23" s="23" t="s">
        <v>110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111</v>
      </c>
      <c r="P23" s="24" t="s">
        <v>2</v>
      </c>
      <c r="Q23" s="24" t="s">
        <v>7</v>
      </c>
      <c r="R23" s="24" t="s">
        <v>112</v>
      </c>
      <c r="S23" s="24" t="s">
        <v>6</v>
      </c>
      <c r="T23" s="24" t="s">
        <v>113</v>
      </c>
    </row>
    <row r="24" spans="1:20">
      <c r="E24" t="s">
        <v>20</v>
      </c>
      <c r="F24" t="s">
        <v>114</v>
      </c>
      <c r="G24">
        <v>2020</v>
      </c>
      <c r="J24">
        <v>0.15</v>
      </c>
      <c r="M24" t="s">
        <v>58</v>
      </c>
      <c r="N24" t="s">
        <v>115</v>
      </c>
    </row>
    <row r="25" spans="1:20">
      <c r="E25" t="s">
        <v>20</v>
      </c>
      <c r="F25" t="s">
        <v>114</v>
      </c>
      <c r="G25">
        <v>2060</v>
      </c>
      <c r="J25">
        <v>0.15</v>
      </c>
      <c r="M25" t="s">
        <v>58</v>
      </c>
      <c r="N25" t="s">
        <v>115</v>
      </c>
    </row>
    <row r="26" spans="1:20">
      <c r="E26" t="s">
        <v>20</v>
      </c>
      <c r="F26" t="s">
        <v>114</v>
      </c>
      <c r="G26">
        <v>2020</v>
      </c>
      <c r="J26">
        <v>0.9</v>
      </c>
      <c r="M26" t="s">
        <v>58</v>
      </c>
      <c r="N26" t="s">
        <v>932</v>
      </c>
    </row>
    <row r="27" spans="1:20">
      <c r="E27" t="s">
        <v>20</v>
      </c>
      <c r="F27" t="s">
        <v>114</v>
      </c>
      <c r="G27">
        <v>0</v>
      </c>
      <c r="J27">
        <v>5</v>
      </c>
      <c r="M27" t="s">
        <v>58</v>
      </c>
      <c r="N27" t="s">
        <v>933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activeCell="G24" sqref="G24"/>
    </sheetView>
  </sheetViews>
  <sheetFormatPr defaultRowHeight="15"/>
  <cols>
    <col min="5" max="5" width="10.140625" bestFit="1" customWidth="1"/>
    <col min="13" max="13" width="10.5703125" bestFit="1" customWidth="1"/>
    <col min="14" max="14" width="12" bestFit="1" customWidth="1"/>
    <col min="261" max="261" width="10.140625" bestFit="1" customWidth="1"/>
    <col min="269" max="269" width="10.5703125" bestFit="1" customWidth="1"/>
    <col min="270" max="270" width="12" bestFit="1" customWidth="1"/>
    <col min="517" max="517" width="10.140625" bestFit="1" customWidth="1"/>
    <col min="525" max="525" width="10.5703125" bestFit="1" customWidth="1"/>
    <col min="526" max="526" width="12" bestFit="1" customWidth="1"/>
    <col min="773" max="773" width="10.140625" bestFit="1" customWidth="1"/>
    <col min="781" max="781" width="10.5703125" bestFit="1" customWidth="1"/>
    <col min="782" max="782" width="12" bestFit="1" customWidth="1"/>
    <col min="1029" max="1029" width="10.140625" bestFit="1" customWidth="1"/>
    <col min="1037" max="1037" width="10.5703125" bestFit="1" customWidth="1"/>
    <col min="1038" max="1038" width="12" bestFit="1" customWidth="1"/>
    <col min="1285" max="1285" width="10.140625" bestFit="1" customWidth="1"/>
    <col min="1293" max="1293" width="10.5703125" bestFit="1" customWidth="1"/>
    <col min="1294" max="1294" width="12" bestFit="1" customWidth="1"/>
    <col min="1541" max="1541" width="10.140625" bestFit="1" customWidth="1"/>
    <col min="1549" max="1549" width="10.5703125" bestFit="1" customWidth="1"/>
    <col min="1550" max="1550" width="12" bestFit="1" customWidth="1"/>
    <col min="1797" max="1797" width="10.140625" bestFit="1" customWidth="1"/>
    <col min="1805" max="1805" width="10.5703125" bestFit="1" customWidth="1"/>
    <col min="1806" max="1806" width="12" bestFit="1" customWidth="1"/>
    <col min="2053" max="2053" width="10.140625" bestFit="1" customWidth="1"/>
    <col min="2061" max="2061" width="10.5703125" bestFit="1" customWidth="1"/>
    <col min="2062" max="2062" width="12" bestFit="1" customWidth="1"/>
    <col min="2309" max="2309" width="10.140625" bestFit="1" customWidth="1"/>
    <col min="2317" max="2317" width="10.5703125" bestFit="1" customWidth="1"/>
    <col min="2318" max="2318" width="12" bestFit="1" customWidth="1"/>
    <col min="2565" max="2565" width="10.140625" bestFit="1" customWidth="1"/>
    <col min="2573" max="2573" width="10.5703125" bestFit="1" customWidth="1"/>
    <col min="2574" max="2574" width="12" bestFit="1" customWidth="1"/>
    <col min="2821" max="2821" width="10.140625" bestFit="1" customWidth="1"/>
    <col min="2829" max="2829" width="10.5703125" bestFit="1" customWidth="1"/>
    <col min="2830" max="2830" width="12" bestFit="1" customWidth="1"/>
    <col min="3077" max="3077" width="10.140625" bestFit="1" customWidth="1"/>
    <col min="3085" max="3085" width="10.5703125" bestFit="1" customWidth="1"/>
    <col min="3086" max="3086" width="12" bestFit="1" customWidth="1"/>
    <col min="3333" max="3333" width="10.140625" bestFit="1" customWidth="1"/>
    <col min="3341" max="3341" width="10.5703125" bestFit="1" customWidth="1"/>
    <col min="3342" max="3342" width="12" bestFit="1" customWidth="1"/>
    <col min="3589" max="3589" width="10.140625" bestFit="1" customWidth="1"/>
    <col min="3597" max="3597" width="10.5703125" bestFit="1" customWidth="1"/>
    <col min="3598" max="3598" width="12" bestFit="1" customWidth="1"/>
    <col min="3845" max="3845" width="10.140625" bestFit="1" customWidth="1"/>
    <col min="3853" max="3853" width="10.5703125" bestFit="1" customWidth="1"/>
    <col min="3854" max="3854" width="12" bestFit="1" customWidth="1"/>
    <col min="4101" max="4101" width="10.140625" bestFit="1" customWidth="1"/>
    <col min="4109" max="4109" width="10.5703125" bestFit="1" customWidth="1"/>
    <col min="4110" max="4110" width="12" bestFit="1" customWidth="1"/>
    <col min="4357" max="4357" width="10.140625" bestFit="1" customWidth="1"/>
    <col min="4365" max="4365" width="10.5703125" bestFit="1" customWidth="1"/>
    <col min="4366" max="4366" width="12" bestFit="1" customWidth="1"/>
    <col min="4613" max="4613" width="10.140625" bestFit="1" customWidth="1"/>
    <col min="4621" max="4621" width="10.5703125" bestFit="1" customWidth="1"/>
    <col min="4622" max="4622" width="12" bestFit="1" customWidth="1"/>
    <col min="4869" max="4869" width="10.140625" bestFit="1" customWidth="1"/>
    <col min="4877" max="4877" width="10.5703125" bestFit="1" customWidth="1"/>
    <col min="4878" max="4878" width="12" bestFit="1" customWidth="1"/>
    <col min="5125" max="5125" width="10.140625" bestFit="1" customWidth="1"/>
    <col min="5133" max="5133" width="10.5703125" bestFit="1" customWidth="1"/>
    <col min="5134" max="5134" width="12" bestFit="1" customWidth="1"/>
    <col min="5381" max="5381" width="10.140625" bestFit="1" customWidth="1"/>
    <col min="5389" max="5389" width="10.5703125" bestFit="1" customWidth="1"/>
    <col min="5390" max="5390" width="12" bestFit="1" customWidth="1"/>
    <col min="5637" max="5637" width="10.140625" bestFit="1" customWidth="1"/>
    <col min="5645" max="5645" width="10.5703125" bestFit="1" customWidth="1"/>
    <col min="5646" max="5646" width="12" bestFit="1" customWidth="1"/>
    <col min="5893" max="5893" width="10.140625" bestFit="1" customWidth="1"/>
    <col min="5901" max="5901" width="10.5703125" bestFit="1" customWidth="1"/>
    <col min="5902" max="5902" width="12" bestFit="1" customWidth="1"/>
    <col min="6149" max="6149" width="10.140625" bestFit="1" customWidth="1"/>
    <col min="6157" max="6157" width="10.5703125" bestFit="1" customWidth="1"/>
    <col min="6158" max="6158" width="12" bestFit="1" customWidth="1"/>
    <col min="6405" max="6405" width="10.140625" bestFit="1" customWidth="1"/>
    <col min="6413" max="6413" width="10.5703125" bestFit="1" customWidth="1"/>
    <col min="6414" max="6414" width="12" bestFit="1" customWidth="1"/>
    <col min="6661" max="6661" width="10.140625" bestFit="1" customWidth="1"/>
    <col min="6669" max="6669" width="10.5703125" bestFit="1" customWidth="1"/>
    <col min="6670" max="6670" width="12" bestFit="1" customWidth="1"/>
    <col min="6917" max="6917" width="10.140625" bestFit="1" customWidth="1"/>
    <col min="6925" max="6925" width="10.5703125" bestFit="1" customWidth="1"/>
    <col min="6926" max="6926" width="12" bestFit="1" customWidth="1"/>
    <col min="7173" max="7173" width="10.140625" bestFit="1" customWidth="1"/>
    <col min="7181" max="7181" width="10.5703125" bestFit="1" customWidth="1"/>
    <col min="7182" max="7182" width="12" bestFit="1" customWidth="1"/>
    <col min="7429" max="7429" width="10.140625" bestFit="1" customWidth="1"/>
    <col min="7437" max="7437" width="10.5703125" bestFit="1" customWidth="1"/>
    <col min="7438" max="7438" width="12" bestFit="1" customWidth="1"/>
    <col min="7685" max="7685" width="10.140625" bestFit="1" customWidth="1"/>
    <col min="7693" max="7693" width="10.5703125" bestFit="1" customWidth="1"/>
    <col min="7694" max="7694" width="12" bestFit="1" customWidth="1"/>
    <col min="7941" max="7941" width="10.140625" bestFit="1" customWidth="1"/>
    <col min="7949" max="7949" width="10.5703125" bestFit="1" customWidth="1"/>
    <col min="7950" max="7950" width="12" bestFit="1" customWidth="1"/>
    <col min="8197" max="8197" width="10.140625" bestFit="1" customWidth="1"/>
    <col min="8205" max="8205" width="10.5703125" bestFit="1" customWidth="1"/>
    <col min="8206" max="8206" width="12" bestFit="1" customWidth="1"/>
    <col min="8453" max="8453" width="10.140625" bestFit="1" customWidth="1"/>
    <col min="8461" max="8461" width="10.5703125" bestFit="1" customWidth="1"/>
    <col min="8462" max="8462" width="12" bestFit="1" customWidth="1"/>
    <col min="8709" max="8709" width="10.140625" bestFit="1" customWidth="1"/>
    <col min="8717" max="8717" width="10.5703125" bestFit="1" customWidth="1"/>
    <col min="8718" max="8718" width="12" bestFit="1" customWidth="1"/>
    <col min="8965" max="8965" width="10.140625" bestFit="1" customWidth="1"/>
    <col min="8973" max="8973" width="10.5703125" bestFit="1" customWidth="1"/>
    <col min="8974" max="8974" width="12" bestFit="1" customWidth="1"/>
    <col min="9221" max="9221" width="10.140625" bestFit="1" customWidth="1"/>
    <col min="9229" max="9229" width="10.5703125" bestFit="1" customWidth="1"/>
    <col min="9230" max="9230" width="12" bestFit="1" customWidth="1"/>
    <col min="9477" max="9477" width="10.140625" bestFit="1" customWidth="1"/>
    <col min="9485" max="9485" width="10.5703125" bestFit="1" customWidth="1"/>
    <col min="9486" max="9486" width="12" bestFit="1" customWidth="1"/>
    <col min="9733" max="9733" width="10.140625" bestFit="1" customWidth="1"/>
    <col min="9741" max="9741" width="10.5703125" bestFit="1" customWidth="1"/>
    <col min="9742" max="9742" width="12" bestFit="1" customWidth="1"/>
    <col min="9989" max="9989" width="10.140625" bestFit="1" customWidth="1"/>
    <col min="9997" max="9997" width="10.5703125" bestFit="1" customWidth="1"/>
    <col min="9998" max="9998" width="12" bestFit="1" customWidth="1"/>
    <col min="10245" max="10245" width="10.140625" bestFit="1" customWidth="1"/>
    <col min="10253" max="10253" width="10.5703125" bestFit="1" customWidth="1"/>
    <col min="10254" max="10254" width="12" bestFit="1" customWidth="1"/>
    <col min="10501" max="10501" width="10.140625" bestFit="1" customWidth="1"/>
    <col min="10509" max="10509" width="10.5703125" bestFit="1" customWidth="1"/>
    <col min="10510" max="10510" width="12" bestFit="1" customWidth="1"/>
    <col min="10757" max="10757" width="10.140625" bestFit="1" customWidth="1"/>
    <col min="10765" max="10765" width="10.5703125" bestFit="1" customWidth="1"/>
    <col min="10766" max="10766" width="12" bestFit="1" customWidth="1"/>
    <col min="11013" max="11013" width="10.140625" bestFit="1" customWidth="1"/>
    <col min="11021" max="11021" width="10.5703125" bestFit="1" customWidth="1"/>
    <col min="11022" max="11022" width="12" bestFit="1" customWidth="1"/>
    <col min="11269" max="11269" width="10.140625" bestFit="1" customWidth="1"/>
    <col min="11277" max="11277" width="10.5703125" bestFit="1" customWidth="1"/>
    <col min="11278" max="11278" width="12" bestFit="1" customWidth="1"/>
    <col min="11525" max="11525" width="10.140625" bestFit="1" customWidth="1"/>
    <col min="11533" max="11533" width="10.5703125" bestFit="1" customWidth="1"/>
    <col min="11534" max="11534" width="12" bestFit="1" customWidth="1"/>
    <col min="11781" max="11781" width="10.140625" bestFit="1" customWidth="1"/>
    <col min="11789" max="11789" width="10.5703125" bestFit="1" customWidth="1"/>
    <col min="11790" max="11790" width="12" bestFit="1" customWidth="1"/>
    <col min="12037" max="12037" width="10.140625" bestFit="1" customWidth="1"/>
    <col min="12045" max="12045" width="10.5703125" bestFit="1" customWidth="1"/>
    <col min="12046" max="12046" width="12" bestFit="1" customWidth="1"/>
    <col min="12293" max="12293" width="10.140625" bestFit="1" customWidth="1"/>
    <col min="12301" max="12301" width="10.5703125" bestFit="1" customWidth="1"/>
    <col min="12302" max="12302" width="12" bestFit="1" customWidth="1"/>
    <col min="12549" max="12549" width="10.140625" bestFit="1" customWidth="1"/>
    <col min="12557" max="12557" width="10.5703125" bestFit="1" customWidth="1"/>
    <col min="12558" max="12558" width="12" bestFit="1" customWidth="1"/>
    <col min="12805" max="12805" width="10.140625" bestFit="1" customWidth="1"/>
    <col min="12813" max="12813" width="10.5703125" bestFit="1" customWidth="1"/>
    <col min="12814" max="12814" width="12" bestFit="1" customWidth="1"/>
    <col min="13061" max="13061" width="10.140625" bestFit="1" customWidth="1"/>
    <col min="13069" max="13069" width="10.5703125" bestFit="1" customWidth="1"/>
    <col min="13070" max="13070" width="12" bestFit="1" customWidth="1"/>
    <col min="13317" max="13317" width="10.140625" bestFit="1" customWidth="1"/>
    <col min="13325" max="13325" width="10.5703125" bestFit="1" customWidth="1"/>
    <col min="13326" max="13326" width="12" bestFit="1" customWidth="1"/>
    <col min="13573" max="13573" width="10.140625" bestFit="1" customWidth="1"/>
    <col min="13581" max="13581" width="10.5703125" bestFit="1" customWidth="1"/>
    <col min="13582" max="13582" width="12" bestFit="1" customWidth="1"/>
    <col min="13829" max="13829" width="10.140625" bestFit="1" customWidth="1"/>
    <col min="13837" max="13837" width="10.5703125" bestFit="1" customWidth="1"/>
    <col min="13838" max="13838" width="12" bestFit="1" customWidth="1"/>
    <col min="14085" max="14085" width="10.140625" bestFit="1" customWidth="1"/>
    <col min="14093" max="14093" width="10.5703125" bestFit="1" customWidth="1"/>
    <col min="14094" max="14094" width="12" bestFit="1" customWidth="1"/>
    <col min="14341" max="14341" width="10.140625" bestFit="1" customWidth="1"/>
    <col min="14349" max="14349" width="10.5703125" bestFit="1" customWidth="1"/>
    <col min="14350" max="14350" width="12" bestFit="1" customWidth="1"/>
    <col min="14597" max="14597" width="10.140625" bestFit="1" customWidth="1"/>
    <col min="14605" max="14605" width="10.5703125" bestFit="1" customWidth="1"/>
    <col min="14606" max="14606" width="12" bestFit="1" customWidth="1"/>
    <col min="14853" max="14853" width="10.140625" bestFit="1" customWidth="1"/>
    <col min="14861" max="14861" width="10.5703125" bestFit="1" customWidth="1"/>
    <col min="14862" max="14862" width="12" bestFit="1" customWidth="1"/>
    <col min="15109" max="15109" width="10.140625" bestFit="1" customWidth="1"/>
    <col min="15117" max="15117" width="10.5703125" bestFit="1" customWidth="1"/>
    <col min="15118" max="15118" width="12" bestFit="1" customWidth="1"/>
    <col min="15365" max="15365" width="10.140625" bestFit="1" customWidth="1"/>
    <col min="15373" max="15373" width="10.5703125" bestFit="1" customWidth="1"/>
    <col min="15374" max="15374" width="12" bestFit="1" customWidth="1"/>
    <col min="15621" max="15621" width="10.140625" bestFit="1" customWidth="1"/>
    <col min="15629" max="15629" width="10.5703125" bestFit="1" customWidth="1"/>
    <col min="15630" max="15630" width="12" bestFit="1" customWidth="1"/>
    <col min="15877" max="15877" width="10.140625" bestFit="1" customWidth="1"/>
    <col min="15885" max="15885" width="10.5703125" bestFit="1" customWidth="1"/>
    <col min="15886" max="15886" width="12" bestFit="1" customWidth="1"/>
    <col min="16133" max="16133" width="10.140625" bestFit="1" customWidth="1"/>
    <col min="16141" max="16141" width="10.57031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134</v>
      </c>
      <c r="I6" s="6" t="s">
        <v>135</v>
      </c>
      <c r="J6" s="6" t="s">
        <v>136</v>
      </c>
      <c r="K6" s="4" t="s">
        <v>12</v>
      </c>
    </row>
    <row r="7" spans="1:11">
      <c r="B7" t="s">
        <v>118</v>
      </c>
      <c r="C7" t="s">
        <v>58</v>
      </c>
      <c r="D7" t="s">
        <v>119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120</v>
      </c>
    </row>
    <row r="8" spans="1:11">
      <c r="B8" t="s">
        <v>121</v>
      </c>
      <c r="C8" t="s">
        <v>58</v>
      </c>
      <c r="D8" t="s">
        <v>122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123</v>
      </c>
    </row>
    <row r="9" spans="1:11">
      <c r="B9" t="s">
        <v>124</v>
      </c>
      <c r="D9" t="s">
        <v>125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126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134</v>
      </c>
      <c r="I13" s="6" t="s">
        <v>135</v>
      </c>
      <c r="J13" s="6" t="s">
        <v>136</v>
      </c>
      <c r="K13" s="4" t="s">
        <v>12</v>
      </c>
    </row>
    <row r="14" spans="1:11">
      <c r="B14" t="s">
        <v>127</v>
      </c>
      <c r="D14" t="s">
        <v>128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129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>
      <selection activeCell="V47" sqref="V47"/>
    </sheetView>
  </sheetViews>
  <sheetFormatPr defaultRowHeight="1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149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149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149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178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178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949</v>
      </c>
      <c r="D53" t="s">
        <v>952</v>
      </c>
      <c r="F53" t="s">
        <v>951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950</v>
      </c>
    </row>
    <row r="54" spans="2:15">
      <c r="D54" t="s">
        <v>953</v>
      </c>
      <c r="F54" t="s">
        <v>951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topLeftCell="A29" workbookViewId="0">
      <selection activeCell="W47" sqref="W47"/>
    </sheetView>
  </sheetViews>
  <sheetFormatPr defaultRowHeight="15"/>
  <cols>
    <col min="3" max="3" width="36.140625" customWidth="1"/>
    <col min="7" max="7" width="19.42578125" customWidth="1"/>
    <col min="29" max="29" width="44.7109375" customWidth="1"/>
  </cols>
  <sheetData>
    <row r="2" spans="3:24">
      <c r="W2" t="s">
        <v>179</v>
      </c>
      <c r="X2" t="s">
        <v>180</v>
      </c>
    </row>
    <row r="3" spans="3:24">
      <c r="W3" t="s">
        <v>181</v>
      </c>
      <c r="X3" t="s">
        <v>181</v>
      </c>
    </row>
    <row r="4" spans="3:24">
      <c r="C4" s="5" t="s">
        <v>182</v>
      </c>
      <c r="W4" t="s">
        <v>183</v>
      </c>
      <c r="X4" t="s">
        <v>183</v>
      </c>
    </row>
    <row r="5" spans="3:24">
      <c r="C5" s="5" t="s">
        <v>149</v>
      </c>
      <c r="S5" t="s">
        <v>184</v>
      </c>
      <c r="T5" t="s">
        <v>185</v>
      </c>
      <c r="U5" t="s">
        <v>186</v>
      </c>
      <c r="W5" t="e">
        <v>#DIV/0!</v>
      </c>
      <c r="X5" s="7">
        <v>1</v>
      </c>
    </row>
    <row r="6" spans="3:24">
      <c r="K6" t="s">
        <v>87</v>
      </c>
      <c r="S6" t="s">
        <v>187</v>
      </c>
      <c r="T6" t="s">
        <v>188</v>
      </c>
      <c r="U6" t="s">
        <v>189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190</v>
      </c>
      <c r="M7" s="2" t="s">
        <v>191</v>
      </c>
      <c r="N7" s="6" t="s">
        <v>82</v>
      </c>
      <c r="O7" s="6" t="s">
        <v>56</v>
      </c>
      <c r="P7" s="4" t="s">
        <v>12</v>
      </c>
      <c r="S7" t="s">
        <v>192</v>
      </c>
      <c r="T7" t="s">
        <v>193</v>
      </c>
      <c r="U7" t="s">
        <v>189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194</v>
      </c>
      <c r="T8" t="s">
        <v>185</v>
      </c>
      <c r="U8" t="s">
        <v>195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196</v>
      </c>
      <c r="T9" t="s">
        <v>185</v>
      </c>
      <c r="U9" t="s">
        <v>197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198</v>
      </c>
      <c r="T10" t="s">
        <v>199</v>
      </c>
      <c r="U10" t="s">
        <v>200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201</v>
      </c>
      <c r="T11" t="s">
        <v>202</v>
      </c>
      <c r="U11" t="s">
        <v>200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203</v>
      </c>
      <c r="T12" t="s">
        <v>204</v>
      </c>
      <c r="U12" t="s">
        <v>200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205</v>
      </c>
      <c r="T13" t="s">
        <v>185</v>
      </c>
      <c r="U13" t="s">
        <v>206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207</v>
      </c>
      <c r="T14" t="s">
        <v>199</v>
      </c>
      <c r="U14" t="s">
        <v>206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208</v>
      </c>
      <c r="T15" t="s">
        <v>209</v>
      </c>
      <c r="U15" t="s">
        <v>206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210</v>
      </c>
      <c r="T16" t="s">
        <v>204</v>
      </c>
      <c r="U16" t="s">
        <v>206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211</v>
      </c>
      <c r="T17" t="s">
        <v>185</v>
      </c>
      <c r="U17" t="s">
        <v>212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213</v>
      </c>
      <c r="T18" t="s">
        <v>185</v>
      </c>
      <c r="U18" t="s">
        <v>214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215</v>
      </c>
      <c r="T19" t="s">
        <v>185</v>
      </c>
      <c r="U19" t="s">
        <v>216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217</v>
      </c>
      <c r="T20" t="s">
        <v>185</v>
      </c>
      <c r="U20" t="s">
        <v>218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219</v>
      </c>
      <c r="T21" t="s">
        <v>202</v>
      </c>
      <c r="U21" t="s">
        <v>220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221</v>
      </c>
      <c r="T22" t="s">
        <v>185</v>
      </c>
      <c r="U22" t="s">
        <v>220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222</v>
      </c>
      <c r="T23" t="s">
        <v>188</v>
      </c>
      <c r="U23" t="s">
        <v>223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224</v>
      </c>
      <c r="T24" t="s">
        <v>202</v>
      </c>
      <c r="U24" t="s">
        <v>223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225</v>
      </c>
      <c r="T25" t="s">
        <v>185</v>
      </c>
      <c r="U25" t="s">
        <v>226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227</v>
      </c>
      <c r="T26" t="s">
        <v>188</v>
      </c>
      <c r="U26" t="s">
        <v>228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229</v>
      </c>
      <c r="T27" t="s">
        <v>202</v>
      </c>
      <c r="U27" t="s">
        <v>228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230</v>
      </c>
      <c r="T28" t="s">
        <v>188</v>
      </c>
      <c r="U28" t="s">
        <v>231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232</v>
      </c>
      <c r="T29" t="s">
        <v>202</v>
      </c>
      <c r="U29" t="s">
        <v>231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233</v>
      </c>
      <c r="T30" t="s">
        <v>188</v>
      </c>
      <c r="U30" t="s">
        <v>234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235</v>
      </c>
      <c r="T31" t="s">
        <v>202</v>
      </c>
      <c r="U31" t="s">
        <v>234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236</v>
      </c>
      <c r="T32" t="s">
        <v>185</v>
      </c>
      <c r="U32" t="s">
        <v>237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238</v>
      </c>
      <c r="T33" t="s">
        <v>185</v>
      </c>
      <c r="U33" t="s">
        <v>239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240</v>
      </c>
      <c r="T34" t="s">
        <v>185</v>
      </c>
      <c r="U34" t="s">
        <v>241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242</v>
      </c>
      <c r="T35" t="s">
        <v>185</v>
      </c>
      <c r="U35" t="s">
        <v>243</v>
      </c>
      <c r="W35" s="7">
        <v>1</v>
      </c>
      <c r="X35" s="7">
        <v>1</v>
      </c>
    </row>
    <row r="36" spans="3:39">
      <c r="L36" s="7"/>
      <c r="M36" s="7"/>
      <c r="S36" t="s">
        <v>244</v>
      </c>
      <c r="T36" t="s">
        <v>185</v>
      </c>
      <c r="U36" t="s">
        <v>245</v>
      </c>
      <c r="W36" s="7">
        <v>1</v>
      </c>
      <c r="X36" s="7">
        <v>1</v>
      </c>
    </row>
    <row r="37" spans="3:39">
      <c r="L37" s="7"/>
      <c r="M37" s="7"/>
      <c r="S37" t="s">
        <v>246</v>
      </c>
      <c r="T37" t="s">
        <v>185</v>
      </c>
      <c r="U37" t="s">
        <v>247</v>
      </c>
      <c r="W37" s="7">
        <v>1</v>
      </c>
      <c r="X37" s="7">
        <v>1</v>
      </c>
    </row>
    <row r="38" spans="3:39">
      <c r="S38" t="s">
        <v>248</v>
      </c>
      <c r="T38" t="s">
        <v>188</v>
      </c>
      <c r="U38" t="s">
        <v>249</v>
      </c>
      <c r="W38" s="7">
        <v>0</v>
      </c>
      <c r="X38" s="7">
        <v>0.69</v>
      </c>
    </row>
    <row r="39" spans="3:39">
      <c r="S39" t="s">
        <v>250</v>
      </c>
      <c r="T39" t="s">
        <v>185</v>
      </c>
      <c r="U39" t="s">
        <v>249</v>
      </c>
      <c r="W39" s="7">
        <v>0.1</v>
      </c>
      <c r="X39" s="7">
        <v>0.31</v>
      </c>
    </row>
    <row r="40" spans="3:39">
      <c r="C40" s="5" t="s">
        <v>54</v>
      </c>
      <c r="S40" t="s">
        <v>251</v>
      </c>
      <c r="T40" t="s">
        <v>202</v>
      </c>
      <c r="U40" t="s">
        <v>249</v>
      </c>
      <c r="W40" s="7">
        <v>0.9</v>
      </c>
      <c r="X40" s="7">
        <v>0</v>
      </c>
    </row>
    <row r="41" spans="3:39">
      <c r="C41" s="5" t="s">
        <v>11</v>
      </c>
      <c r="S41" t="s">
        <v>252</v>
      </c>
      <c r="T41" t="s">
        <v>188</v>
      </c>
      <c r="U41" t="s">
        <v>253</v>
      </c>
      <c r="W41" s="7">
        <v>0</v>
      </c>
      <c r="X41" s="7">
        <v>0.47</v>
      </c>
    </row>
    <row r="42" spans="3:39">
      <c r="K42" t="s">
        <v>8</v>
      </c>
      <c r="S42" t="s">
        <v>254</v>
      </c>
      <c r="T42" t="s">
        <v>199</v>
      </c>
      <c r="U42" t="s">
        <v>253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178</v>
      </c>
      <c r="M43" s="2" t="s">
        <v>255</v>
      </c>
      <c r="N43" s="2" t="s">
        <v>256</v>
      </c>
      <c r="O43" s="6" t="s">
        <v>82</v>
      </c>
      <c r="P43" s="6" t="s">
        <v>56</v>
      </c>
      <c r="Q43" s="4" t="s">
        <v>12</v>
      </c>
      <c r="S43" t="s">
        <v>257</v>
      </c>
      <c r="T43" t="s">
        <v>202</v>
      </c>
      <c r="U43" t="s">
        <v>253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258</v>
      </c>
      <c r="T44" t="s">
        <v>209</v>
      </c>
      <c r="U44" t="s">
        <v>253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259</v>
      </c>
      <c r="T45" t="s">
        <v>185</v>
      </c>
      <c r="U45" t="s">
        <v>260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261</v>
      </c>
      <c r="T46" t="s">
        <v>185</v>
      </c>
      <c r="U46" t="s">
        <v>262</v>
      </c>
      <c r="W46" s="7">
        <v>1</v>
      </c>
      <c r="X46" s="7">
        <v>1</v>
      </c>
      <c r="AB46" t="s">
        <v>263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264</v>
      </c>
      <c r="T47" t="s">
        <v>188</v>
      </c>
      <c r="U47" t="s">
        <v>265</v>
      </c>
      <c r="W47" s="7">
        <v>0</v>
      </c>
      <c r="X47" t="e">
        <v>#DIV/0!</v>
      </c>
      <c r="AB47" t="s">
        <v>266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267</v>
      </c>
      <c r="T48" t="s">
        <v>202</v>
      </c>
      <c r="U48" t="s">
        <v>265</v>
      </c>
      <c r="W48" s="7">
        <v>1</v>
      </c>
      <c r="X48" t="e">
        <v>#DIV/0!</v>
      </c>
      <c r="AB48" t="s">
        <v>268</v>
      </c>
      <c r="AC48" t="s">
        <v>269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270</v>
      </c>
      <c r="T49" t="s">
        <v>185</v>
      </c>
      <c r="U49" t="s">
        <v>271</v>
      </c>
      <c r="W49" s="7">
        <v>1</v>
      </c>
      <c r="X49" s="7">
        <v>1</v>
      </c>
      <c r="AB49" t="s">
        <v>272</v>
      </c>
      <c r="AC49" t="s">
        <v>273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274</v>
      </c>
      <c r="T50" t="s">
        <v>185</v>
      </c>
      <c r="U50" t="s">
        <v>275</v>
      </c>
      <c r="W50" s="7">
        <v>1</v>
      </c>
      <c r="X50" s="7">
        <v>1</v>
      </c>
      <c r="AB50" t="s">
        <v>272</v>
      </c>
      <c r="AC50" t="s">
        <v>276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277</v>
      </c>
      <c r="T51" t="s">
        <v>185</v>
      </c>
      <c r="U51" t="s">
        <v>278</v>
      </c>
      <c r="W51" s="7">
        <v>1</v>
      </c>
      <c r="X51" s="7">
        <v>1</v>
      </c>
      <c r="AB51" t="s">
        <v>272</v>
      </c>
      <c r="AC51" t="s">
        <v>279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280</v>
      </c>
      <c r="T52" t="s">
        <v>188</v>
      </c>
      <c r="U52" t="s">
        <v>281</v>
      </c>
      <c r="W52" s="7">
        <v>7.0000000000000007E-2</v>
      </c>
      <c r="X52" s="7">
        <v>1</v>
      </c>
      <c r="AB52" t="s">
        <v>272</v>
      </c>
      <c r="AC52" t="s">
        <v>282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283</v>
      </c>
      <c r="T53" t="s">
        <v>202</v>
      </c>
      <c r="U53" t="s">
        <v>281</v>
      </c>
      <c r="W53" s="7">
        <v>0.93</v>
      </c>
      <c r="X53" s="7">
        <v>0</v>
      </c>
      <c r="AB53" t="s">
        <v>272</v>
      </c>
      <c r="AC53" t="s">
        <v>284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285</v>
      </c>
      <c r="T54" t="s">
        <v>188</v>
      </c>
      <c r="U54" t="s">
        <v>286</v>
      </c>
      <c r="W54" s="7">
        <v>7.0000000000000007E-2</v>
      </c>
      <c r="X54" s="7">
        <v>1</v>
      </c>
      <c r="AB54" t="s">
        <v>272</v>
      </c>
      <c r="AC54" t="s">
        <v>287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288</v>
      </c>
      <c r="T55" t="s">
        <v>202</v>
      </c>
      <c r="U55" t="s">
        <v>286</v>
      </c>
      <c r="W55" s="7">
        <v>0.93</v>
      </c>
      <c r="X55" s="7">
        <v>0</v>
      </c>
      <c r="AB55" t="s">
        <v>289</v>
      </c>
      <c r="AC55" t="s">
        <v>273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290</v>
      </c>
      <c r="T56" t="s">
        <v>185</v>
      </c>
      <c r="U56" t="s">
        <v>291</v>
      </c>
      <c r="W56" s="7">
        <v>1</v>
      </c>
      <c r="X56" s="7">
        <v>1</v>
      </c>
      <c r="AB56" t="s">
        <v>289</v>
      </c>
      <c r="AC56" t="s">
        <v>276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292</v>
      </c>
      <c r="T57" t="s">
        <v>185</v>
      </c>
      <c r="U57" t="s">
        <v>293</v>
      </c>
      <c r="W57" s="7">
        <v>1</v>
      </c>
      <c r="X57" s="7">
        <v>1</v>
      </c>
      <c r="AB57" t="s">
        <v>289</v>
      </c>
      <c r="AC57" t="s">
        <v>279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294</v>
      </c>
      <c r="T58" t="s">
        <v>185</v>
      </c>
      <c r="U58" t="s">
        <v>295</v>
      </c>
      <c r="W58" s="7">
        <v>1</v>
      </c>
      <c r="X58" s="7">
        <v>1</v>
      </c>
      <c r="AB58" t="s">
        <v>289</v>
      </c>
      <c r="AC58" t="s">
        <v>282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296</v>
      </c>
      <c r="T59" t="s">
        <v>185</v>
      </c>
      <c r="U59" t="s">
        <v>297</v>
      </c>
      <c r="W59" s="7">
        <v>0.68</v>
      </c>
      <c r="X59" s="7">
        <v>1</v>
      </c>
      <c r="AB59" t="s">
        <v>289</v>
      </c>
      <c r="AC59" t="s">
        <v>284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298</v>
      </c>
      <c r="T60" t="s">
        <v>202</v>
      </c>
      <c r="U60" t="s">
        <v>297</v>
      </c>
      <c r="W60" s="7">
        <v>0.32</v>
      </c>
      <c r="X60" s="7">
        <v>0</v>
      </c>
      <c r="AB60" t="s">
        <v>289</v>
      </c>
      <c r="AC60" t="s">
        <v>287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299</v>
      </c>
      <c r="T61" t="s">
        <v>202</v>
      </c>
      <c r="U61" t="s">
        <v>300</v>
      </c>
      <c r="W61" s="7">
        <v>1</v>
      </c>
      <c r="X61" t="e">
        <v>#DIV/0!</v>
      </c>
      <c r="AB61" t="s">
        <v>289</v>
      </c>
      <c r="AC61" t="s">
        <v>301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302</v>
      </c>
      <c r="T62" t="s">
        <v>185</v>
      </c>
      <c r="U62" t="s">
        <v>303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304</v>
      </c>
      <c r="T63" t="s">
        <v>305</v>
      </c>
      <c r="U63" t="s">
        <v>306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307</v>
      </c>
      <c r="T64" t="s">
        <v>202</v>
      </c>
      <c r="U64" t="s">
        <v>308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309</v>
      </c>
      <c r="T65" t="s">
        <v>185</v>
      </c>
      <c r="U65" t="s">
        <v>310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311</v>
      </c>
      <c r="T66" t="s">
        <v>185</v>
      </c>
      <c r="U66" t="s">
        <v>312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313</v>
      </c>
      <c r="T67" t="s">
        <v>185</v>
      </c>
      <c r="U67" t="s">
        <v>314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315</v>
      </c>
      <c r="T68" t="s">
        <v>202</v>
      </c>
      <c r="U68" t="s">
        <v>314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316</v>
      </c>
      <c r="T69" t="s">
        <v>202</v>
      </c>
      <c r="U69" t="s">
        <v>317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318</v>
      </c>
      <c r="T70" t="s">
        <v>185</v>
      </c>
      <c r="U70" t="s">
        <v>319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320</v>
      </c>
      <c r="T71" t="s">
        <v>185</v>
      </c>
      <c r="U71" t="s">
        <v>321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322</v>
      </c>
      <c r="T72" t="s">
        <v>185</v>
      </c>
      <c r="U72" t="s">
        <v>323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324</v>
      </c>
      <c r="T73" t="s">
        <v>199</v>
      </c>
      <c r="U73" t="s">
        <v>325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326</v>
      </c>
      <c r="T74" t="s">
        <v>204</v>
      </c>
      <c r="U74" t="s">
        <v>325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327</v>
      </c>
      <c r="T75" t="s">
        <v>185</v>
      </c>
      <c r="U75" t="s">
        <v>328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329</v>
      </c>
      <c r="T76" t="s">
        <v>199</v>
      </c>
      <c r="U76" t="s">
        <v>328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330</v>
      </c>
      <c r="T77" t="s">
        <v>204</v>
      </c>
      <c r="U77" t="s">
        <v>328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331</v>
      </c>
      <c r="T78" t="s">
        <v>209</v>
      </c>
      <c r="U78" t="s">
        <v>332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333</v>
      </c>
      <c r="T79" t="s">
        <v>202</v>
      </c>
      <c r="U79" t="s">
        <v>332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334</v>
      </c>
      <c r="T80" t="s">
        <v>185</v>
      </c>
      <c r="U80" t="s">
        <v>335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336</v>
      </c>
      <c r="T81" t="s">
        <v>185</v>
      </c>
      <c r="U81" t="s">
        <v>337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338</v>
      </c>
      <c r="T82" t="s">
        <v>185</v>
      </c>
      <c r="U82" t="s">
        <v>339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340</v>
      </c>
      <c r="T83" t="s">
        <v>185</v>
      </c>
      <c r="U83" t="s">
        <v>341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342</v>
      </c>
      <c r="T84" t="s">
        <v>185</v>
      </c>
      <c r="U84" t="s">
        <v>343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344</v>
      </c>
      <c r="T85" t="s">
        <v>188</v>
      </c>
      <c r="U85" t="s">
        <v>343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345</v>
      </c>
      <c r="T86" t="s">
        <v>202</v>
      </c>
      <c r="U86" t="s">
        <v>343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346</v>
      </c>
      <c r="T87" t="s">
        <v>188</v>
      </c>
      <c r="U87" t="s">
        <v>347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348</v>
      </c>
      <c r="T88" t="s">
        <v>202</v>
      </c>
      <c r="U88" t="s">
        <v>347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349</v>
      </c>
      <c r="T89" t="s">
        <v>350</v>
      </c>
      <c r="U89" t="s">
        <v>347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351</v>
      </c>
      <c r="T90" t="s">
        <v>352</v>
      </c>
      <c r="U90" t="s">
        <v>347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353</v>
      </c>
      <c r="T91" t="s">
        <v>185</v>
      </c>
      <c r="U91" t="s">
        <v>354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355</v>
      </c>
      <c r="T92" t="s">
        <v>188</v>
      </c>
      <c r="U92" t="s">
        <v>356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357</v>
      </c>
      <c r="T93" t="s">
        <v>199</v>
      </c>
      <c r="U93" t="s">
        <v>356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358</v>
      </c>
      <c r="T94" t="s">
        <v>185</v>
      </c>
      <c r="U94" t="s">
        <v>356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359</v>
      </c>
      <c r="T95" t="s">
        <v>202</v>
      </c>
      <c r="U95" t="s">
        <v>356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360</v>
      </c>
      <c r="T96" t="s">
        <v>204</v>
      </c>
      <c r="U96" t="s">
        <v>356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361</v>
      </c>
      <c r="T97" t="s">
        <v>185</v>
      </c>
      <c r="U97" t="s">
        <v>362</v>
      </c>
      <c r="W97" s="7">
        <v>1</v>
      </c>
      <c r="X97" t="e">
        <v>#DIV/0!</v>
      </c>
    </row>
    <row r="98" spans="3:24">
      <c r="C98" t="s">
        <v>363</v>
      </c>
      <c r="F98" t="s">
        <v>364</v>
      </c>
      <c r="G98" t="s">
        <v>365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366</v>
      </c>
      <c r="T98" t="s">
        <v>185</v>
      </c>
      <c r="U98" t="s">
        <v>367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365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368</v>
      </c>
      <c r="T99" t="s">
        <v>185</v>
      </c>
      <c r="U99" t="s">
        <v>369</v>
      </c>
      <c r="W99" s="7">
        <v>1</v>
      </c>
      <c r="X99" t="e">
        <v>#DIV/0!</v>
      </c>
    </row>
    <row r="100" spans="3:24">
      <c r="C100" t="s">
        <v>370</v>
      </c>
      <c r="F100" t="s">
        <v>364</v>
      </c>
      <c r="G100" t="s">
        <v>371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372</v>
      </c>
      <c r="T100" t="s">
        <v>185</v>
      </c>
      <c r="U100" t="s">
        <v>373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371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374</v>
      </c>
      <c r="T101" t="s">
        <v>188</v>
      </c>
      <c r="U101" t="s">
        <v>375</v>
      </c>
      <c r="W101" s="7">
        <v>0.01</v>
      </c>
      <c r="X101" t="e">
        <v>#DIV/0!</v>
      </c>
    </row>
    <row r="102" spans="3:24">
      <c r="S102" t="s">
        <v>376</v>
      </c>
      <c r="T102" t="s">
        <v>202</v>
      </c>
      <c r="U102" t="s">
        <v>375</v>
      </c>
      <c r="W102" s="7">
        <v>0.99</v>
      </c>
      <c r="X102" t="e">
        <v>#DIV/0!</v>
      </c>
    </row>
    <row r="103" spans="3:24">
      <c r="S103" t="s">
        <v>377</v>
      </c>
      <c r="T103" t="s">
        <v>185</v>
      </c>
      <c r="U103" t="s">
        <v>378</v>
      </c>
      <c r="W103" s="7">
        <v>1</v>
      </c>
      <c r="X103" t="e">
        <v>#DIV/0!</v>
      </c>
    </row>
    <row r="104" spans="3:24">
      <c r="C104" s="5" t="s">
        <v>182</v>
      </c>
      <c r="S104" t="s">
        <v>379</v>
      </c>
      <c r="T104" t="s">
        <v>202</v>
      </c>
      <c r="U104" t="s">
        <v>380</v>
      </c>
      <c r="W104" s="7">
        <v>1</v>
      </c>
      <c r="X104" t="e">
        <v>#DIV/0!</v>
      </c>
    </row>
    <row r="105" spans="3:24">
      <c r="C105" s="5" t="s">
        <v>149</v>
      </c>
      <c r="S105" t="s">
        <v>381</v>
      </c>
      <c r="T105" t="s">
        <v>185</v>
      </c>
      <c r="U105" t="s">
        <v>382</v>
      </c>
      <c r="W105" s="7">
        <v>1</v>
      </c>
      <c r="X105" t="e">
        <v>#DIV/0!</v>
      </c>
    </row>
    <row r="106" spans="3:24">
      <c r="K106" t="s">
        <v>87</v>
      </c>
      <c r="S106" t="s">
        <v>383</v>
      </c>
      <c r="T106" t="s">
        <v>185</v>
      </c>
      <c r="U106" t="s">
        <v>384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190</v>
      </c>
      <c r="M107" s="2" t="s">
        <v>191</v>
      </c>
      <c r="N107" s="6" t="s">
        <v>82</v>
      </c>
      <c r="O107" s="6" t="s">
        <v>56</v>
      </c>
      <c r="P107" s="4" t="s">
        <v>12</v>
      </c>
      <c r="S107" t="s">
        <v>385</v>
      </c>
      <c r="T107" t="s">
        <v>202</v>
      </c>
      <c r="U107" t="s">
        <v>386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364</v>
      </c>
      <c r="G108" t="s">
        <v>365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387</v>
      </c>
      <c r="T108" t="s">
        <v>202</v>
      </c>
      <c r="U108" t="s">
        <v>388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389</v>
      </c>
      <c r="T109" t="s">
        <v>185</v>
      </c>
      <c r="U109" t="s">
        <v>390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371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391</v>
      </c>
      <c r="T110" t="s">
        <v>185</v>
      </c>
      <c r="U110" t="s">
        <v>392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393</v>
      </c>
      <c r="T111" t="s">
        <v>185</v>
      </c>
      <c r="U111" t="s">
        <v>394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395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396</v>
      </c>
      <c r="T112" t="s">
        <v>202</v>
      </c>
      <c r="U112" t="s">
        <v>397</v>
      </c>
      <c r="W112" s="7">
        <v>1</v>
      </c>
      <c r="X112" t="e">
        <v>#DIV/0!</v>
      </c>
    </row>
    <row r="113" spans="3:24">
      <c r="G113" t="s">
        <v>395</v>
      </c>
      <c r="L113" s="7">
        <v>0.3</v>
      </c>
      <c r="M113" s="7">
        <v>0</v>
      </c>
      <c r="S113" t="s">
        <v>398</v>
      </c>
      <c r="T113" t="s">
        <v>185</v>
      </c>
      <c r="U113" t="s">
        <v>399</v>
      </c>
      <c r="W113" s="7">
        <v>1</v>
      </c>
      <c r="X113" t="e">
        <v>#DIV/0!</v>
      </c>
    </row>
    <row r="114" spans="3:24">
      <c r="L114" s="7"/>
      <c r="M114" s="7"/>
      <c r="S114" t="s">
        <v>400</v>
      </c>
      <c r="T114" t="s">
        <v>199</v>
      </c>
      <c r="U114" t="s">
        <v>401</v>
      </c>
      <c r="W114" s="7">
        <v>0</v>
      </c>
      <c r="X114" t="e">
        <v>#DIV/0!</v>
      </c>
    </row>
    <row r="115" spans="3:24">
      <c r="S115" t="s">
        <v>402</v>
      </c>
      <c r="T115" t="s">
        <v>202</v>
      </c>
      <c r="U115" t="s">
        <v>401</v>
      </c>
      <c r="W115" s="7">
        <v>1</v>
      </c>
      <c r="X115" t="e">
        <v>#DIV/0!</v>
      </c>
    </row>
    <row r="116" spans="3:24">
      <c r="S116" t="s">
        <v>403</v>
      </c>
      <c r="T116" t="s">
        <v>185</v>
      </c>
      <c r="U116" t="s">
        <v>404</v>
      </c>
      <c r="W116" s="7">
        <v>0.08</v>
      </c>
      <c r="X116" t="e">
        <v>#DIV/0!</v>
      </c>
    </row>
    <row r="117" spans="3:24">
      <c r="C117" s="26" t="s">
        <v>182</v>
      </c>
      <c r="S117" t="s">
        <v>405</v>
      </c>
      <c r="T117" t="s">
        <v>202</v>
      </c>
      <c r="U117" t="s">
        <v>404</v>
      </c>
      <c r="W117" s="7">
        <v>0.92</v>
      </c>
      <c r="X117" t="e">
        <v>#DIV/0!</v>
      </c>
    </row>
    <row r="118" spans="3:24">
      <c r="C118" s="26" t="s">
        <v>149</v>
      </c>
      <c r="S118" t="s">
        <v>406</v>
      </c>
      <c r="T118" t="s">
        <v>305</v>
      </c>
      <c r="U118" t="s">
        <v>407</v>
      </c>
      <c r="W118" s="7">
        <v>1</v>
      </c>
      <c r="X118" t="e">
        <v>#DIV/0!</v>
      </c>
    </row>
    <row r="119" spans="3:24">
      <c r="G119" t="s">
        <v>87</v>
      </c>
      <c r="S119" t="s">
        <v>408</v>
      </c>
      <c r="T119" t="s">
        <v>185</v>
      </c>
      <c r="U119" t="s">
        <v>409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135</v>
      </c>
      <c r="J120" s="6" t="s">
        <v>136</v>
      </c>
      <c r="K120" s="4" t="s">
        <v>12</v>
      </c>
      <c r="S120" t="s">
        <v>410</v>
      </c>
      <c r="T120" t="s">
        <v>185</v>
      </c>
      <c r="U120" t="s">
        <v>411</v>
      </c>
      <c r="W120" s="7">
        <v>1</v>
      </c>
      <c r="X120" s="7">
        <v>1</v>
      </c>
    </row>
    <row r="121" spans="3:24">
      <c r="C121" t="s">
        <v>363</v>
      </c>
      <c r="E121" t="s">
        <v>412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413</v>
      </c>
      <c r="S121" t="s">
        <v>414</v>
      </c>
      <c r="T121" t="s">
        <v>188</v>
      </c>
      <c r="U121" t="s">
        <v>415</v>
      </c>
      <c r="W121" s="7">
        <v>0.01</v>
      </c>
      <c r="X121" s="7">
        <v>1</v>
      </c>
    </row>
    <row r="122" spans="3:24">
      <c r="C122" t="s">
        <v>370</v>
      </c>
      <c r="E122" t="s">
        <v>416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417</v>
      </c>
      <c r="S122" t="s">
        <v>418</v>
      </c>
      <c r="T122" t="s">
        <v>202</v>
      </c>
      <c r="U122" t="s">
        <v>415</v>
      </c>
      <c r="W122" s="7">
        <v>0.99</v>
      </c>
      <c r="X122" s="7">
        <v>0</v>
      </c>
    </row>
    <row r="123" spans="3:24">
      <c r="C123" t="s">
        <v>419</v>
      </c>
      <c r="E123" t="s">
        <v>420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421</v>
      </c>
      <c r="S123" t="s">
        <v>422</v>
      </c>
      <c r="T123" t="s">
        <v>188</v>
      </c>
      <c r="U123" t="s">
        <v>423</v>
      </c>
      <c r="W123" s="7">
        <v>0</v>
      </c>
      <c r="X123" s="7">
        <v>0.02</v>
      </c>
    </row>
    <row r="124" spans="3:24">
      <c r="S124" t="s">
        <v>424</v>
      </c>
      <c r="T124" t="s">
        <v>202</v>
      </c>
      <c r="U124" t="s">
        <v>423</v>
      </c>
      <c r="W124" s="7">
        <v>0.06</v>
      </c>
      <c r="X124" s="7">
        <v>0</v>
      </c>
    </row>
    <row r="125" spans="3:24">
      <c r="S125" t="s">
        <v>425</v>
      </c>
      <c r="T125" t="s">
        <v>193</v>
      </c>
      <c r="U125" t="s">
        <v>423</v>
      </c>
      <c r="W125" s="7">
        <v>0.86</v>
      </c>
      <c r="X125" s="7">
        <v>0.9</v>
      </c>
    </row>
    <row r="126" spans="3:24">
      <c r="S126" t="s">
        <v>426</v>
      </c>
      <c r="T126" t="s">
        <v>185</v>
      </c>
      <c r="U126" t="s">
        <v>423</v>
      </c>
      <c r="W126" s="7">
        <v>0.09</v>
      </c>
      <c r="X126" s="7">
        <v>0.09</v>
      </c>
    </row>
    <row r="127" spans="3:24">
      <c r="S127" t="s">
        <v>427</v>
      </c>
      <c r="T127" t="s">
        <v>185</v>
      </c>
      <c r="U127" t="s">
        <v>428</v>
      </c>
      <c r="W127" s="7">
        <v>1</v>
      </c>
      <c r="X127" s="7">
        <v>1</v>
      </c>
    </row>
    <row r="128" spans="3:24">
      <c r="S128" t="s">
        <v>429</v>
      </c>
      <c r="T128" t="s">
        <v>185</v>
      </c>
      <c r="U128" t="s">
        <v>430</v>
      </c>
      <c r="W128" s="7">
        <v>1</v>
      </c>
      <c r="X128" t="e">
        <v>#DIV/0!</v>
      </c>
    </row>
    <row r="129" spans="19:24">
      <c r="S129" t="s">
        <v>431</v>
      </c>
      <c r="T129" t="s">
        <v>185</v>
      </c>
      <c r="U129" t="s">
        <v>432</v>
      </c>
      <c r="W129" s="7">
        <v>1</v>
      </c>
      <c r="X129" t="e">
        <v>#DIV/0!</v>
      </c>
    </row>
    <row r="130" spans="19:24">
      <c r="S130" t="s">
        <v>433</v>
      </c>
      <c r="T130" t="s">
        <v>185</v>
      </c>
      <c r="U130" t="s">
        <v>434</v>
      </c>
      <c r="W130" s="7">
        <v>1</v>
      </c>
      <c r="X130" s="7">
        <v>1</v>
      </c>
    </row>
    <row r="131" spans="19:24">
      <c r="S131" t="s">
        <v>435</v>
      </c>
      <c r="T131" t="s">
        <v>202</v>
      </c>
      <c r="U131" t="s">
        <v>436</v>
      </c>
      <c r="W131" s="7">
        <v>0.98</v>
      </c>
      <c r="X131" t="e">
        <v>#DIV/0!</v>
      </c>
    </row>
    <row r="132" spans="19:24">
      <c r="S132" t="s">
        <v>437</v>
      </c>
      <c r="T132" t="s">
        <v>185</v>
      </c>
      <c r="U132" t="s">
        <v>436</v>
      </c>
      <c r="W132" s="7">
        <v>0.02</v>
      </c>
      <c r="X132" t="e">
        <v>#DIV/0!</v>
      </c>
    </row>
    <row r="133" spans="19:24">
      <c r="S133" t="s">
        <v>438</v>
      </c>
      <c r="T133" t="s">
        <v>202</v>
      </c>
      <c r="U133" t="s">
        <v>439</v>
      </c>
      <c r="W133" s="7">
        <v>1</v>
      </c>
      <c r="X133" t="e">
        <v>#DIV/0!</v>
      </c>
    </row>
    <row r="134" spans="19:24">
      <c r="S134" t="s">
        <v>440</v>
      </c>
      <c r="T134" t="s">
        <v>202</v>
      </c>
      <c r="U134" t="s">
        <v>441</v>
      </c>
      <c r="W134" s="7">
        <v>0.09</v>
      </c>
      <c r="X134" t="e">
        <v>#DIV/0!</v>
      </c>
    </row>
    <row r="135" spans="19:24">
      <c r="S135" t="s">
        <v>442</v>
      </c>
      <c r="T135" t="s">
        <v>193</v>
      </c>
      <c r="U135" t="s">
        <v>441</v>
      </c>
      <c r="W135" s="7">
        <v>0.7</v>
      </c>
      <c r="X135" t="e">
        <v>#DIV/0!</v>
      </c>
    </row>
    <row r="136" spans="19:24">
      <c r="S136" t="s">
        <v>443</v>
      </c>
      <c r="T136" t="s">
        <v>364</v>
      </c>
      <c r="U136" t="s">
        <v>441</v>
      </c>
      <c r="W136" s="7">
        <v>0.21</v>
      </c>
      <c r="X136" t="e">
        <v>#DIV/0!</v>
      </c>
    </row>
    <row r="137" spans="19:24">
      <c r="S137" t="s">
        <v>444</v>
      </c>
      <c r="T137" t="s">
        <v>185</v>
      </c>
      <c r="U137" t="s">
        <v>445</v>
      </c>
      <c r="W137" s="7">
        <v>1</v>
      </c>
      <c r="X137" s="7">
        <v>1</v>
      </c>
    </row>
    <row r="138" spans="19:24">
      <c r="S138" t="s">
        <v>446</v>
      </c>
      <c r="T138" t="s">
        <v>202</v>
      </c>
      <c r="U138" t="s">
        <v>447</v>
      </c>
      <c r="W138" s="7">
        <v>0.85</v>
      </c>
      <c r="X138" t="e">
        <v>#DIV/0!</v>
      </c>
    </row>
    <row r="139" spans="19:24">
      <c r="S139" t="s">
        <v>448</v>
      </c>
      <c r="T139" t="s">
        <v>185</v>
      </c>
      <c r="U139" t="s">
        <v>447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>
      <selection activeCell="G44" sqref="G44"/>
    </sheetView>
  </sheetViews>
  <sheetFormatPr defaultRowHeight="15"/>
  <cols>
    <col min="2" max="2" width="32.140625" customWidth="1"/>
    <col min="4" max="4" width="22" customWidth="1"/>
    <col min="8" max="8" width="24" customWidth="1"/>
    <col min="9" max="9" width="25.7109375" customWidth="1"/>
  </cols>
  <sheetData>
    <row r="2" spans="2:12">
      <c r="B2" t="s">
        <v>449</v>
      </c>
      <c r="H2" t="s">
        <v>450</v>
      </c>
      <c r="I2" t="s">
        <v>451</v>
      </c>
      <c r="L2" t="s">
        <v>452</v>
      </c>
    </row>
    <row r="3" spans="2:12">
      <c r="B3" t="s">
        <v>453</v>
      </c>
      <c r="C3" t="s">
        <v>454</v>
      </c>
      <c r="D3" t="s">
        <v>455</v>
      </c>
      <c r="E3" t="s">
        <v>456</v>
      </c>
      <c r="F3" t="s">
        <v>457</v>
      </c>
      <c r="G3" t="s">
        <v>458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184</v>
      </c>
      <c r="C4" t="s">
        <v>459</v>
      </c>
      <c r="D4" t="s">
        <v>186</v>
      </c>
      <c r="E4" t="s">
        <v>460</v>
      </c>
      <c r="F4" t="s">
        <v>461</v>
      </c>
      <c r="G4" t="s">
        <v>185</v>
      </c>
      <c r="H4" s="48">
        <v>1</v>
      </c>
      <c r="I4" s="48"/>
    </row>
    <row r="5" spans="2:12" hidden="1">
      <c r="B5" t="s">
        <v>198</v>
      </c>
      <c r="C5" t="s">
        <v>462</v>
      </c>
      <c r="D5" t="s">
        <v>200</v>
      </c>
      <c r="E5" t="s">
        <v>463</v>
      </c>
      <c r="F5" t="s">
        <v>464</v>
      </c>
      <c r="G5" t="s">
        <v>199</v>
      </c>
      <c r="H5" s="48">
        <v>0.94789999999999996</v>
      </c>
      <c r="I5" s="48"/>
    </row>
    <row r="6" spans="2:12" hidden="1">
      <c r="B6" t="s">
        <v>201</v>
      </c>
      <c r="C6" t="s">
        <v>465</v>
      </c>
      <c r="D6" t="s">
        <v>200</v>
      </c>
      <c r="E6" t="s">
        <v>463</v>
      </c>
      <c r="F6" t="s">
        <v>466</v>
      </c>
      <c r="G6" t="s">
        <v>202</v>
      </c>
      <c r="H6" s="48">
        <v>5.21E-2</v>
      </c>
      <c r="I6" s="48"/>
    </row>
    <row r="7" spans="2:12" hidden="1">
      <c r="B7" t="s">
        <v>203</v>
      </c>
      <c r="C7" t="s">
        <v>467</v>
      </c>
      <c r="D7" t="s">
        <v>200</v>
      </c>
      <c r="E7" t="s">
        <v>463</v>
      </c>
      <c r="F7" t="s">
        <v>468</v>
      </c>
      <c r="G7" t="s">
        <v>204</v>
      </c>
      <c r="H7" s="48">
        <v>0</v>
      </c>
      <c r="I7" s="48"/>
    </row>
    <row r="8" spans="2:12" hidden="1">
      <c r="B8" t="s">
        <v>469</v>
      </c>
      <c r="C8" t="s">
        <v>470</v>
      </c>
      <c r="D8" t="s">
        <v>200</v>
      </c>
      <c r="E8" t="s">
        <v>463</v>
      </c>
      <c r="F8" t="s">
        <v>471</v>
      </c>
      <c r="G8" t="s">
        <v>352</v>
      </c>
      <c r="H8" s="48">
        <v>0</v>
      </c>
      <c r="I8" s="48"/>
    </row>
    <row r="9" spans="2:12" hidden="1">
      <c r="B9" t="s">
        <v>472</v>
      </c>
      <c r="C9" t="s">
        <v>473</v>
      </c>
      <c r="D9" t="s">
        <v>206</v>
      </c>
      <c r="E9" t="s">
        <v>463</v>
      </c>
      <c r="F9" t="s">
        <v>464</v>
      </c>
      <c r="G9" t="s">
        <v>199</v>
      </c>
      <c r="H9" s="48">
        <v>0.2482</v>
      </c>
      <c r="I9" s="48"/>
    </row>
    <row r="10" spans="2:12" hidden="1">
      <c r="B10" t="s">
        <v>474</v>
      </c>
      <c r="C10" t="s">
        <v>475</v>
      </c>
      <c r="D10" t="s">
        <v>206</v>
      </c>
      <c r="E10" t="s">
        <v>463</v>
      </c>
      <c r="F10" t="s">
        <v>468</v>
      </c>
      <c r="G10" t="s">
        <v>204</v>
      </c>
      <c r="H10" s="48">
        <v>0</v>
      </c>
      <c r="I10" s="48"/>
    </row>
    <row r="11" spans="2:12" hidden="1">
      <c r="B11" t="s">
        <v>476</v>
      </c>
      <c r="C11" t="s">
        <v>477</v>
      </c>
      <c r="D11" t="s">
        <v>206</v>
      </c>
      <c r="E11" t="s">
        <v>463</v>
      </c>
      <c r="F11" t="s">
        <v>461</v>
      </c>
      <c r="G11" t="s">
        <v>185</v>
      </c>
      <c r="H11" s="48">
        <v>0.75180000000000002</v>
      </c>
      <c r="I11" s="48"/>
    </row>
    <row r="12" spans="2:12" hidden="1">
      <c r="B12" t="s">
        <v>478</v>
      </c>
      <c r="C12" t="s">
        <v>477</v>
      </c>
      <c r="D12" t="s">
        <v>206</v>
      </c>
      <c r="E12" t="s">
        <v>463</v>
      </c>
      <c r="F12" t="s">
        <v>461</v>
      </c>
      <c r="G12" t="s">
        <v>185</v>
      </c>
      <c r="H12" s="48">
        <v>0</v>
      </c>
      <c r="I12" s="48"/>
    </row>
    <row r="13" spans="2:12" hidden="1">
      <c r="B13" t="s">
        <v>479</v>
      </c>
      <c r="C13" t="s">
        <v>480</v>
      </c>
      <c r="D13" t="s">
        <v>481</v>
      </c>
      <c r="E13" t="s">
        <v>482</v>
      </c>
      <c r="F13" t="s">
        <v>461</v>
      </c>
      <c r="G13" t="s">
        <v>185</v>
      </c>
      <c r="H13" s="48">
        <v>1</v>
      </c>
      <c r="I13" s="48"/>
    </row>
    <row r="14" spans="2:12" hidden="1">
      <c r="B14" t="s">
        <v>483</v>
      </c>
      <c r="C14" t="s">
        <v>484</v>
      </c>
      <c r="D14" t="s">
        <v>218</v>
      </c>
      <c r="E14" t="s">
        <v>482</v>
      </c>
      <c r="F14" t="s">
        <v>468</v>
      </c>
      <c r="G14" t="s">
        <v>204</v>
      </c>
      <c r="H14" s="48">
        <v>0</v>
      </c>
      <c r="I14" s="48"/>
    </row>
    <row r="15" spans="2:12" hidden="1">
      <c r="B15" t="s">
        <v>485</v>
      </c>
      <c r="C15" t="s">
        <v>486</v>
      </c>
      <c r="D15" t="s">
        <v>218</v>
      </c>
      <c r="E15" t="s">
        <v>482</v>
      </c>
      <c r="F15" t="s">
        <v>464</v>
      </c>
      <c r="G15" t="s">
        <v>199</v>
      </c>
      <c r="H15" s="48">
        <v>0</v>
      </c>
      <c r="I15" s="48"/>
    </row>
    <row r="16" spans="2:12" hidden="1">
      <c r="B16" t="s">
        <v>487</v>
      </c>
      <c r="C16" t="s">
        <v>488</v>
      </c>
      <c r="D16" t="s">
        <v>218</v>
      </c>
      <c r="E16" t="s">
        <v>482</v>
      </c>
      <c r="F16" t="s">
        <v>461</v>
      </c>
      <c r="G16" t="s">
        <v>185</v>
      </c>
      <c r="H16" s="48">
        <v>1</v>
      </c>
      <c r="I16" s="48"/>
    </row>
    <row r="17" spans="2:14" hidden="1">
      <c r="B17" t="s">
        <v>489</v>
      </c>
      <c r="C17" t="s">
        <v>488</v>
      </c>
      <c r="D17" t="s">
        <v>218</v>
      </c>
      <c r="E17" t="s">
        <v>482</v>
      </c>
      <c r="F17" t="s">
        <v>461</v>
      </c>
      <c r="G17" t="s">
        <v>185</v>
      </c>
      <c r="H17" s="48">
        <v>0</v>
      </c>
      <c r="I17" s="48"/>
    </row>
    <row r="18" spans="2:14" hidden="1">
      <c r="B18" t="s">
        <v>490</v>
      </c>
      <c r="C18" t="s">
        <v>491</v>
      </c>
      <c r="D18" t="s">
        <v>492</v>
      </c>
      <c r="E18" t="s">
        <v>482</v>
      </c>
      <c r="F18" t="s">
        <v>461</v>
      </c>
      <c r="G18" t="s">
        <v>185</v>
      </c>
      <c r="H18" s="48">
        <v>0</v>
      </c>
      <c r="I18" s="48"/>
    </row>
    <row r="19" spans="2:14" hidden="1">
      <c r="B19" t="s">
        <v>493</v>
      </c>
      <c r="C19" t="s">
        <v>491</v>
      </c>
      <c r="D19" t="s">
        <v>492</v>
      </c>
      <c r="E19" t="s">
        <v>482</v>
      </c>
      <c r="F19" t="s">
        <v>461</v>
      </c>
      <c r="G19" t="s">
        <v>185</v>
      </c>
      <c r="H19" s="48">
        <v>0</v>
      </c>
      <c r="I19" s="48"/>
    </row>
    <row r="20" spans="2:14">
      <c r="B20" t="s">
        <v>494</v>
      </c>
      <c r="C20" t="s">
        <v>495</v>
      </c>
      <c r="D20" t="s">
        <v>492</v>
      </c>
      <c r="E20" t="s">
        <v>482</v>
      </c>
      <c r="F20" t="s">
        <v>496</v>
      </c>
      <c r="G20" t="s">
        <v>188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497</v>
      </c>
      <c r="C21" t="s">
        <v>498</v>
      </c>
      <c r="D21" t="s">
        <v>492</v>
      </c>
      <c r="E21" t="s">
        <v>482</v>
      </c>
      <c r="F21" t="s">
        <v>466</v>
      </c>
      <c r="G21" t="s">
        <v>202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499</v>
      </c>
      <c r="C22" t="s">
        <v>500</v>
      </c>
      <c r="D22" t="s">
        <v>492</v>
      </c>
      <c r="E22" t="s">
        <v>482</v>
      </c>
      <c r="F22" t="s">
        <v>501</v>
      </c>
      <c r="G22" t="s">
        <v>193</v>
      </c>
      <c r="H22" s="48">
        <v>0</v>
      </c>
      <c r="I22" s="48"/>
      <c r="N22" t="s">
        <v>497</v>
      </c>
    </row>
    <row r="23" spans="2:14" hidden="1">
      <c r="B23" t="s">
        <v>502</v>
      </c>
      <c r="C23" t="s">
        <v>491</v>
      </c>
      <c r="D23" t="s">
        <v>492</v>
      </c>
      <c r="E23" t="s">
        <v>482</v>
      </c>
      <c r="F23" t="s">
        <v>461</v>
      </c>
      <c r="G23" t="s">
        <v>185</v>
      </c>
      <c r="H23" s="48">
        <v>0</v>
      </c>
      <c r="I23" s="48"/>
      <c r="N23" t="s">
        <v>503</v>
      </c>
    </row>
    <row r="24" spans="2:14">
      <c r="B24" t="s">
        <v>503</v>
      </c>
      <c r="C24" t="s">
        <v>504</v>
      </c>
      <c r="D24" t="s">
        <v>505</v>
      </c>
      <c r="E24" t="s">
        <v>482</v>
      </c>
      <c r="F24" t="s">
        <v>496</v>
      </c>
      <c r="G24" t="s">
        <v>188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506</v>
      </c>
      <c r="C25" t="s">
        <v>507</v>
      </c>
      <c r="D25" t="s">
        <v>505</v>
      </c>
      <c r="E25" t="s">
        <v>482</v>
      </c>
      <c r="F25" t="s">
        <v>466</v>
      </c>
      <c r="G25" t="s">
        <v>202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508</v>
      </c>
      <c r="C26" t="s">
        <v>509</v>
      </c>
      <c r="D26" t="s">
        <v>505</v>
      </c>
      <c r="E26" t="s">
        <v>482</v>
      </c>
      <c r="F26" t="s">
        <v>501</v>
      </c>
      <c r="G26" t="s">
        <v>193</v>
      </c>
      <c r="H26" s="48">
        <v>0</v>
      </c>
      <c r="I26" s="48"/>
      <c r="N26" t="s">
        <v>510</v>
      </c>
    </row>
    <row r="27" spans="2:14" hidden="1">
      <c r="B27" t="s">
        <v>511</v>
      </c>
      <c r="C27" t="s">
        <v>512</v>
      </c>
      <c r="D27" t="s">
        <v>505</v>
      </c>
      <c r="E27" t="s">
        <v>482</v>
      </c>
      <c r="F27" t="s">
        <v>461</v>
      </c>
      <c r="G27" t="s">
        <v>185</v>
      </c>
      <c r="H27" s="48">
        <v>0</v>
      </c>
      <c r="I27" s="48"/>
      <c r="N27" t="s">
        <v>513</v>
      </c>
    </row>
    <row r="28" spans="2:14" hidden="1">
      <c r="B28" t="s">
        <v>514</v>
      </c>
      <c r="C28" t="s">
        <v>512</v>
      </c>
      <c r="D28" t="s">
        <v>505</v>
      </c>
      <c r="E28" t="s">
        <v>482</v>
      </c>
      <c r="F28" t="s">
        <v>461</v>
      </c>
      <c r="G28" t="s">
        <v>185</v>
      </c>
      <c r="H28" s="48">
        <v>0</v>
      </c>
      <c r="I28" s="48"/>
      <c r="N28" t="s">
        <v>515</v>
      </c>
    </row>
    <row r="29" spans="2:14">
      <c r="B29" t="s">
        <v>516</v>
      </c>
      <c r="C29" t="s">
        <v>517</v>
      </c>
      <c r="D29" t="s">
        <v>518</v>
      </c>
      <c r="E29" t="s">
        <v>482</v>
      </c>
      <c r="F29" t="s">
        <v>496</v>
      </c>
      <c r="G29" t="s">
        <v>188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510</v>
      </c>
      <c r="C30" t="s">
        <v>519</v>
      </c>
      <c r="D30" t="s">
        <v>518</v>
      </c>
      <c r="E30" t="s">
        <v>482</v>
      </c>
      <c r="F30" t="s">
        <v>466</v>
      </c>
      <c r="G30" t="s">
        <v>202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520</v>
      </c>
      <c r="C31" t="s">
        <v>521</v>
      </c>
      <c r="D31" t="s">
        <v>518</v>
      </c>
      <c r="E31" t="s">
        <v>482</v>
      </c>
      <c r="F31" t="s">
        <v>461</v>
      </c>
      <c r="G31" t="s">
        <v>185</v>
      </c>
      <c r="H31" s="48">
        <v>0</v>
      </c>
      <c r="I31" s="48"/>
      <c r="N31" t="s">
        <v>522</v>
      </c>
    </row>
    <row r="32" spans="2:14" hidden="1">
      <c r="B32" t="s">
        <v>523</v>
      </c>
      <c r="C32" t="s">
        <v>524</v>
      </c>
      <c r="D32" t="s">
        <v>518</v>
      </c>
      <c r="E32" t="s">
        <v>482</v>
      </c>
      <c r="F32" t="s">
        <v>501</v>
      </c>
      <c r="G32" t="s">
        <v>193</v>
      </c>
      <c r="H32" s="48">
        <v>0</v>
      </c>
      <c r="I32" s="48"/>
      <c r="N32" t="s">
        <v>525</v>
      </c>
    </row>
    <row r="33" spans="2:14" hidden="1">
      <c r="B33" t="s">
        <v>526</v>
      </c>
      <c r="C33" t="s">
        <v>521</v>
      </c>
      <c r="D33" t="s">
        <v>518</v>
      </c>
      <c r="E33" t="s">
        <v>482</v>
      </c>
      <c r="F33" t="s">
        <v>461</v>
      </c>
      <c r="G33" t="s">
        <v>185</v>
      </c>
      <c r="H33" s="48">
        <v>0</v>
      </c>
      <c r="I33" s="48"/>
      <c r="N33" t="s">
        <v>527</v>
      </c>
    </row>
    <row r="34" spans="2:14" hidden="1">
      <c r="B34" t="s">
        <v>528</v>
      </c>
      <c r="C34" t="s">
        <v>529</v>
      </c>
      <c r="D34" t="s">
        <v>530</v>
      </c>
      <c r="E34" t="s">
        <v>482</v>
      </c>
      <c r="F34" t="s">
        <v>501</v>
      </c>
      <c r="G34" t="s">
        <v>193</v>
      </c>
      <c r="H34" s="48">
        <v>0</v>
      </c>
      <c r="I34" s="48"/>
      <c r="N34" t="s">
        <v>531</v>
      </c>
    </row>
    <row r="35" spans="2:14" hidden="1">
      <c r="B35" t="s">
        <v>532</v>
      </c>
      <c r="C35" t="s">
        <v>533</v>
      </c>
      <c r="D35" t="s">
        <v>530</v>
      </c>
      <c r="E35" t="s">
        <v>482</v>
      </c>
      <c r="F35" t="s">
        <v>461</v>
      </c>
      <c r="G35" t="s">
        <v>185</v>
      </c>
      <c r="H35" s="48">
        <v>0</v>
      </c>
      <c r="I35" s="48"/>
      <c r="N35" t="s">
        <v>282</v>
      </c>
    </row>
    <row r="36" spans="2:14" hidden="1">
      <c r="B36" t="s">
        <v>534</v>
      </c>
      <c r="C36" t="s">
        <v>533</v>
      </c>
      <c r="D36" t="s">
        <v>530</v>
      </c>
      <c r="E36" t="s">
        <v>482</v>
      </c>
      <c r="F36" t="s">
        <v>461</v>
      </c>
      <c r="G36" t="s">
        <v>185</v>
      </c>
      <c r="H36" s="48">
        <v>0</v>
      </c>
      <c r="I36" s="48"/>
      <c r="N36" t="s">
        <v>535</v>
      </c>
    </row>
    <row r="37" spans="2:14" hidden="1">
      <c r="B37" t="s">
        <v>536</v>
      </c>
      <c r="C37" t="s">
        <v>533</v>
      </c>
      <c r="D37" t="s">
        <v>530</v>
      </c>
      <c r="E37" t="s">
        <v>482</v>
      </c>
      <c r="F37" t="s">
        <v>461</v>
      </c>
      <c r="G37" t="s">
        <v>185</v>
      </c>
      <c r="H37" s="48">
        <v>0</v>
      </c>
      <c r="I37" s="48"/>
      <c r="N37" t="s">
        <v>287</v>
      </c>
    </row>
    <row r="38" spans="2:14">
      <c r="B38" t="s">
        <v>513</v>
      </c>
      <c r="C38" t="s">
        <v>537</v>
      </c>
      <c r="D38" t="s">
        <v>530</v>
      </c>
      <c r="E38" t="s">
        <v>482</v>
      </c>
      <c r="F38" t="s">
        <v>496</v>
      </c>
      <c r="G38" t="s">
        <v>188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515</v>
      </c>
      <c r="C39" t="s">
        <v>538</v>
      </c>
      <c r="D39" t="s">
        <v>530</v>
      </c>
      <c r="E39" t="s">
        <v>482</v>
      </c>
      <c r="F39" t="s">
        <v>466</v>
      </c>
      <c r="G39" t="s">
        <v>202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539</v>
      </c>
      <c r="C40" t="s">
        <v>540</v>
      </c>
      <c r="D40" t="s">
        <v>541</v>
      </c>
      <c r="E40" t="s">
        <v>482</v>
      </c>
      <c r="F40" t="s">
        <v>496</v>
      </c>
      <c r="G40" t="s">
        <v>188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542</v>
      </c>
      <c r="C41" t="s">
        <v>543</v>
      </c>
      <c r="D41" t="s">
        <v>541</v>
      </c>
      <c r="E41" t="s">
        <v>482</v>
      </c>
      <c r="F41" t="s">
        <v>466</v>
      </c>
      <c r="G41" t="s">
        <v>202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544</v>
      </c>
      <c r="C42" t="s">
        <v>545</v>
      </c>
      <c r="D42" t="s">
        <v>541</v>
      </c>
      <c r="E42" t="s">
        <v>482</v>
      </c>
      <c r="F42" t="s">
        <v>501</v>
      </c>
      <c r="G42" t="s">
        <v>193</v>
      </c>
      <c r="H42" s="48">
        <v>0</v>
      </c>
      <c r="I42" s="48"/>
      <c r="N42" t="s">
        <v>546</v>
      </c>
    </row>
    <row r="43" spans="2:14" hidden="1">
      <c r="B43" t="s">
        <v>547</v>
      </c>
      <c r="C43" t="s">
        <v>548</v>
      </c>
      <c r="D43" t="s">
        <v>541</v>
      </c>
      <c r="E43" t="s">
        <v>482</v>
      </c>
      <c r="F43" t="s">
        <v>461</v>
      </c>
      <c r="G43" t="s">
        <v>185</v>
      </c>
      <c r="H43" s="48">
        <v>0</v>
      </c>
      <c r="I43" s="48"/>
      <c r="N43" t="s">
        <v>549</v>
      </c>
    </row>
    <row r="44" spans="2:14" hidden="1">
      <c r="B44" t="s">
        <v>550</v>
      </c>
      <c r="C44" t="s">
        <v>548</v>
      </c>
      <c r="D44" t="s">
        <v>541</v>
      </c>
      <c r="E44" t="s">
        <v>482</v>
      </c>
      <c r="F44" t="s">
        <v>461</v>
      </c>
      <c r="G44" t="s">
        <v>185</v>
      </c>
      <c r="H44" s="48">
        <v>0</v>
      </c>
      <c r="I44" s="48"/>
      <c r="N44" t="s">
        <v>315</v>
      </c>
    </row>
    <row r="45" spans="2:14" hidden="1">
      <c r="B45" t="s">
        <v>551</v>
      </c>
      <c r="C45" t="s">
        <v>552</v>
      </c>
      <c r="D45" t="s">
        <v>553</v>
      </c>
      <c r="E45" t="s">
        <v>482</v>
      </c>
      <c r="F45" t="s">
        <v>461</v>
      </c>
      <c r="G45" t="s">
        <v>185</v>
      </c>
      <c r="H45" s="48">
        <v>1</v>
      </c>
      <c r="I45" s="48"/>
      <c r="N45" t="s">
        <v>554</v>
      </c>
    </row>
    <row r="46" spans="2:14" hidden="1">
      <c r="B46" t="s">
        <v>555</v>
      </c>
      <c r="C46" t="s">
        <v>556</v>
      </c>
      <c r="D46" t="s">
        <v>395</v>
      </c>
      <c r="E46" t="s">
        <v>482</v>
      </c>
      <c r="F46" t="s">
        <v>464</v>
      </c>
      <c r="G46" t="s">
        <v>199</v>
      </c>
      <c r="H46" s="48">
        <v>0.15179999999999999</v>
      </c>
      <c r="I46" s="48"/>
      <c r="N46" t="s">
        <v>557</v>
      </c>
    </row>
    <row r="47" spans="2:14" hidden="1">
      <c r="B47" t="s">
        <v>420</v>
      </c>
      <c r="C47" t="s">
        <v>558</v>
      </c>
      <c r="D47" t="s">
        <v>395</v>
      </c>
      <c r="E47" t="s">
        <v>482</v>
      </c>
      <c r="F47" t="s">
        <v>559</v>
      </c>
      <c r="G47" t="s">
        <v>364</v>
      </c>
      <c r="H47" s="48">
        <v>0.33019999999999999</v>
      </c>
      <c r="I47" s="48"/>
      <c r="N47" t="s">
        <v>560</v>
      </c>
    </row>
    <row r="48" spans="2:14" hidden="1">
      <c r="B48" t="s">
        <v>522</v>
      </c>
      <c r="C48" t="s">
        <v>561</v>
      </c>
      <c r="D48" t="s">
        <v>395</v>
      </c>
      <c r="E48" t="s">
        <v>482</v>
      </c>
      <c r="F48" t="s">
        <v>471</v>
      </c>
      <c r="G48" t="s">
        <v>352</v>
      </c>
      <c r="H48" s="48">
        <v>0.5181</v>
      </c>
      <c r="I48" s="48"/>
      <c r="J48" s="7"/>
      <c r="K48" s="7"/>
      <c r="L48" s="7"/>
    </row>
    <row r="49" spans="2:14" hidden="1">
      <c r="B49" t="s">
        <v>562</v>
      </c>
      <c r="C49" t="s">
        <v>563</v>
      </c>
      <c r="D49" t="s">
        <v>395</v>
      </c>
      <c r="E49" t="s">
        <v>482</v>
      </c>
      <c r="F49" t="s">
        <v>461</v>
      </c>
      <c r="G49" t="s">
        <v>185</v>
      </c>
      <c r="H49" s="48">
        <v>0</v>
      </c>
      <c r="I49" s="48"/>
      <c r="N49" t="s">
        <v>564</v>
      </c>
    </row>
    <row r="50" spans="2:14" hidden="1">
      <c r="B50" t="s">
        <v>565</v>
      </c>
      <c r="C50" t="s">
        <v>566</v>
      </c>
      <c r="D50" t="s">
        <v>395</v>
      </c>
      <c r="E50" t="s">
        <v>482</v>
      </c>
      <c r="F50" t="s">
        <v>501</v>
      </c>
      <c r="G50" t="s">
        <v>193</v>
      </c>
      <c r="H50" s="48">
        <v>0</v>
      </c>
      <c r="I50" s="48"/>
      <c r="N50" t="s">
        <v>567</v>
      </c>
    </row>
    <row r="51" spans="2:14" hidden="1">
      <c r="B51" t="s">
        <v>525</v>
      </c>
      <c r="C51" t="s">
        <v>563</v>
      </c>
      <c r="D51" t="s">
        <v>395</v>
      </c>
      <c r="E51" t="s">
        <v>482</v>
      </c>
      <c r="F51" t="s">
        <v>461</v>
      </c>
      <c r="G51" t="s">
        <v>185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236</v>
      </c>
      <c r="C52" t="s">
        <v>568</v>
      </c>
      <c r="D52" t="s">
        <v>237</v>
      </c>
      <c r="E52" t="s">
        <v>482</v>
      </c>
      <c r="F52" t="s">
        <v>461</v>
      </c>
      <c r="G52" t="s">
        <v>185</v>
      </c>
      <c r="H52" s="48">
        <v>1</v>
      </c>
      <c r="I52" s="48"/>
      <c r="N52" t="s">
        <v>569</v>
      </c>
    </row>
    <row r="53" spans="2:14" hidden="1">
      <c r="B53" t="s">
        <v>570</v>
      </c>
      <c r="C53" t="s">
        <v>571</v>
      </c>
      <c r="D53" t="s">
        <v>237</v>
      </c>
      <c r="E53" t="s">
        <v>482</v>
      </c>
      <c r="F53" t="s">
        <v>464</v>
      </c>
      <c r="G53" t="s">
        <v>199</v>
      </c>
      <c r="H53" s="48">
        <v>0</v>
      </c>
      <c r="I53" s="48"/>
      <c r="N53" t="s">
        <v>572</v>
      </c>
    </row>
    <row r="54" spans="2:14" hidden="1">
      <c r="B54" t="s">
        <v>238</v>
      </c>
      <c r="C54" t="s">
        <v>573</v>
      </c>
      <c r="D54" t="s">
        <v>239</v>
      </c>
      <c r="E54" t="s">
        <v>482</v>
      </c>
      <c r="F54" t="s">
        <v>461</v>
      </c>
      <c r="G54" t="s">
        <v>185</v>
      </c>
      <c r="H54" s="48">
        <v>1</v>
      </c>
      <c r="I54" s="48"/>
      <c r="N54" t="s">
        <v>574</v>
      </c>
    </row>
    <row r="55" spans="2:14" hidden="1">
      <c r="B55" t="s">
        <v>575</v>
      </c>
      <c r="C55" t="s">
        <v>576</v>
      </c>
      <c r="D55" t="s">
        <v>245</v>
      </c>
      <c r="E55" t="s">
        <v>577</v>
      </c>
      <c r="F55" t="s">
        <v>468</v>
      </c>
      <c r="G55" t="s">
        <v>204</v>
      </c>
      <c r="H55" s="48">
        <v>0</v>
      </c>
      <c r="I55" s="48"/>
      <c r="N55" t="s">
        <v>578</v>
      </c>
    </row>
    <row r="56" spans="2:14" hidden="1">
      <c r="B56" t="s">
        <v>579</v>
      </c>
      <c r="C56" t="s">
        <v>580</v>
      </c>
      <c r="D56" t="s">
        <v>245</v>
      </c>
      <c r="E56" t="s">
        <v>577</v>
      </c>
      <c r="F56" t="s">
        <v>464</v>
      </c>
      <c r="G56" t="s">
        <v>199</v>
      </c>
      <c r="H56" s="48">
        <v>0</v>
      </c>
      <c r="I56" s="48"/>
      <c r="N56" t="s">
        <v>412</v>
      </c>
    </row>
    <row r="57" spans="2:14" hidden="1">
      <c r="B57" t="s">
        <v>581</v>
      </c>
      <c r="C57" t="s">
        <v>582</v>
      </c>
      <c r="D57" t="s">
        <v>245</v>
      </c>
      <c r="E57" t="s">
        <v>577</v>
      </c>
      <c r="F57" t="s">
        <v>461</v>
      </c>
      <c r="G57" t="s">
        <v>185</v>
      </c>
      <c r="H57" s="48">
        <v>1</v>
      </c>
      <c r="I57" s="48"/>
      <c r="N57" t="s">
        <v>583</v>
      </c>
    </row>
    <row r="58" spans="2:14" hidden="1">
      <c r="B58" t="s">
        <v>584</v>
      </c>
      <c r="C58" t="s">
        <v>582</v>
      </c>
      <c r="D58" t="s">
        <v>245</v>
      </c>
      <c r="E58" t="s">
        <v>577</v>
      </c>
      <c r="F58" t="s">
        <v>461</v>
      </c>
      <c r="G58" t="s">
        <v>185</v>
      </c>
      <c r="H58" s="48">
        <v>0</v>
      </c>
      <c r="I58" s="48"/>
      <c r="N58" t="s">
        <v>416</v>
      </c>
    </row>
    <row r="59" spans="2:14" hidden="1">
      <c r="B59" t="s">
        <v>585</v>
      </c>
      <c r="C59" t="s">
        <v>586</v>
      </c>
      <c r="D59" t="s">
        <v>247</v>
      </c>
      <c r="E59" t="s">
        <v>577</v>
      </c>
      <c r="F59" t="s">
        <v>466</v>
      </c>
      <c r="G59" t="s">
        <v>202</v>
      </c>
      <c r="H59" s="48">
        <v>0</v>
      </c>
      <c r="I59" s="48"/>
    </row>
    <row r="60" spans="2:14" hidden="1">
      <c r="B60" t="s">
        <v>246</v>
      </c>
      <c r="C60" t="s">
        <v>587</v>
      </c>
      <c r="D60" t="s">
        <v>247</v>
      </c>
      <c r="E60" t="s">
        <v>577</v>
      </c>
      <c r="F60" t="s">
        <v>461</v>
      </c>
      <c r="G60" t="s">
        <v>185</v>
      </c>
      <c r="H60" s="48">
        <v>1</v>
      </c>
      <c r="I60" s="48"/>
    </row>
    <row r="61" spans="2:14">
      <c r="B61" t="s">
        <v>527</v>
      </c>
      <c r="C61" t="s">
        <v>588</v>
      </c>
      <c r="D61" t="s">
        <v>589</v>
      </c>
      <c r="E61" t="s">
        <v>577</v>
      </c>
      <c r="F61" t="s">
        <v>466</v>
      </c>
      <c r="G61" t="s">
        <v>202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590</v>
      </c>
      <c r="C62" t="s">
        <v>591</v>
      </c>
      <c r="D62" t="s">
        <v>589</v>
      </c>
      <c r="E62" t="s">
        <v>577</v>
      </c>
      <c r="F62" t="s">
        <v>461</v>
      </c>
      <c r="G62" t="s">
        <v>185</v>
      </c>
      <c r="H62" s="48">
        <v>6.9400000000000003E-2</v>
      </c>
      <c r="I62" s="48"/>
    </row>
    <row r="63" spans="2:14">
      <c r="B63" t="s">
        <v>531</v>
      </c>
      <c r="C63" t="s">
        <v>592</v>
      </c>
      <c r="D63" t="s">
        <v>589</v>
      </c>
      <c r="E63" t="s">
        <v>577</v>
      </c>
      <c r="F63" t="s">
        <v>496</v>
      </c>
      <c r="G63" t="s">
        <v>188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301</v>
      </c>
      <c r="C64" t="s">
        <v>593</v>
      </c>
      <c r="D64" t="s">
        <v>594</v>
      </c>
      <c r="E64" t="s">
        <v>577</v>
      </c>
      <c r="F64" t="s">
        <v>501</v>
      </c>
      <c r="G64" t="s">
        <v>193</v>
      </c>
      <c r="H64" s="48">
        <v>0</v>
      </c>
      <c r="I64" s="48"/>
    </row>
    <row r="65" spans="2:12" hidden="1">
      <c r="B65" t="s">
        <v>273</v>
      </c>
      <c r="C65" t="s">
        <v>595</v>
      </c>
      <c r="D65" t="s">
        <v>594</v>
      </c>
      <c r="E65" t="s">
        <v>577</v>
      </c>
      <c r="F65" t="s">
        <v>596</v>
      </c>
      <c r="G65" t="s">
        <v>350</v>
      </c>
      <c r="H65" s="48">
        <v>0</v>
      </c>
      <c r="I65" s="48"/>
    </row>
    <row r="66" spans="2:12" hidden="1">
      <c r="B66" t="s">
        <v>282</v>
      </c>
      <c r="C66" t="s">
        <v>597</v>
      </c>
      <c r="D66" t="s">
        <v>594</v>
      </c>
      <c r="E66" t="s">
        <v>577</v>
      </c>
      <c r="F66" t="s">
        <v>461</v>
      </c>
      <c r="G66" t="s">
        <v>185</v>
      </c>
      <c r="H66" s="48">
        <v>0</v>
      </c>
      <c r="I66" s="48"/>
      <c r="J66" s="7"/>
      <c r="K66" s="7"/>
      <c r="L66" s="7"/>
    </row>
    <row r="67" spans="2:12" hidden="1">
      <c r="B67" t="s">
        <v>598</v>
      </c>
      <c r="C67" t="s">
        <v>599</v>
      </c>
      <c r="D67" t="s">
        <v>594</v>
      </c>
      <c r="E67" t="s">
        <v>577</v>
      </c>
      <c r="F67" t="s">
        <v>600</v>
      </c>
      <c r="G67" t="s">
        <v>209</v>
      </c>
      <c r="H67" s="48">
        <v>0</v>
      </c>
      <c r="I67" s="48"/>
    </row>
    <row r="68" spans="2:12" hidden="1">
      <c r="B68" t="s">
        <v>601</v>
      </c>
      <c r="C68" t="s">
        <v>602</v>
      </c>
      <c r="D68" t="s">
        <v>594</v>
      </c>
      <c r="E68" t="s">
        <v>577</v>
      </c>
      <c r="F68" t="s">
        <v>464</v>
      </c>
      <c r="G68" t="s">
        <v>199</v>
      </c>
      <c r="H68" s="48">
        <v>0</v>
      </c>
      <c r="I68" s="48"/>
    </row>
    <row r="69" spans="2:12" hidden="1">
      <c r="B69" t="s">
        <v>603</v>
      </c>
      <c r="C69" t="s">
        <v>604</v>
      </c>
      <c r="D69" t="s">
        <v>594</v>
      </c>
      <c r="E69" t="s">
        <v>577</v>
      </c>
      <c r="F69" t="s">
        <v>471</v>
      </c>
      <c r="G69" t="s">
        <v>352</v>
      </c>
      <c r="H69" s="48">
        <v>0</v>
      </c>
      <c r="I69" s="48"/>
    </row>
    <row r="70" spans="2:12">
      <c r="B70" t="s">
        <v>535</v>
      </c>
      <c r="C70" t="s">
        <v>605</v>
      </c>
      <c r="D70" t="s">
        <v>594</v>
      </c>
      <c r="E70" t="s">
        <v>577</v>
      </c>
      <c r="F70" t="s">
        <v>496</v>
      </c>
      <c r="G70" t="s">
        <v>188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287</v>
      </c>
      <c r="C71" t="s">
        <v>606</v>
      </c>
      <c r="D71" t="s">
        <v>594</v>
      </c>
      <c r="E71" t="s">
        <v>577</v>
      </c>
      <c r="F71" t="s">
        <v>466</v>
      </c>
      <c r="G71" t="s">
        <v>202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279</v>
      </c>
      <c r="C72" t="s">
        <v>597</v>
      </c>
      <c r="D72" t="s">
        <v>594</v>
      </c>
      <c r="E72" t="s">
        <v>577</v>
      </c>
      <c r="F72" t="s">
        <v>461</v>
      </c>
      <c r="G72" t="s">
        <v>185</v>
      </c>
      <c r="H72" s="48">
        <v>0</v>
      </c>
      <c r="I72" s="48"/>
    </row>
    <row r="73" spans="2:12" hidden="1">
      <c r="B73" t="s">
        <v>607</v>
      </c>
      <c r="C73" t="s">
        <v>597</v>
      </c>
      <c r="D73" t="s">
        <v>594</v>
      </c>
      <c r="E73" t="s">
        <v>577</v>
      </c>
      <c r="F73" t="s">
        <v>461</v>
      </c>
      <c r="G73" t="s">
        <v>185</v>
      </c>
      <c r="H73" s="48">
        <v>0</v>
      </c>
      <c r="I73" s="48"/>
    </row>
    <row r="74" spans="2:12" hidden="1">
      <c r="B74" t="s">
        <v>608</v>
      </c>
      <c r="C74" t="s">
        <v>597</v>
      </c>
      <c r="D74" t="s">
        <v>594</v>
      </c>
      <c r="E74" t="s">
        <v>577</v>
      </c>
      <c r="F74" t="s">
        <v>461</v>
      </c>
      <c r="G74" t="s">
        <v>185</v>
      </c>
      <c r="H74" s="48">
        <v>0</v>
      </c>
      <c r="I74" s="48"/>
    </row>
    <row r="75" spans="2:12" hidden="1">
      <c r="B75" t="s">
        <v>259</v>
      </c>
      <c r="C75" t="s">
        <v>609</v>
      </c>
      <c r="D75" t="s">
        <v>260</v>
      </c>
      <c r="E75" t="s">
        <v>577</v>
      </c>
      <c r="F75" t="s">
        <v>461</v>
      </c>
      <c r="G75" t="s">
        <v>185</v>
      </c>
      <c r="H75" s="48">
        <v>1</v>
      </c>
      <c r="I75" s="48"/>
    </row>
    <row r="76" spans="2:12" hidden="1">
      <c r="B76" t="s">
        <v>610</v>
      </c>
      <c r="C76" t="s">
        <v>611</v>
      </c>
      <c r="D76" t="s">
        <v>260</v>
      </c>
      <c r="E76" t="s">
        <v>577</v>
      </c>
      <c r="F76" t="s">
        <v>464</v>
      </c>
      <c r="G76" t="s">
        <v>199</v>
      </c>
      <c r="H76" s="48">
        <v>0</v>
      </c>
      <c r="I76" s="48"/>
    </row>
    <row r="77" spans="2:12" hidden="1">
      <c r="B77" t="s">
        <v>261</v>
      </c>
      <c r="C77" t="s">
        <v>612</v>
      </c>
      <c r="D77" t="s">
        <v>262</v>
      </c>
      <c r="E77" t="s">
        <v>577</v>
      </c>
      <c r="F77" t="s">
        <v>461</v>
      </c>
      <c r="G77" t="s">
        <v>185</v>
      </c>
      <c r="H77" s="48">
        <v>1</v>
      </c>
      <c r="I77" s="48"/>
    </row>
    <row r="78" spans="2:12" hidden="1">
      <c r="B78" t="s">
        <v>613</v>
      </c>
      <c r="C78" t="s">
        <v>614</v>
      </c>
      <c r="D78" t="s">
        <v>615</v>
      </c>
      <c r="E78" t="s">
        <v>616</v>
      </c>
      <c r="F78" t="s">
        <v>496</v>
      </c>
      <c r="G78" t="s">
        <v>188</v>
      </c>
      <c r="H78" s="48">
        <v>1</v>
      </c>
      <c r="I78" s="48"/>
    </row>
    <row r="79" spans="2:12" hidden="1">
      <c r="B79" t="s">
        <v>617</v>
      </c>
      <c r="C79" t="s">
        <v>618</v>
      </c>
      <c r="D79" t="s">
        <v>619</v>
      </c>
      <c r="E79" t="s">
        <v>616</v>
      </c>
      <c r="F79" t="s">
        <v>464</v>
      </c>
      <c r="G79" t="s">
        <v>199</v>
      </c>
      <c r="H79" s="48">
        <v>0</v>
      </c>
      <c r="I79" s="48"/>
    </row>
    <row r="80" spans="2:12" hidden="1">
      <c r="B80" t="s">
        <v>620</v>
      </c>
      <c r="C80" t="s">
        <v>621</v>
      </c>
      <c r="D80" t="s">
        <v>619</v>
      </c>
      <c r="E80" t="s">
        <v>616</v>
      </c>
      <c r="F80" t="s">
        <v>461</v>
      </c>
      <c r="G80" t="s">
        <v>185</v>
      </c>
      <c r="H80" s="48">
        <v>1</v>
      </c>
      <c r="I80" s="48"/>
    </row>
    <row r="81" spans="2:12" hidden="1">
      <c r="B81" t="s">
        <v>622</v>
      </c>
      <c r="C81" t="s">
        <v>623</v>
      </c>
      <c r="D81" t="s">
        <v>619</v>
      </c>
      <c r="E81" t="s">
        <v>616</v>
      </c>
      <c r="F81" t="s">
        <v>468</v>
      </c>
      <c r="G81" t="s">
        <v>204</v>
      </c>
      <c r="H81" s="48">
        <v>0</v>
      </c>
      <c r="I81" s="48"/>
    </row>
    <row r="82" spans="2:12" hidden="1">
      <c r="B82" t="s">
        <v>624</v>
      </c>
      <c r="C82" t="s">
        <v>621</v>
      </c>
      <c r="D82" t="s">
        <v>619</v>
      </c>
      <c r="E82" t="s">
        <v>616</v>
      </c>
      <c r="F82" t="s">
        <v>461</v>
      </c>
      <c r="G82" t="s">
        <v>185</v>
      </c>
      <c r="H82" s="48">
        <v>0</v>
      </c>
      <c r="I82" s="48"/>
    </row>
    <row r="83" spans="2:12" hidden="1">
      <c r="B83" t="s">
        <v>264</v>
      </c>
      <c r="C83" t="s">
        <v>625</v>
      </c>
      <c r="D83" t="s">
        <v>265</v>
      </c>
      <c r="E83" t="s">
        <v>616</v>
      </c>
      <c r="F83" t="s">
        <v>496</v>
      </c>
      <c r="G83" t="s">
        <v>188</v>
      </c>
      <c r="H83" s="48">
        <v>0</v>
      </c>
      <c r="I83" s="48"/>
    </row>
    <row r="84" spans="2:12" hidden="1">
      <c r="B84" t="s">
        <v>626</v>
      </c>
      <c r="C84" t="s">
        <v>627</v>
      </c>
      <c r="D84" t="s">
        <v>265</v>
      </c>
      <c r="E84" t="s">
        <v>616</v>
      </c>
      <c r="F84" t="s">
        <v>461</v>
      </c>
      <c r="G84" t="s">
        <v>185</v>
      </c>
      <c r="H84" s="48">
        <v>0.73729999999999996</v>
      </c>
      <c r="I84" s="48"/>
    </row>
    <row r="85" spans="2:12">
      <c r="B85" t="s">
        <v>267</v>
      </c>
      <c r="C85" t="s">
        <v>628</v>
      </c>
      <c r="D85" t="s">
        <v>265</v>
      </c>
      <c r="E85" t="s">
        <v>616</v>
      </c>
      <c r="F85" t="s">
        <v>466</v>
      </c>
      <c r="G85" t="s">
        <v>202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629</v>
      </c>
      <c r="C86" t="s">
        <v>630</v>
      </c>
      <c r="D86" t="s">
        <v>265</v>
      </c>
      <c r="E86" t="s">
        <v>616</v>
      </c>
      <c r="F86" t="s">
        <v>501</v>
      </c>
      <c r="G86" t="s">
        <v>193</v>
      </c>
      <c r="H86" s="48">
        <v>0</v>
      </c>
      <c r="I86" s="48"/>
    </row>
    <row r="87" spans="2:12" hidden="1">
      <c r="B87" t="s">
        <v>631</v>
      </c>
      <c r="C87" t="s">
        <v>632</v>
      </c>
      <c r="D87" t="s">
        <v>265</v>
      </c>
      <c r="E87" t="s">
        <v>616</v>
      </c>
      <c r="F87" t="s">
        <v>471</v>
      </c>
      <c r="G87" t="s">
        <v>352</v>
      </c>
      <c r="H87" s="48">
        <v>0</v>
      </c>
      <c r="I87" s="48"/>
    </row>
    <row r="88" spans="2:12" hidden="1">
      <c r="B88" t="s">
        <v>633</v>
      </c>
      <c r="C88" t="s">
        <v>634</v>
      </c>
      <c r="D88" t="s">
        <v>278</v>
      </c>
      <c r="E88" t="s">
        <v>635</v>
      </c>
      <c r="F88" t="s">
        <v>464</v>
      </c>
      <c r="G88" t="s">
        <v>199</v>
      </c>
      <c r="H88" s="48">
        <v>0</v>
      </c>
      <c r="I88" s="48"/>
    </row>
    <row r="89" spans="2:12" hidden="1">
      <c r="B89" t="s">
        <v>636</v>
      </c>
      <c r="C89" t="s">
        <v>637</v>
      </c>
      <c r="D89" t="s">
        <v>278</v>
      </c>
      <c r="E89" t="s">
        <v>635</v>
      </c>
      <c r="F89" t="s">
        <v>461</v>
      </c>
      <c r="G89" t="s">
        <v>185</v>
      </c>
      <c r="H89" s="48">
        <v>1</v>
      </c>
      <c r="I89" s="48"/>
    </row>
    <row r="90" spans="2:12" hidden="1">
      <c r="B90" t="s">
        <v>638</v>
      </c>
      <c r="C90" t="s">
        <v>639</v>
      </c>
      <c r="D90" t="s">
        <v>278</v>
      </c>
      <c r="E90" t="s">
        <v>635</v>
      </c>
      <c r="F90" t="s">
        <v>468</v>
      </c>
      <c r="G90" t="s">
        <v>204</v>
      </c>
      <c r="H90" s="48">
        <v>0</v>
      </c>
      <c r="I90" s="48"/>
    </row>
    <row r="91" spans="2:12" hidden="1">
      <c r="B91" t="s">
        <v>640</v>
      </c>
      <c r="C91" t="s">
        <v>637</v>
      </c>
      <c r="D91" t="s">
        <v>278</v>
      </c>
      <c r="E91" t="s">
        <v>635</v>
      </c>
      <c r="F91" t="s">
        <v>461</v>
      </c>
      <c r="G91" t="s">
        <v>185</v>
      </c>
      <c r="H91" s="48">
        <v>0</v>
      </c>
      <c r="I91" s="48"/>
    </row>
    <row r="92" spans="2:12">
      <c r="B92" t="s">
        <v>641</v>
      </c>
      <c r="C92" t="s">
        <v>642</v>
      </c>
      <c r="D92" t="s">
        <v>643</v>
      </c>
      <c r="E92" t="s">
        <v>635</v>
      </c>
      <c r="F92" t="s">
        <v>466</v>
      </c>
      <c r="G92" t="s">
        <v>202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644</v>
      </c>
      <c r="C93" t="s">
        <v>645</v>
      </c>
      <c r="D93" t="s">
        <v>643</v>
      </c>
      <c r="E93" t="s">
        <v>635</v>
      </c>
      <c r="F93" t="s">
        <v>496</v>
      </c>
      <c r="G93" t="s">
        <v>188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646</v>
      </c>
      <c r="C94" t="s">
        <v>647</v>
      </c>
      <c r="D94" t="s">
        <v>643</v>
      </c>
      <c r="E94" t="s">
        <v>635</v>
      </c>
      <c r="F94" t="s">
        <v>461</v>
      </c>
      <c r="G94" t="s">
        <v>185</v>
      </c>
      <c r="H94" s="48">
        <v>0</v>
      </c>
      <c r="I94" s="48"/>
      <c r="J94" s="7"/>
      <c r="K94" s="7"/>
      <c r="L94" s="7"/>
    </row>
    <row r="95" spans="2:12" hidden="1">
      <c r="B95" t="s">
        <v>648</v>
      </c>
      <c r="C95" t="s">
        <v>649</v>
      </c>
      <c r="D95" t="s">
        <v>643</v>
      </c>
      <c r="E95" t="s">
        <v>635</v>
      </c>
      <c r="F95" t="s">
        <v>464</v>
      </c>
      <c r="G95" t="s">
        <v>199</v>
      </c>
      <c r="H95" s="48">
        <v>0</v>
      </c>
      <c r="I95" s="48"/>
    </row>
    <row r="96" spans="2:12" hidden="1">
      <c r="B96" t="s">
        <v>650</v>
      </c>
      <c r="C96" t="s">
        <v>651</v>
      </c>
      <c r="D96" t="s">
        <v>643</v>
      </c>
      <c r="E96" t="s">
        <v>635</v>
      </c>
      <c r="F96" t="s">
        <v>501</v>
      </c>
      <c r="G96" t="s">
        <v>193</v>
      </c>
      <c r="H96" s="48">
        <v>2.0899999999999998E-2</v>
      </c>
      <c r="I96" s="48"/>
    </row>
    <row r="97" spans="2:12" hidden="1">
      <c r="B97" t="s">
        <v>652</v>
      </c>
      <c r="C97" t="s">
        <v>647</v>
      </c>
      <c r="D97" t="s">
        <v>643</v>
      </c>
      <c r="E97" t="s">
        <v>635</v>
      </c>
      <c r="F97" t="s">
        <v>461</v>
      </c>
      <c r="G97" t="s">
        <v>185</v>
      </c>
      <c r="H97" s="48">
        <v>0</v>
      </c>
      <c r="I97" s="48"/>
    </row>
    <row r="98" spans="2:12" hidden="1">
      <c r="B98" t="s">
        <v>653</v>
      </c>
      <c r="C98" t="s">
        <v>654</v>
      </c>
      <c r="D98" t="s">
        <v>655</v>
      </c>
      <c r="E98" t="s">
        <v>635</v>
      </c>
      <c r="F98" t="s">
        <v>466</v>
      </c>
      <c r="G98" t="s">
        <v>202</v>
      </c>
      <c r="H98" s="48">
        <v>0</v>
      </c>
      <c r="I98" s="48"/>
    </row>
    <row r="99" spans="2:12" hidden="1">
      <c r="B99" t="s">
        <v>656</v>
      </c>
      <c r="C99" t="s">
        <v>657</v>
      </c>
      <c r="D99" t="s">
        <v>655</v>
      </c>
      <c r="E99" t="s">
        <v>635</v>
      </c>
      <c r="F99" t="s">
        <v>461</v>
      </c>
      <c r="G99" t="s">
        <v>185</v>
      </c>
      <c r="H99" s="48">
        <v>1</v>
      </c>
      <c r="I99" s="48"/>
    </row>
    <row r="100" spans="2:12" hidden="1">
      <c r="B100" t="s">
        <v>290</v>
      </c>
      <c r="C100" t="s">
        <v>658</v>
      </c>
      <c r="D100" t="s">
        <v>291</v>
      </c>
      <c r="E100" t="s">
        <v>635</v>
      </c>
      <c r="F100" t="s">
        <v>461</v>
      </c>
      <c r="G100" t="s">
        <v>185</v>
      </c>
      <c r="H100" s="48">
        <v>1</v>
      </c>
      <c r="I100" s="48"/>
    </row>
    <row r="101" spans="2:12" hidden="1">
      <c r="B101" t="s">
        <v>659</v>
      </c>
      <c r="C101" t="s">
        <v>660</v>
      </c>
      <c r="D101" t="s">
        <v>295</v>
      </c>
      <c r="E101" t="s">
        <v>661</v>
      </c>
      <c r="F101" t="s">
        <v>464</v>
      </c>
      <c r="G101" t="s">
        <v>199</v>
      </c>
      <c r="H101" s="48">
        <v>0</v>
      </c>
      <c r="I101" s="48"/>
    </row>
    <row r="102" spans="2:12" hidden="1">
      <c r="B102" t="s">
        <v>662</v>
      </c>
      <c r="C102" t="s">
        <v>663</v>
      </c>
      <c r="D102" t="s">
        <v>295</v>
      </c>
      <c r="E102" t="s">
        <v>661</v>
      </c>
      <c r="F102" t="s">
        <v>461</v>
      </c>
      <c r="G102" t="s">
        <v>185</v>
      </c>
      <c r="H102" s="48">
        <v>1</v>
      </c>
      <c r="I102" s="48"/>
    </row>
    <row r="103" spans="2:12" hidden="1">
      <c r="B103" t="s">
        <v>664</v>
      </c>
      <c r="C103" t="s">
        <v>665</v>
      </c>
      <c r="D103" t="s">
        <v>295</v>
      </c>
      <c r="E103" t="s">
        <v>661</v>
      </c>
      <c r="F103" t="s">
        <v>468</v>
      </c>
      <c r="G103" t="s">
        <v>204</v>
      </c>
      <c r="H103" s="48">
        <v>0</v>
      </c>
      <c r="I103" s="48"/>
    </row>
    <row r="104" spans="2:12" hidden="1">
      <c r="B104" t="s">
        <v>666</v>
      </c>
      <c r="C104" t="s">
        <v>663</v>
      </c>
      <c r="D104" t="s">
        <v>295</v>
      </c>
      <c r="E104" t="s">
        <v>661</v>
      </c>
      <c r="F104" t="s">
        <v>461</v>
      </c>
      <c r="G104" t="s">
        <v>185</v>
      </c>
      <c r="H104" s="48">
        <v>0</v>
      </c>
      <c r="I104" s="48"/>
    </row>
    <row r="105" spans="2:12" hidden="1">
      <c r="B105" t="s">
        <v>296</v>
      </c>
      <c r="C105" t="s">
        <v>667</v>
      </c>
      <c r="D105" t="s">
        <v>297</v>
      </c>
      <c r="E105" t="s">
        <v>661</v>
      </c>
      <c r="F105" t="s">
        <v>461</v>
      </c>
      <c r="G105" t="s">
        <v>185</v>
      </c>
      <c r="H105" s="48">
        <v>3.3000000000000002E-2</v>
      </c>
      <c r="I105" s="48"/>
    </row>
    <row r="106" spans="2:12" hidden="1">
      <c r="B106" t="s">
        <v>668</v>
      </c>
      <c r="C106" t="s">
        <v>669</v>
      </c>
      <c r="D106" t="s">
        <v>297</v>
      </c>
      <c r="E106" t="s">
        <v>661</v>
      </c>
      <c r="F106" t="s">
        <v>496</v>
      </c>
      <c r="G106" t="s">
        <v>188</v>
      </c>
      <c r="H106" s="48">
        <v>0</v>
      </c>
      <c r="I106" s="48"/>
    </row>
    <row r="107" spans="2:12" hidden="1">
      <c r="B107" t="s">
        <v>298</v>
      </c>
      <c r="C107" t="s">
        <v>670</v>
      </c>
      <c r="D107" t="s">
        <v>297</v>
      </c>
      <c r="E107" t="s">
        <v>661</v>
      </c>
      <c r="F107" t="s">
        <v>466</v>
      </c>
      <c r="G107" t="s">
        <v>202</v>
      </c>
      <c r="H107" s="48">
        <v>0.80559999999999998</v>
      </c>
      <c r="I107" s="48"/>
    </row>
    <row r="108" spans="2:12" hidden="1">
      <c r="B108" t="s">
        <v>671</v>
      </c>
      <c r="C108" t="s">
        <v>672</v>
      </c>
      <c r="D108" t="s">
        <v>297</v>
      </c>
      <c r="E108" t="s">
        <v>661</v>
      </c>
      <c r="F108" t="s">
        <v>501</v>
      </c>
      <c r="G108" t="s">
        <v>193</v>
      </c>
      <c r="H108" s="48">
        <v>0</v>
      </c>
      <c r="I108" s="48"/>
    </row>
    <row r="109" spans="2:12">
      <c r="B109" t="s">
        <v>546</v>
      </c>
      <c r="C109" t="s">
        <v>673</v>
      </c>
      <c r="D109" t="s">
        <v>297</v>
      </c>
      <c r="E109" t="s">
        <v>661</v>
      </c>
      <c r="F109" t="s">
        <v>600</v>
      </c>
      <c r="G109" t="s">
        <v>209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674</v>
      </c>
      <c r="C110" t="s">
        <v>675</v>
      </c>
      <c r="D110" t="s">
        <v>297</v>
      </c>
      <c r="E110" t="s">
        <v>661</v>
      </c>
      <c r="F110" t="s">
        <v>471</v>
      </c>
      <c r="G110" t="s">
        <v>352</v>
      </c>
      <c r="H110" s="48">
        <v>0</v>
      </c>
      <c r="I110" s="48"/>
    </row>
    <row r="111" spans="2:12" hidden="1">
      <c r="B111" t="s">
        <v>676</v>
      </c>
      <c r="C111" t="s">
        <v>677</v>
      </c>
      <c r="D111" t="s">
        <v>678</v>
      </c>
      <c r="E111" t="s">
        <v>661</v>
      </c>
      <c r="F111" t="s">
        <v>461</v>
      </c>
      <c r="G111" t="s">
        <v>185</v>
      </c>
      <c r="H111" s="48">
        <v>1</v>
      </c>
      <c r="I111" s="48"/>
    </row>
    <row r="112" spans="2:12" hidden="1">
      <c r="B112" t="s">
        <v>679</v>
      </c>
      <c r="C112" t="s">
        <v>680</v>
      </c>
      <c r="D112" t="s">
        <v>681</v>
      </c>
      <c r="E112" t="s">
        <v>661</v>
      </c>
      <c r="F112" t="s">
        <v>466</v>
      </c>
      <c r="G112" t="s">
        <v>202</v>
      </c>
      <c r="H112" s="48">
        <v>1</v>
      </c>
      <c r="I112" s="48"/>
    </row>
    <row r="113" spans="2:12" hidden="1">
      <c r="B113" t="s">
        <v>682</v>
      </c>
      <c r="C113" t="s">
        <v>683</v>
      </c>
      <c r="D113" t="s">
        <v>681</v>
      </c>
      <c r="E113" t="s">
        <v>661</v>
      </c>
      <c r="F113" t="s">
        <v>461</v>
      </c>
      <c r="G113" t="s">
        <v>185</v>
      </c>
      <c r="H113" s="48">
        <v>0</v>
      </c>
      <c r="I113" s="48"/>
    </row>
    <row r="114" spans="2:12" hidden="1">
      <c r="B114" t="s">
        <v>304</v>
      </c>
      <c r="C114" t="s">
        <v>684</v>
      </c>
      <c r="D114" t="s">
        <v>306</v>
      </c>
      <c r="E114" t="s">
        <v>685</v>
      </c>
      <c r="F114" t="s">
        <v>466</v>
      </c>
      <c r="G114" t="s">
        <v>202</v>
      </c>
      <c r="H114" s="48">
        <v>1</v>
      </c>
      <c r="I114" s="48"/>
    </row>
    <row r="115" spans="2:12" hidden="1">
      <c r="B115" t="s">
        <v>686</v>
      </c>
      <c r="C115" t="s">
        <v>687</v>
      </c>
      <c r="D115" t="s">
        <v>688</v>
      </c>
      <c r="E115" t="s">
        <v>685</v>
      </c>
      <c r="F115" t="s">
        <v>466</v>
      </c>
      <c r="G115" t="s">
        <v>202</v>
      </c>
      <c r="H115" s="48">
        <v>1</v>
      </c>
      <c r="I115" s="48"/>
    </row>
    <row r="116" spans="2:12" hidden="1">
      <c r="B116" t="s">
        <v>689</v>
      </c>
      <c r="C116" t="s">
        <v>690</v>
      </c>
      <c r="D116" t="s">
        <v>312</v>
      </c>
      <c r="E116" t="s">
        <v>691</v>
      </c>
      <c r="F116" t="s">
        <v>461</v>
      </c>
      <c r="G116" t="s">
        <v>185</v>
      </c>
      <c r="H116" s="48">
        <v>1</v>
      </c>
      <c r="I116" s="48"/>
    </row>
    <row r="117" spans="2:12" hidden="1">
      <c r="B117" t="s">
        <v>692</v>
      </c>
      <c r="C117" t="s">
        <v>693</v>
      </c>
      <c r="D117" t="s">
        <v>312</v>
      </c>
      <c r="E117" t="s">
        <v>691</v>
      </c>
      <c r="F117" t="s">
        <v>468</v>
      </c>
      <c r="G117" t="s">
        <v>204</v>
      </c>
      <c r="H117" s="48">
        <v>0</v>
      </c>
      <c r="I117" s="48"/>
    </row>
    <row r="118" spans="2:12" hidden="1">
      <c r="B118" t="s">
        <v>694</v>
      </c>
      <c r="C118" t="s">
        <v>695</v>
      </c>
      <c r="D118" t="s">
        <v>312</v>
      </c>
      <c r="E118" t="s">
        <v>691</v>
      </c>
      <c r="F118" t="s">
        <v>464</v>
      </c>
      <c r="G118" t="s">
        <v>199</v>
      </c>
      <c r="H118" s="48">
        <v>0</v>
      </c>
      <c r="I118" s="48"/>
    </row>
    <row r="119" spans="2:12" hidden="1">
      <c r="B119" t="s">
        <v>696</v>
      </c>
      <c r="C119" t="s">
        <v>690</v>
      </c>
      <c r="D119" t="s">
        <v>312</v>
      </c>
      <c r="E119" t="s">
        <v>691</v>
      </c>
      <c r="F119" t="s">
        <v>461</v>
      </c>
      <c r="G119" t="s">
        <v>185</v>
      </c>
      <c r="H119" s="48">
        <v>0</v>
      </c>
      <c r="I119" s="48"/>
    </row>
    <row r="120" spans="2:12" hidden="1">
      <c r="B120" t="s">
        <v>313</v>
      </c>
      <c r="C120" t="s">
        <v>697</v>
      </c>
      <c r="D120" t="s">
        <v>314</v>
      </c>
      <c r="E120" t="s">
        <v>691</v>
      </c>
      <c r="F120" t="s">
        <v>461</v>
      </c>
      <c r="G120" t="s">
        <v>185</v>
      </c>
      <c r="H120" s="48">
        <v>3.49E-2</v>
      </c>
      <c r="I120" s="48"/>
    </row>
    <row r="121" spans="2:12">
      <c r="B121" t="s">
        <v>549</v>
      </c>
      <c r="C121" t="s">
        <v>698</v>
      </c>
      <c r="D121" t="s">
        <v>314</v>
      </c>
      <c r="E121" t="s">
        <v>691</v>
      </c>
      <c r="F121" t="s">
        <v>496</v>
      </c>
      <c r="G121" t="s">
        <v>188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315</v>
      </c>
      <c r="C122" t="s">
        <v>699</v>
      </c>
      <c r="D122" t="s">
        <v>314</v>
      </c>
      <c r="E122" t="s">
        <v>691</v>
      </c>
      <c r="F122" t="s">
        <v>466</v>
      </c>
      <c r="G122" t="s">
        <v>202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700</v>
      </c>
      <c r="C123" t="s">
        <v>701</v>
      </c>
      <c r="D123" t="s">
        <v>314</v>
      </c>
      <c r="E123" t="s">
        <v>691</v>
      </c>
      <c r="F123" t="s">
        <v>501</v>
      </c>
      <c r="G123" t="s">
        <v>193</v>
      </c>
      <c r="H123" s="48">
        <v>0.1042</v>
      </c>
      <c r="I123" s="48"/>
    </row>
    <row r="124" spans="2:12" hidden="1">
      <c r="B124" t="s">
        <v>702</v>
      </c>
      <c r="C124" t="s">
        <v>703</v>
      </c>
      <c r="D124" t="s">
        <v>314</v>
      </c>
      <c r="E124" t="s">
        <v>691</v>
      </c>
      <c r="F124" t="s">
        <v>471</v>
      </c>
      <c r="G124" t="s">
        <v>352</v>
      </c>
      <c r="H124" s="48">
        <v>0</v>
      </c>
      <c r="I124" s="48"/>
    </row>
    <row r="125" spans="2:12" hidden="1">
      <c r="B125" t="s">
        <v>704</v>
      </c>
      <c r="C125" t="s">
        <v>705</v>
      </c>
      <c r="D125" t="s">
        <v>706</v>
      </c>
      <c r="E125" t="s">
        <v>691</v>
      </c>
      <c r="F125" t="s">
        <v>466</v>
      </c>
      <c r="G125" t="s">
        <v>202</v>
      </c>
      <c r="H125" s="48">
        <v>1</v>
      </c>
      <c r="I125" s="48"/>
    </row>
    <row r="126" spans="2:12" hidden="1">
      <c r="B126" t="s">
        <v>707</v>
      </c>
      <c r="C126" t="s">
        <v>708</v>
      </c>
      <c r="D126" t="s">
        <v>706</v>
      </c>
      <c r="E126" t="s">
        <v>691</v>
      </c>
      <c r="F126" t="s">
        <v>464</v>
      </c>
      <c r="G126" t="s">
        <v>199</v>
      </c>
      <c r="H126" s="48">
        <v>0</v>
      </c>
      <c r="I126" s="48"/>
    </row>
    <row r="127" spans="2:12" hidden="1">
      <c r="B127" t="s">
        <v>554</v>
      </c>
      <c r="C127" t="s">
        <v>709</v>
      </c>
      <c r="D127" t="s">
        <v>706</v>
      </c>
      <c r="E127" t="s">
        <v>691</v>
      </c>
      <c r="F127" t="s">
        <v>461</v>
      </c>
      <c r="G127" t="s">
        <v>185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710</v>
      </c>
      <c r="C128" t="s">
        <v>711</v>
      </c>
      <c r="D128" t="s">
        <v>706</v>
      </c>
      <c r="E128" t="s">
        <v>691</v>
      </c>
      <c r="F128" t="s">
        <v>496</v>
      </c>
      <c r="G128" t="s">
        <v>188</v>
      </c>
      <c r="H128" s="48">
        <v>0</v>
      </c>
      <c r="I128" s="48"/>
    </row>
    <row r="129" spans="2:12" hidden="1">
      <c r="B129" t="s">
        <v>712</v>
      </c>
      <c r="C129" t="s">
        <v>713</v>
      </c>
      <c r="D129" t="s">
        <v>706</v>
      </c>
      <c r="E129" t="s">
        <v>691</v>
      </c>
      <c r="F129" t="s">
        <v>471</v>
      </c>
      <c r="G129" t="s">
        <v>352</v>
      </c>
      <c r="H129" s="48">
        <v>0</v>
      </c>
      <c r="I129" s="48"/>
    </row>
    <row r="130" spans="2:12" hidden="1">
      <c r="B130" t="s">
        <v>714</v>
      </c>
      <c r="C130" t="s">
        <v>715</v>
      </c>
      <c r="D130" t="s">
        <v>706</v>
      </c>
      <c r="E130" t="s">
        <v>691</v>
      </c>
      <c r="F130" t="s">
        <v>501</v>
      </c>
      <c r="G130" t="s">
        <v>193</v>
      </c>
      <c r="H130" s="48">
        <v>0</v>
      </c>
      <c r="I130" s="48"/>
    </row>
    <row r="131" spans="2:12" hidden="1">
      <c r="B131" t="s">
        <v>716</v>
      </c>
      <c r="C131" t="s">
        <v>709</v>
      </c>
      <c r="D131" t="s">
        <v>706</v>
      </c>
      <c r="E131" t="s">
        <v>691</v>
      </c>
      <c r="F131" t="s">
        <v>461</v>
      </c>
      <c r="G131" t="s">
        <v>185</v>
      </c>
      <c r="H131" s="48">
        <v>0</v>
      </c>
      <c r="I131" s="48"/>
    </row>
    <row r="132" spans="2:12" hidden="1">
      <c r="B132" t="s">
        <v>326</v>
      </c>
      <c r="C132" t="s">
        <v>717</v>
      </c>
      <c r="D132" t="s">
        <v>325</v>
      </c>
      <c r="E132" t="s">
        <v>718</v>
      </c>
      <c r="F132" t="s">
        <v>468</v>
      </c>
      <c r="G132" t="s">
        <v>204</v>
      </c>
      <c r="H132" s="48">
        <v>0</v>
      </c>
      <c r="I132" s="48"/>
    </row>
    <row r="133" spans="2:12" hidden="1">
      <c r="B133" t="s">
        <v>324</v>
      </c>
      <c r="C133" t="s">
        <v>719</v>
      </c>
      <c r="D133" t="s">
        <v>325</v>
      </c>
      <c r="E133" t="s">
        <v>718</v>
      </c>
      <c r="F133" t="s">
        <v>464</v>
      </c>
      <c r="G133" t="s">
        <v>199</v>
      </c>
      <c r="H133" s="48">
        <v>1</v>
      </c>
      <c r="I133" s="48"/>
    </row>
    <row r="134" spans="2:12" hidden="1">
      <c r="B134" t="s">
        <v>720</v>
      </c>
      <c r="C134" t="s">
        <v>721</v>
      </c>
      <c r="D134" t="s">
        <v>325</v>
      </c>
      <c r="E134" t="s">
        <v>718</v>
      </c>
      <c r="F134" t="s">
        <v>466</v>
      </c>
      <c r="G134" t="s">
        <v>202</v>
      </c>
      <c r="H134" s="48">
        <v>0</v>
      </c>
      <c r="I134" s="48"/>
    </row>
    <row r="135" spans="2:12" hidden="1">
      <c r="B135" t="s">
        <v>722</v>
      </c>
      <c r="C135" t="s">
        <v>723</v>
      </c>
      <c r="D135" t="s">
        <v>328</v>
      </c>
      <c r="E135" t="s">
        <v>718</v>
      </c>
      <c r="F135" t="s">
        <v>461</v>
      </c>
      <c r="G135" t="s">
        <v>185</v>
      </c>
      <c r="H135" s="48">
        <v>0</v>
      </c>
      <c r="I135" s="48"/>
    </row>
    <row r="136" spans="2:12" hidden="1">
      <c r="B136" t="s">
        <v>724</v>
      </c>
      <c r="C136" t="s">
        <v>725</v>
      </c>
      <c r="D136" t="s">
        <v>328</v>
      </c>
      <c r="E136" t="s">
        <v>718</v>
      </c>
      <c r="F136" t="s">
        <v>468</v>
      </c>
      <c r="G136" t="s">
        <v>204</v>
      </c>
      <c r="H136" s="48">
        <v>0</v>
      </c>
      <c r="I136" s="48"/>
    </row>
    <row r="137" spans="2:12" hidden="1">
      <c r="B137" t="s">
        <v>726</v>
      </c>
      <c r="C137" t="s">
        <v>723</v>
      </c>
      <c r="D137" t="s">
        <v>328</v>
      </c>
      <c r="E137" t="s">
        <v>718</v>
      </c>
      <c r="F137" t="s">
        <v>461</v>
      </c>
      <c r="G137" t="s">
        <v>185</v>
      </c>
      <c r="H137" s="48">
        <v>0.91700000000000004</v>
      </c>
      <c r="I137" s="48"/>
    </row>
    <row r="138" spans="2:12" hidden="1">
      <c r="B138" t="s">
        <v>727</v>
      </c>
      <c r="C138" t="s">
        <v>728</v>
      </c>
      <c r="D138" t="s">
        <v>328</v>
      </c>
      <c r="E138" t="s">
        <v>718</v>
      </c>
      <c r="F138" t="s">
        <v>464</v>
      </c>
      <c r="G138" t="s">
        <v>199</v>
      </c>
      <c r="H138" s="48">
        <v>8.3000000000000004E-2</v>
      </c>
      <c r="I138" s="48"/>
    </row>
    <row r="139" spans="2:12" hidden="1">
      <c r="B139" t="s">
        <v>729</v>
      </c>
      <c r="C139" t="s">
        <v>730</v>
      </c>
      <c r="D139" t="s">
        <v>731</v>
      </c>
      <c r="E139" t="s">
        <v>718</v>
      </c>
      <c r="F139" t="s">
        <v>466</v>
      </c>
      <c r="G139" t="s">
        <v>202</v>
      </c>
      <c r="H139" s="48">
        <v>0.84430000000000005</v>
      </c>
      <c r="I139" s="48"/>
    </row>
    <row r="140" spans="2:12" hidden="1">
      <c r="B140" t="s">
        <v>732</v>
      </c>
      <c r="C140" t="s">
        <v>733</v>
      </c>
      <c r="D140" t="s">
        <v>731</v>
      </c>
      <c r="E140" t="s">
        <v>718</v>
      </c>
      <c r="F140" t="s">
        <v>464</v>
      </c>
      <c r="G140" t="s">
        <v>199</v>
      </c>
      <c r="H140" s="48">
        <v>0</v>
      </c>
      <c r="I140" s="48"/>
    </row>
    <row r="141" spans="2:12">
      <c r="B141" t="s">
        <v>557</v>
      </c>
      <c r="C141" t="s">
        <v>734</v>
      </c>
      <c r="D141" t="s">
        <v>731</v>
      </c>
      <c r="E141" t="s">
        <v>718</v>
      </c>
      <c r="F141" t="s">
        <v>600</v>
      </c>
      <c r="G141" t="s">
        <v>209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560</v>
      </c>
      <c r="C142" t="s">
        <v>735</v>
      </c>
      <c r="D142" t="s">
        <v>731</v>
      </c>
      <c r="E142" t="s">
        <v>718</v>
      </c>
      <c r="F142" t="s">
        <v>461</v>
      </c>
      <c r="G142" t="s">
        <v>185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736</v>
      </c>
      <c r="C143" t="s">
        <v>737</v>
      </c>
      <c r="D143" t="s">
        <v>731</v>
      </c>
      <c r="E143" t="s">
        <v>718</v>
      </c>
      <c r="F143" t="s">
        <v>496</v>
      </c>
      <c r="G143" t="s">
        <v>188</v>
      </c>
      <c r="H143" s="48">
        <v>0</v>
      </c>
      <c r="I143" s="48"/>
    </row>
    <row r="144" spans="2:12" hidden="1">
      <c r="B144" t="s">
        <v>738</v>
      </c>
      <c r="C144" t="s">
        <v>739</v>
      </c>
      <c r="D144" t="s">
        <v>731</v>
      </c>
      <c r="E144" t="s">
        <v>718</v>
      </c>
      <c r="F144" t="s">
        <v>471</v>
      </c>
      <c r="G144" t="s">
        <v>352</v>
      </c>
      <c r="H144" s="48">
        <v>0</v>
      </c>
      <c r="I144" s="48"/>
    </row>
    <row r="145" spans="2:9" hidden="1">
      <c r="B145" t="s">
        <v>740</v>
      </c>
      <c r="C145" t="s">
        <v>741</v>
      </c>
      <c r="D145" t="s">
        <v>731</v>
      </c>
      <c r="E145" t="s">
        <v>718</v>
      </c>
      <c r="F145" t="s">
        <v>501</v>
      </c>
      <c r="G145" t="s">
        <v>193</v>
      </c>
      <c r="H145" s="48">
        <v>0</v>
      </c>
      <c r="I145" s="48"/>
    </row>
    <row r="146" spans="2:9" hidden="1">
      <c r="B146" t="s">
        <v>742</v>
      </c>
      <c r="C146" t="s">
        <v>735</v>
      </c>
      <c r="D146" t="s">
        <v>731</v>
      </c>
      <c r="E146" t="s">
        <v>718</v>
      </c>
      <c r="F146" t="s">
        <v>461</v>
      </c>
      <c r="G146" t="s">
        <v>185</v>
      </c>
      <c r="H146" s="48">
        <v>0</v>
      </c>
      <c r="I146" s="48"/>
    </row>
    <row r="147" spans="2:9" hidden="1">
      <c r="B147" t="s">
        <v>743</v>
      </c>
      <c r="C147" t="s">
        <v>744</v>
      </c>
      <c r="D147" t="s">
        <v>745</v>
      </c>
      <c r="E147" t="s">
        <v>746</v>
      </c>
      <c r="F147" t="s">
        <v>461</v>
      </c>
      <c r="G147" t="s">
        <v>185</v>
      </c>
      <c r="H147" s="48">
        <v>1</v>
      </c>
      <c r="I147" s="48"/>
    </row>
    <row r="148" spans="2:9" hidden="1">
      <c r="B148" t="s">
        <v>747</v>
      </c>
      <c r="C148" t="s">
        <v>748</v>
      </c>
      <c r="D148" t="s">
        <v>749</v>
      </c>
      <c r="E148" t="s">
        <v>746</v>
      </c>
      <c r="F148" t="s">
        <v>464</v>
      </c>
      <c r="G148" t="s">
        <v>199</v>
      </c>
      <c r="H148" s="48">
        <v>1</v>
      </c>
      <c r="I148" s="48"/>
    </row>
    <row r="149" spans="2:9" hidden="1">
      <c r="B149" t="s">
        <v>750</v>
      </c>
      <c r="C149" t="s">
        <v>751</v>
      </c>
      <c r="D149" t="s">
        <v>752</v>
      </c>
      <c r="E149" t="s">
        <v>746</v>
      </c>
      <c r="F149" t="s">
        <v>471</v>
      </c>
      <c r="G149" t="s">
        <v>352</v>
      </c>
      <c r="H149" s="48">
        <v>1</v>
      </c>
      <c r="I149" s="48"/>
    </row>
    <row r="150" spans="2:9" hidden="1">
      <c r="B150" t="s">
        <v>753</v>
      </c>
      <c r="C150" t="s">
        <v>754</v>
      </c>
      <c r="D150" t="s">
        <v>755</v>
      </c>
      <c r="E150" t="s">
        <v>746</v>
      </c>
      <c r="F150" t="s">
        <v>496</v>
      </c>
      <c r="G150" t="s">
        <v>188</v>
      </c>
      <c r="H150" s="48">
        <v>1</v>
      </c>
      <c r="I150" s="48"/>
    </row>
    <row r="151" spans="2:9" hidden="1">
      <c r="B151" t="s">
        <v>756</v>
      </c>
      <c r="C151" t="s">
        <v>757</v>
      </c>
      <c r="D151" t="s">
        <v>758</v>
      </c>
      <c r="E151" t="s">
        <v>746</v>
      </c>
      <c r="F151" t="s">
        <v>466</v>
      </c>
      <c r="G151" t="s">
        <v>202</v>
      </c>
      <c r="H151" s="48">
        <v>1</v>
      </c>
      <c r="I151" s="48"/>
    </row>
    <row r="152" spans="2:9" hidden="1">
      <c r="B152" t="s">
        <v>759</v>
      </c>
      <c r="C152" t="s">
        <v>760</v>
      </c>
      <c r="D152" t="s">
        <v>761</v>
      </c>
      <c r="E152" t="s">
        <v>746</v>
      </c>
      <c r="F152" t="s">
        <v>468</v>
      </c>
      <c r="G152" t="s">
        <v>204</v>
      </c>
      <c r="H152" s="48">
        <v>1</v>
      </c>
      <c r="I152" s="48"/>
    </row>
    <row r="153" spans="2:9" hidden="1">
      <c r="B153" t="s">
        <v>762</v>
      </c>
      <c r="C153" t="s">
        <v>763</v>
      </c>
      <c r="D153" t="s">
        <v>764</v>
      </c>
      <c r="E153" t="s">
        <v>746</v>
      </c>
      <c r="F153" t="s">
        <v>596</v>
      </c>
      <c r="G153" t="s">
        <v>350</v>
      </c>
      <c r="H153" s="48">
        <v>1</v>
      </c>
      <c r="I153" s="48"/>
    </row>
    <row r="154" spans="2:9" hidden="1">
      <c r="B154" t="s">
        <v>765</v>
      </c>
      <c r="C154" t="s">
        <v>766</v>
      </c>
      <c r="D154" t="s">
        <v>767</v>
      </c>
      <c r="E154" t="s">
        <v>746</v>
      </c>
      <c r="F154" t="s">
        <v>600</v>
      </c>
      <c r="G154" t="s">
        <v>209</v>
      </c>
      <c r="H154" s="48">
        <v>1</v>
      </c>
      <c r="I154" s="48"/>
    </row>
    <row r="155" spans="2:9" hidden="1">
      <c r="B155" t="s">
        <v>768</v>
      </c>
      <c r="C155" t="s">
        <v>769</v>
      </c>
      <c r="D155" t="s">
        <v>369</v>
      </c>
      <c r="E155" t="s">
        <v>770</v>
      </c>
      <c r="F155" t="s">
        <v>464</v>
      </c>
      <c r="G155" t="s">
        <v>199</v>
      </c>
      <c r="H155" s="48">
        <v>0</v>
      </c>
      <c r="I155" s="48"/>
    </row>
    <row r="156" spans="2:9" hidden="1">
      <c r="B156" t="s">
        <v>771</v>
      </c>
      <c r="C156" t="s">
        <v>772</v>
      </c>
      <c r="D156" t="s">
        <v>369</v>
      </c>
      <c r="E156" t="s">
        <v>770</v>
      </c>
      <c r="F156" t="s">
        <v>461</v>
      </c>
      <c r="G156" t="s">
        <v>185</v>
      </c>
      <c r="H156" s="48">
        <v>0.90990000000000004</v>
      </c>
      <c r="I156" s="48"/>
    </row>
    <row r="157" spans="2:9" hidden="1">
      <c r="B157" t="s">
        <v>773</v>
      </c>
      <c r="C157" t="s">
        <v>774</v>
      </c>
      <c r="D157" t="s">
        <v>369</v>
      </c>
      <c r="E157" t="s">
        <v>770</v>
      </c>
      <c r="F157" t="s">
        <v>468</v>
      </c>
      <c r="G157" t="s">
        <v>204</v>
      </c>
      <c r="H157" s="48">
        <v>0</v>
      </c>
      <c r="I157" s="48"/>
    </row>
    <row r="158" spans="2:9" hidden="1">
      <c r="B158" t="s">
        <v>775</v>
      </c>
      <c r="C158" t="s">
        <v>772</v>
      </c>
      <c r="D158" t="s">
        <v>369</v>
      </c>
      <c r="E158" t="s">
        <v>770</v>
      </c>
      <c r="F158" t="s">
        <v>461</v>
      </c>
      <c r="G158" t="s">
        <v>185</v>
      </c>
      <c r="H158" s="48">
        <v>0</v>
      </c>
      <c r="I158" s="48"/>
    </row>
    <row r="159" spans="2:9" hidden="1">
      <c r="B159" t="s">
        <v>776</v>
      </c>
      <c r="C159" t="s">
        <v>777</v>
      </c>
      <c r="D159" t="s">
        <v>373</v>
      </c>
      <c r="E159" t="s">
        <v>770</v>
      </c>
      <c r="F159" t="s">
        <v>466</v>
      </c>
      <c r="G159" t="s">
        <v>202</v>
      </c>
      <c r="H159" s="48">
        <v>0.45250000000000001</v>
      </c>
      <c r="I159" s="48"/>
    </row>
    <row r="160" spans="2:9" hidden="1">
      <c r="B160" t="s">
        <v>372</v>
      </c>
      <c r="C160" t="s">
        <v>778</v>
      </c>
      <c r="D160" t="s">
        <v>373</v>
      </c>
      <c r="E160" t="s">
        <v>770</v>
      </c>
      <c r="F160" t="s">
        <v>461</v>
      </c>
      <c r="G160" t="s">
        <v>185</v>
      </c>
      <c r="H160" s="48">
        <v>0.54749999999999999</v>
      </c>
      <c r="I160" s="48"/>
    </row>
    <row r="161" spans="2:12" hidden="1">
      <c r="B161" t="s">
        <v>779</v>
      </c>
      <c r="C161" t="s">
        <v>780</v>
      </c>
      <c r="D161" t="s">
        <v>781</v>
      </c>
      <c r="E161" t="s">
        <v>770</v>
      </c>
      <c r="F161" t="s">
        <v>466</v>
      </c>
      <c r="G161" t="s">
        <v>202</v>
      </c>
      <c r="H161" s="48">
        <v>0.95850000000000002</v>
      </c>
      <c r="I161" s="48"/>
    </row>
    <row r="162" spans="2:12" hidden="1">
      <c r="B162" t="s">
        <v>782</v>
      </c>
      <c r="C162" t="s">
        <v>783</v>
      </c>
      <c r="D162" t="s">
        <v>781</v>
      </c>
      <c r="E162" t="s">
        <v>770</v>
      </c>
      <c r="F162" t="s">
        <v>600</v>
      </c>
      <c r="G162" t="s">
        <v>209</v>
      </c>
      <c r="H162" s="48">
        <v>4.1500000000000002E-2</v>
      </c>
      <c r="I162" s="48"/>
    </row>
    <row r="163" spans="2:12" hidden="1">
      <c r="B163" t="s">
        <v>784</v>
      </c>
      <c r="C163" t="s">
        <v>785</v>
      </c>
      <c r="D163" t="s">
        <v>781</v>
      </c>
      <c r="E163" t="s">
        <v>770</v>
      </c>
      <c r="F163" t="s">
        <v>464</v>
      </c>
      <c r="G163" t="s">
        <v>199</v>
      </c>
      <c r="H163" s="48">
        <v>0</v>
      </c>
      <c r="I163" s="48"/>
    </row>
    <row r="164" spans="2:12" hidden="1">
      <c r="B164" t="s">
        <v>786</v>
      </c>
      <c r="C164" t="s">
        <v>787</v>
      </c>
      <c r="D164" t="s">
        <v>781</v>
      </c>
      <c r="E164" t="s">
        <v>770</v>
      </c>
      <c r="F164" t="s">
        <v>461</v>
      </c>
      <c r="G164" t="s">
        <v>185</v>
      </c>
      <c r="H164" s="48">
        <v>0</v>
      </c>
      <c r="I164" s="48"/>
      <c r="J164" s="7"/>
      <c r="K164" s="7"/>
      <c r="L164" s="7"/>
    </row>
    <row r="165" spans="2:12" hidden="1">
      <c r="B165" t="s">
        <v>788</v>
      </c>
      <c r="C165" t="s">
        <v>789</v>
      </c>
      <c r="D165" t="s">
        <v>781</v>
      </c>
      <c r="E165" t="s">
        <v>770</v>
      </c>
      <c r="F165" t="s">
        <v>496</v>
      </c>
      <c r="G165" t="s">
        <v>188</v>
      </c>
      <c r="H165" s="48">
        <v>0</v>
      </c>
      <c r="I165" s="48"/>
    </row>
    <row r="166" spans="2:12" hidden="1">
      <c r="B166" t="s">
        <v>790</v>
      </c>
      <c r="C166" t="s">
        <v>791</v>
      </c>
      <c r="D166" t="s">
        <v>781</v>
      </c>
      <c r="E166" t="s">
        <v>770</v>
      </c>
      <c r="F166" t="s">
        <v>471</v>
      </c>
      <c r="G166" t="s">
        <v>352</v>
      </c>
      <c r="H166" s="48">
        <v>0</v>
      </c>
      <c r="I166" s="48"/>
    </row>
    <row r="167" spans="2:12" hidden="1">
      <c r="B167" t="s">
        <v>792</v>
      </c>
      <c r="C167" t="s">
        <v>793</v>
      </c>
      <c r="D167" t="s">
        <v>781</v>
      </c>
      <c r="E167" t="s">
        <v>770</v>
      </c>
      <c r="F167" t="s">
        <v>501</v>
      </c>
      <c r="G167" t="s">
        <v>193</v>
      </c>
      <c r="H167" s="48">
        <v>0</v>
      </c>
      <c r="I167" s="48"/>
    </row>
    <row r="168" spans="2:12" hidden="1">
      <c r="B168" t="s">
        <v>794</v>
      </c>
      <c r="C168" t="s">
        <v>787</v>
      </c>
      <c r="D168" t="s">
        <v>781</v>
      </c>
      <c r="E168" t="s">
        <v>770</v>
      </c>
      <c r="F168" t="s">
        <v>461</v>
      </c>
      <c r="G168" t="s">
        <v>185</v>
      </c>
      <c r="H168" s="48">
        <v>0</v>
      </c>
      <c r="I168" s="48"/>
    </row>
    <row r="169" spans="2:12" hidden="1">
      <c r="B169" t="s">
        <v>795</v>
      </c>
      <c r="C169" t="s">
        <v>796</v>
      </c>
      <c r="D169" t="s">
        <v>797</v>
      </c>
      <c r="E169" t="s">
        <v>770</v>
      </c>
      <c r="F169" t="s">
        <v>466</v>
      </c>
      <c r="G169" t="s">
        <v>202</v>
      </c>
      <c r="H169" s="48">
        <v>1</v>
      </c>
      <c r="I169" s="48"/>
    </row>
    <row r="170" spans="2:12">
      <c r="B170" t="s">
        <v>564</v>
      </c>
      <c r="C170" t="s">
        <v>798</v>
      </c>
      <c r="D170" t="s">
        <v>369</v>
      </c>
      <c r="E170" t="s">
        <v>770</v>
      </c>
      <c r="F170" t="s">
        <v>466</v>
      </c>
      <c r="G170" t="s">
        <v>202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799</v>
      </c>
      <c r="C171" t="s">
        <v>800</v>
      </c>
      <c r="D171" t="s">
        <v>801</v>
      </c>
      <c r="E171" t="s">
        <v>770</v>
      </c>
      <c r="F171" t="s">
        <v>461</v>
      </c>
      <c r="G171" t="s">
        <v>185</v>
      </c>
      <c r="H171" s="48">
        <v>0</v>
      </c>
      <c r="I171" s="48"/>
    </row>
    <row r="172" spans="2:12" hidden="1">
      <c r="B172" t="s">
        <v>802</v>
      </c>
      <c r="C172" t="s">
        <v>803</v>
      </c>
      <c r="D172" t="s">
        <v>801</v>
      </c>
      <c r="E172" t="s">
        <v>770</v>
      </c>
      <c r="F172" t="s">
        <v>496</v>
      </c>
      <c r="G172" t="s">
        <v>188</v>
      </c>
      <c r="H172" s="48">
        <v>0</v>
      </c>
      <c r="I172" s="48"/>
    </row>
    <row r="173" spans="2:12" hidden="1">
      <c r="B173" t="s">
        <v>804</v>
      </c>
      <c r="C173" t="s">
        <v>805</v>
      </c>
      <c r="D173" t="s">
        <v>801</v>
      </c>
      <c r="E173" t="s">
        <v>770</v>
      </c>
      <c r="F173" t="s">
        <v>600</v>
      </c>
      <c r="G173" t="s">
        <v>209</v>
      </c>
      <c r="H173" s="48">
        <v>0.31480000000000002</v>
      </c>
      <c r="I173" s="48"/>
    </row>
    <row r="174" spans="2:12" hidden="1">
      <c r="B174" t="s">
        <v>806</v>
      </c>
      <c r="C174" t="s">
        <v>807</v>
      </c>
      <c r="D174" t="s">
        <v>801</v>
      </c>
      <c r="E174" t="s">
        <v>770</v>
      </c>
      <c r="F174" t="s">
        <v>466</v>
      </c>
      <c r="G174" t="s">
        <v>202</v>
      </c>
      <c r="H174" s="48">
        <v>0.68520000000000003</v>
      </c>
      <c r="I174" s="48"/>
    </row>
    <row r="175" spans="2:12" hidden="1">
      <c r="B175" t="s">
        <v>808</v>
      </c>
      <c r="C175" t="s">
        <v>809</v>
      </c>
      <c r="D175" t="s">
        <v>801</v>
      </c>
      <c r="E175" t="s">
        <v>770</v>
      </c>
      <c r="F175" t="s">
        <v>501</v>
      </c>
      <c r="G175" t="s">
        <v>193</v>
      </c>
      <c r="H175" s="48">
        <v>0</v>
      </c>
      <c r="I175" s="48"/>
    </row>
    <row r="176" spans="2:12" hidden="1">
      <c r="B176" t="s">
        <v>810</v>
      </c>
      <c r="C176" t="s">
        <v>811</v>
      </c>
      <c r="D176" t="s">
        <v>801</v>
      </c>
      <c r="E176" t="s">
        <v>770</v>
      </c>
      <c r="F176" t="s">
        <v>471</v>
      </c>
      <c r="G176" t="s">
        <v>352</v>
      </c>
      <c r="H176" s="48">
        <v>0</v>
      </c>
      <c r="I176" s="48"/>
    </row>
    <row r="177" spans="2:12" hidden="1">
      <c r="B177" t="s">
        <v>812</v>
      </c>
      <c r="C177" t="s">
        <v>813</v>
      </c>
      <c r="D177" t="s">
        <v>382</v>
      </c>
      <c r="E177" t="s">
        <v>814</v>
      </c>
      <c r="F177" t="s">
        <v>468</v>
      </c>
      <c r="G177" t="s">
        <v>204</v>
      </c>
      <c r="H177" s="48">
        <v>0</v>
      </c>
      <c r="I177" s="48"/>
    </row>
    <row r="178" spans="2:12" hidden="1">
      <c r="B178" t="s">
        <v>815</v>
      </c>
      <c r="C178" t="s">
        <v>816</v>
      </c>
      <c r="D178" t="s">
        <v>382</v>
      </c>
      <c r="E178" t="s">
        <v>814</v>
      </c>
      <c r="F178" t="s">
        <v>461</v>
      </c>
      <c r="G178" t="s">
        <v>185</v>
      </c>
      <c r="H178" s="48">
        <v>1</v>
      </c>
      <c r="I178" s="48"/>
    </row>
    <row r="179" spans="2:12" hidden="1">
      <c r="B179" t="s">
        <v>817</v>
      </c>
      <c r="C179" t="s">
        <v>818</v>
      </c>
      <c r="D179" t="s">
        <v>382</v>
      </c>
      <c r="E179" t="s">
        <v>814</v>
      </c>
      <c r="F179" t="s">
        <v>464</v>
      </c>
      <c r="G179" t="s">
        <v>199</v>
      </c>
      <c r="H179" s="48">
        <v>0</v>
      </c>
      <c r="I179" s="48"/>
    </row>
    <row r="180" spans="2:12" hidden="1">
      <c r="B180" t="s">
        <v>819</v>
      </c>
      <c r="C180" t="s">
        <v>816</v>
      </c>
      <c r="D180" t="s">
        <v>382</v>
      </c>
      <c r="E180" t="s">
        <v>814</v>
      </c>
      <c r="F180" t="s">
        <v>461</v>
      </c>
      <c r="G180" t="s">
        <v>185</v>
      </c>
      <c r="H180" s="48">
        <v>0</v>
      </c>
      <c r="I180" s="48"/>
    </row>
    <row r="181" spans="2:12" hidden="1">
      <c r="B181" t="s">
        <v>820</v>
      </c>
      <c r="C181" t="s">
        <v>821</v>
      </c>
      <c r="D181" t="s">
        <v>386</v>
      </c>
      <c r="E181" t="s">
        <v>814</v>
      </c>
      <c r="F181" t="s">
        <v>461</v>
      </c>
      <c r="G181" t="s">
        <v>185</v>
      </c>
      <c r="H181" s="48">
        <v>0</v>
      </c>
      <c r="I181" s="48"/>
    </row>
    <row r="182" spans="2:12" hidden="1">
      <c r="B182" t="s">
        <v>822</v>
      </c>
      <c r="C182" t="s">
        <v>823</v>
      </c>
      <c r="D182" t="s">
        <v>386</v>
      </c>
      <c r="E182" t="s">
        <v>814</v>
      </c>
      <c r="F182" t="s">
        <v>496</v>
      </c>
      <c r="G182" t="s">
        <v>188</v>
      </c>
      <c r="H182" s="48">
        <v>0</v>
      </c>
      <c r="I182" s="48"/>
    </row>
    <row r="183" spans="2:12" hidden="1">
      <c r="B183" t="s">
        <v>385</v>
      </c>
      <c r="C183" t="s">
        <v>824</v>
      </c>
      <c r="D183" t="s">
        <v>386</v>
      </c>
      <c r="E183" t="s">
        <v>814</v>
      </c>
      <c r="F183" t="s">
        <v>466</v>
      </c>
      <c r="G183" t="s">
        <v>202</v>
      </c>
      <c r="H183" s="48">
        <v>1</v>
      </c>
      <c r="I183" s="48"/>
    </row>
    <row r="184" spans="2:12" hidden="1">
      <c r="B184" t="s">
        <v>825</v>
      </c>
      <c r="C184" t="s">
        <v>826</v>
      </c>
      <c r="D184" t="s">
        <v>386</v>
      </c>
      <c r="E184" t="s">
        <v>814</v>
      </c>
      <c r="F184" t="s">
        <v>501</v>
      </c>
      <c r="G184" t="s">
        <v>193</v>
      </c>
      <c r="H184" s="48">
        <v>0</v>
      </c>
      <c r="I184" s="48"/>
    </row>
    <row r="185" spans="2:12" hidden="1">
      <c r="B185" t="s">
        <v>827</v>
      </c>
      <c r="C185" t="s">
        <v>828</v>
      </c>
      <c r="D185" t="s">
        <v>386</v>
      </c>
      <c r="E185" t="s">
        <v>814</v>
      </c>
      <c r="F185" t="s">
        <v>471</v>
      </c>
      <c r="G185" t="s">
        <v>352</v>
      </c>
      <c r="H185" s="48">
        <v>0</v>
      </c>
      <c r="I185" s="48"/>
    </row>
    <row r="186" spans="2:12" hidden="1">
      <c r="B186" t="s">
        <v>829</v>
      </c>
      <c r="C186" t="s">
        <v>830</v>
      </c>
      <c r="D186" t="s">
        <v>831</v>
      </c>
      <c r="E186" t="s">
        <v>814</v>
      </c>
      <c r="F186" t="s">
        <v>466</v>
      </c>
      <c r="G186" t="s">
        <v>202</v>
      </c>
      <c r="H186" s="48">
        <v>1</v>
      </c>
      <c r="I186" s="48"/>
    </row>
    <row r="187" spans="2:12" hidden="1">
      <c r="B187" t="s">
        <v>832</v>
      </c>
      <c r="C187" t="s">
        <v>833</v>
      </c>
      <c r="D187" t="s">
        <v>831</v>
      </c>
      <c r="E187" t="s">
        <v>814</v>
      </c>
      <c r="F187" t="s">
        <v>464</v>
      </c>
      <c r="G187" t="s">
        <v>199</v>
      </c>
      <c r="H187" s="48">
        <v>0</v>
      </c>
      <c r="I187" s="48"/>
    </row>
    <row r="188" spans="2:12" hidden="1">
      <c r="B188" t="s">
        <v>567</v>
      </c>
      <c r="C188" t="s">
        <v>834</v>
      </c>
      <c r="D188" t="s">
        <v>831</v>
      </c>
      <c r="E188" t="s">
        <v>814</v>
      </c>
      <c r="F188" t="s">
        <v>461</v>
      </c>
      <c r="G188" t="s">
        <v>185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835</v>
      </c>
      <c r="C189" t="s">
        <v>836</v>
      </c>
      <c r="D189" t="s">
        <v>831</v>
      </c>
      <c r="E189" t="s">
        <v>814</v>
      </c>
      <c r="F189" t="s">
        <v>496</v>
      </c>
      <c r="G189" t="s">
        <v>188</v>
      </c>
      <c r="H189" s="48">
        <v>0</v>
      </c>
      <c r="I189" s="48"/>
    </row>
    <row r="190" spans="2:12" hidden="1">
      <c r="B190" t="s">
        <v>837</v>
      </c>
      <c r="C190" t="s">
        <v>838</v>
      </c>
      <c r="D190" t="s">
        <v>831</v>
      </c>
      <c r="E190" t="s">
        <v>814</v>
      </c>
      <c r="F190" t="s">
        <v>471</v>
      </c>
      <c r="G190" t="s">
        <v>352</v>
      </c>
      <c r="H190" s="48">
        <v>0</v>
      </c>
      <c r="I190" s="48"/>
    </row>
    <row r="191" spans="2:12" hidden="1">
      <c r="B191" t="s">
        <v>839</v>
      </c>
      <c r="C191" t="s">
        <v>840</v>
      </c>
      <c r="D191" t="s">
        <v>831</v>
      </c>
      <c r="E191" t="s">
        <v>814</v>
      </c>
      <c r="F191" t="s">
        <v>501</v>
      </c>
      <c r="G191" t="s">
        <v>193</v>
      </c>
      <c r="H191" s="48">
        <v>0</v>
      </c>
      <c r="I191" s="48"/>
    </row>
    <row r="192" spans="2:12" hidden="1">
      <c r="B192" t="s">
        <v>841</v>
      </c>
      <c r="C192" t="s">
        <v>834</v>
      </c>
      <c r="D192" t="s">
        <v>831</v>
      </c>
      <c r="E192" t="s">
        <v>814</v>
      </c>
      <c r="F192" t="s">
        <v>461</v>
      </c>
      <c r="G192" t="s">
        <v>185</v>
      </c>
      <c r="H192" s="48">
        <v>0</v>
      </c>
      <c r="I192" s="48"/>
    </row>
    <row r="193" spans="2:12" hidden="1">
      <c r="B193" t="s">
        <v>406</v>
      </c>
      <c r="C193" t="s">
        <v>842</v>
      </c>
      <c r="D193" t="s">
        <v>407</v>
      </c>
      <c r="E193" t="s">
        <v>843</v>
      </c>
      <c r="F193" t="s">
        <v>466</v>
      </c>
      <c r="G193" t="s">
        <v>202</v>
      </c>
      <c r="H193" s="48">
        <v>1</v>
      </c>
      <c r="I193" s="48"/>
    </row>
    <row r="194" spans="2:12" hidden="1">
      <c r="B194" t="s">
        <v>844</v>
      </c>
      <c r="C194" t="s">
        <v>845</v>
      </c>
      <c r="D194" t="s">
        <v>411</v>
      </c>
      <c r="E194" t="s">
        <v>846</v>
      </c>
      <c r="F194" t="s">
        <v>464</v>
      </c>
      <c r="G194" t="s">
        <v>199</v>
      </c>
      <c r="H194" s="48">
        <v>0</v>
      </c>
      <c r="I194" s="48"/>
    </row>
    <row r="195" spans="2:12" hidden="1">
      <c r="B195" t="s">
        <v>847</v>
      </c>
      <c r="C195" t="s">
        <v>848</v>
      </c>
      <c r="D195" t="s">
        <v>411</v>
      </c>
      <c r="E195" t="s">
        <v>846</v>
      </c>
      <c r="F195" t="s">
        <v>461</v>
      </c>
      <c r="G195" t="s">
        <v>185</v>
      </c>
      <c r="H195" s="48">
        <v>1</v>
      </c>
      <c r="I195" s="48"/>
    </row>
    <row r="196" spans="2:12" hidden="1">
      <c r="B196" t="s">
        <v>849</v>
      </c>
      <c r="C196" t="s">
        <v>850</v>
      </c>
      <c r="D196" t="s">
        <v>411</v>
      </c>
      <c r="E196" t="s">
        <v>846</v>
      </c>
      <c r="F196" t="s">
        <v>468</v>
      </c>
      <c r="G196" t="s">
        <v>204</v>
      </c>
      <c r="H196" s="48">
        <v>0</v>
      </c>
      <c r="I196" s="48"/>
    </row>
    <row r="197" spans="2:12" hidden="1">
      <c r="B197" t="s">
        <v>851</v>
      </c>
      <c r="C197" t="s">
        <v>848</v>
      </c>
      <c r="D197" t="s">
        <v>411</v>
      </c>
      <c r="E197" t="s">
        <v>846</v>
      </c>
      <c r="F197" t="s">
        <v>461</v>
      </c>
      <c r="G197" t="s">
        <v>185</v>
      </c>
      <c r="H197" s="48">
        <v>0</v>
      </c>
      <c r="I197" s="48"/>
    </row>
    <row r="198" spans="2:12" hidden="1">
      <c r="B198" t="s">
        <v>418</v>
      </c>
      <c r="C198" t="s">
        <v>852</v>
      </c>
      <c r="D198" t="s">
        <v>415</v>
      </c>
      <c r="E198" t="s">
        <v>846</v>
      </c>
      <c r="F198" t="s">
        <v>466</v>
      </c>
      <c r="G198" t="s">
        <v>202</v>
      </c>
      <c r="H198" s="48">
        <v>1</v>
      </c>
      <c r="I198" s="48"/>
    </row>
    <row r="199" spans="2:12" hidden="1">
      <c r="B199" t="s">
        <v>414</v>
      </c>
      <c r="C199" t="s">
        <v>853</v>
      </c>
      <c r="D199" t="s">
        <v>415</v>
      </c>
      <c r="E199" t="s">
        <v>846</v>
      </c>
      <c r="F199" t="s">
        <v>496</v>
      </c>
      <c r="G199" t="s">
        <v>188</v>
      </c>
      <c r="H199" s="48">
        <v>0</v>
      </c>
      <c r="I199" s="48"/>
    </row>
    <row r="200" spans="2:12" hidden="1">
      <c r="B200" t="s">
        <v>854</v>
      </c>
      <c r="C200" t="s">
        <v>855</v>
      </c>
      <c r="D200" t="s">
        <v>415</v>
      </c>
      <c r="E200" t="s">
        <v>846</v>
      </c>
      <c r="F200" t="s">
        <v>461</v>
      </c>
      <c r="G200" t="s">
        <v>185</v>
      </c>
      <c r="H200" s="48">
        <v>0</v>
      </c>
      <c r="I200" s="48"/>
    </row>
    <row r="201" spans="2:12" hidden="1">
      <c r="B201" t="s">
        <v>856</v>
      </c>
      <c r="C201" t="s">
        <v>857</v>
      </c>
      <c r="D201" t="s">
        <v>415</v>
      </c>
      <c r="E201" t="s">
        <v>846</v>
      </c>
      <c r="F201" t="s">
        <v>501</v>
      </c>
      <c r="G201" t="s">
        <v>193</v>
      </c>
      <c r="H201" s="48">
        <v>0</v>
      </c>
      <c r="I201" s="48"/>
    </row>
    <row r="202" spans="2:12" hidden="1">
      <c r="B202" t="s">
        <v>858</v>
      </c>
      <c r="C202" t="s">
        <v>859</v>
      </c>
      <c r="D202" t="s">
        <v>415</v>
      </c>
      <c r="E202" t="s">
        <v>846</v>
      </c>
      <c r="F202" t="s">
        <v>471</v>
      </c>
      <c r="G202" t="s">
        <v>352</v>
      </c>
      <c r="H202" s="48">
        <v>0</v>
      </c>
      <c r="I202" s="48"/>
    </row>
    <row r="203" spans="2:12">
      <c r="B203" t="s">
        <v>860</v>
      </c>
      <c r="C203" t="s">
        <v>861</v>
      </c>
      <c r="D203" t="s">
        <v>365</v>
      </c>
      <c r="E203" t="s">
        <v>846</v>
      </c>
      <c r="F203" t="s">
        <v>466</v>
      </c>
      <c r="G203" t="s">
        <v>202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569</v>
      </c>
      <c r="C204" t="s">
        <v>862</v>
      </c>
      <c r="D204" t="s">
        <v>365</v>
      </c>
      <c r="E204" t="s">
        <v>846</v>
      </c>
      <c r="F204" t="s">
        <v>464</v>
      </c>
      <c r="G204" t="s">
        <v>199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572</v>
      </c>
      <c r="C205" t="s">
        <v>863</v>
      </c>
      <c r="D205" t="s">
        <v>365</v>
      </c>
      <c r="E205" t="s">
        <v>846</v>
      </c>
      <c r="F205" t="s">
        <v>600</v>
      </c>
      <c r="G205" t="s">
        <v>209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574</v>
      </c>
      <c r="C206" t="s">
        <v>864</v>
      </c>
      <c r="D206" t="s">
        <v>365</v>
      </c>
      <c r="E206" t="s">
        <v>846</v>
      </c>
      <c r="F206" t="s">
        <v>461</v>
      </c>
      <c r="G206" t="s">
        <v>185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578</v>
      </c>
      <c r="C207" t="s">
        <v>865</v>
      </c>
      <c r="D207" t="s">
        <v>365</v>
      </c>
      <c r="E207" t="s">
        <v>846</v>
      </c>
      <c r="F207" t="s">
        <v>496</v>
      </c>
      <c r="G207" t="s">
        <v>188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866</v>
      </c>
      <c r="C208" t="s">
        <v>867</v>
      </c>
      <c r="D208" t="s">
        <v>365</v>
      </c>
      <c r="E208" t="s">
        <v>846</v>
      </c>
      <c r="F208" t="s">
        <v>471</v>
      </c>
      <c r="G208" t="s">
        <v>352</v>
      </c>
      <c r="H208" s="48">
        <v>0</v>
      </c>
      <c r="I208" s="48"/>
    </row>
    <row r="209" spans="2:12" hidden="1">
      <c r="B209" t="s">
        <v>868</v>
      </c>
      <c r="C209" t="s">
        <v>869</v>
      </c>
      <c r="D209" t="s">
        <v>365</v>
      </c>
      <c r="E209" t="s">
        <v>846</v>
      </c>
      <c r="F209" t="s">
        <v>501</v>
      </c>
      <c r="G209" t="s">
        <v>193</v>
      </c>
      <c r="H209" s="48">
        <v>0.90780000000000005</v>
      </c>
      <c r="I209" s="48"/>
    </row>
    <row r="210" spans="2:12" hidden="1">
      <c r="B210" t="s">
        <v>870</v>
      </c>
      <c r="C210" t="s">
        <v>864</v>
      </c>
      <c r="D210" t="s">
        <v>365</v>
      </c>
      <c r="E210" t="s">
        <v>846</v>
      </c>
      <c r="F210" t="s">
        <v>461</v>
      </c>
      <c r="G210" t="s">
        <v>185</v>
      </c>
      <c r="H210" s="48">
        <v>1.6000000000000001E-3</v>
      </c>
      <c r="I210" s="48"/>
    </row>
    <row r="211" spans="2:12">
      <c r="B211" t="s">
        <v>412</v>
      </c>
      <c r="C211" t="s">
        <v>871</v>
      </c>
      <c r="D211" t="s">
        <v>365</v>
      </c>
      <c r="E211" t="s">
        <v>846</v>
      </c>
      <c r="F211" t="s">
        <v>559</v>
      </c>
      <c r="G211" t="s">
        <v>364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427</v>
      </c>
      <c r="C212" t="s">
        <v>872</v>
      </c>
      <c r="D212" t="s">
        <v>428</v>
      </c>
      <c r="E212" t="s">
        <v>846</v>
      </c>
      <c r="F212" t="s">
        <v>461</v>
      </c>
      <c r="G212" t="s">
        <v>185</v>
      </c>
      <c r="H212" s="48">
        <v>1</v>
      </c>
      <c r="I212" s="48"/>
    </row>
    <row r="213" spans="2:12" hidden="1">
      <c r="B213" t="s">
        <v>873</v>
      </c>
      <c r="C213" t="s">
        <v>874</v>
      </c>
      <c r="D213" t="s">
        <v>428</v>
      </c>
      <c r="E213" t="s">
        <v>846</v>
      </c>
      <c r="F213" t="s">
        <v>464</v>
      </c>
      <c r="G213" t="s">
        <v>199</v>
      </c>
      <c r="H213" s="48">
        <v>0</v>
      </c>
      <c r="I213" s="48"/>
    </row>
    <row r="214" spans="2:12" hidden="1">
      <c r="B214" t="s">
        <v>875</v>
      </c>
      <c r="C214" t="s">
        <v>876</v>
      </c>
      <c r="D214" t="s">
        <v>877</v>
      </c>
      <c r="E214" t="s">
        <v>846</v>
      </c>
      <c r="F214" t="s">
        <v>461</v>
      </c>
      <c r="G214" t="s">
        <v>185</v>
      </c>
      <c r="H214" s="48">
        <v>1</v>
      </c>
      <c r="I214" s="48"/>
    </row>
    <row r="215" spans="2:12" hidden="1">
      <c r="B215" t="s">
        <v>878</v>
      </c>
      <c r="C215" t="s">
        <v>879</v>
      </c>
      <c r="D215" t="s">
        <v>880</v>
      </c>
      <c r="E215" t="s">
        <v>846</v>
      </c>
      <c r="F215" t="s">
        <v>461</v>
      </c>
      <c r="G215" t="s">
        <v>185</v>
      </c>
      <c r="H215" s="48">
        <v>1</v>
      </c>
      <c r="I215" s="48"/>
    </row>
    <row r="216" spans="2:12" hidden="1">
      <c r="B216" t="s">
        <v>881</v>
      </c>
      <c r="C216" t="s">
        <v>882</v>
      </c>
      <c r="D216" t="s">
        <v>883</v>
      </c>
      <c r="E216" t="s">
        <v>846</v>
      </c>
      <c r="F216" t="s">
        <v>461</v>
      </c>
      <c r="G216" t="s">
        <v>185</v>
      </c>
      <c r="H216" s="48">
        <v>1</v>
      </c>
      <c r="I216" s="48"/>
    </row>
    <row r="217" spans="2:12" hidden="1">
      <c r="B217" t="s">
        <v>884</v>
      </c>
      <c r="C217" t="s">
        <v>885</v>
      </c>
      <c r="D217" t="s">
        <v>434</v>
      </c>
      <c r="E217" t="s">
        <v>886</v>
      </c>
      <c r="F217" t="s">
        <v>464</v>
      </c>
      <c r="G217" t="s">
        <v>199</v>
      </c>
      <c r="H217" s="48">
        <v>0</v>
      </c>
      <c r="I217" s="48"/>
    </row>
    <row r="218" spans="2:12" hidden="1">
      <c r="B218" t="s">
        <v>887</v>
      </c>
      <c r="C218" t="s">
        <v>888</v>
      </c>
      <c r="D218" t="s">
        <v>434</v>
      </c>
      <c r="E218" t="s">
        <v>886</v>
      </c>
      <c r="F218" t="s">
        <v>461</v>
      </c>
      <c r="G218" t="s">
        <v>185</v>
      </c>
      <c r="H218" s="48">
        <v>1</v>
      </c>
      <c r="I218" s="48"/>
    </row>
    <row r="219" spans="2:12" hidden="1">
      <c r="B219" t="s">
        <v>889</v>
      </c>
      <c r="C219" t="s">
        <v>890</v>
      </c>
      <c r="D219" t="s">
        <v>434</v>
      </c>
      <c r="E219" t="s">
        <v>886</v>
      </c>
      <c r="F219" t="s">
        <v>468</v>
      </c>
      <c r="G219" t="s">
        <v>204</v>
      </c>
      <c r="H219" s="48">
        <v>0</v>
      </c>
      <c r="I219" s="48"/>
    </row>
    <row r="220" spans="2:12" hidden="1">
      <c r="B220" t="s">
        <v>891</v>
      </c>
      <c r="C220" t="s">
        <v>888</v>
      </c>
      <c r="D220" t="s">
        <v>434</v>
      </c>
      <c r="E220" t="s">
        <v>886</v>
      </c>
      <c r="F220" t="s">
        <v>461</v>
      </c>
      <c r="G220" t="s">
        <v>185</v>
      </c>
      <c r="H220" s="48">
        <v>0</v>
      </c>
      <c r="I220" s="48"/>
    </row>
    <row r="221" spans="2:12" hidden="1">
      <c r="B221" t="s">
        <v>437</v>
      </c>
      <c r="C221" t="s">
        <v>892</v>
      </c>
      <c r="D221" t="s">
        <v>436</v>
      </c>
      <c r="E221" t="s">
        <v>886</v>
      </c>
      <c r="F221" t="s">
        <v>461</v>
      </c>
      <c r="G221" t="s">
        <v>185</v>
      </c>
      <c r="H221" s="48">
        <v>0</v>
      </c>
      <c r="I221" s="48"/>
    </row>
    <row r="222" spans="2:12" hidden="1">
      <c r="B222" t="s">
        <v>435</v>
      </c>
      <c r="C222" t="s">
        <v>893</v>
      </c>
      <c r="D222" t="s">
        <v>436</v>
      </c>
      <c r="E222" t="s">
        <v>886</v>
      </c>
      <c r="F222" t="s">
        <v>466</v>
      </c>
      <c r="G222" t="s">
        <v>202</v>
      </c>
      <c r="H222" s="48">
        <v>1</v>
      </c>
      <c r="I222" s="48"/>
    </row>
    <row r="223" spans="2:12" hidden="1">
      <c r="B223" t="s">
        <v>894</v>
      </c>
      <c r="C223" t="s">
        <v>895</v>
      </c>
      <c r="D223" t="s">
        <v>439</v>
      </c>
      <c r="E223" t="s">
        <v>886</v>
      </c>
      <c r="F223" t="s">
        <v>461</v>
      </c>
      <c r="G223" t="s">
        <v>185</v>
      </c>
      <c r="H223" s="48">
        <v>0</v>
      </c>
      <c r="I223" s="48"/>
    </row>
    <row r="224" spans="2:12" hidden="1">
      <c r="B224" t="s">
        <v>438</v>
      </c>
      <c r="C224" t="s">
        <v>896</v>
      </c>
      <c r="D224" t="s">
        <v>439</v>
      </c>
      <c r="E224" t="s">
        <v>886</v>
      </c>
      <c r="F224" t="s">
        <v>466</v>
      </c>
      <c r="G224" t="s">
        <v>202</v>
      </c>
      <c r="H224" s="48">
        <v>1</v>
      </c>
      <c r="I224" s="48"/>
    </row>
    <row r="225" spans="2:12" hidden="1">
      <c r="B225" t="s">
        <v>897</v>
      </c>
      <c r="C225" t="s">
        <v>898</v>
      </c>
      <c r="D225" t="s">
        <v>439</v>
      </c>
      <c r="E225" t="s">
        <v>886</v>
      </c>
      <c r="F225" t="s">
        <v>496</v>
      </c>
      <c r="G225" t="s">
        <v>188</v>
      </c>
      <c r="H225" s="48">
        <v>0</v>
      </c>
      <c r="I225" s="48"/>
    </row>
    <row r="226" spans="2:12" hidden="1">
      <c r="B226" t="s">
        <v>899</v>
      </c>
      <c r="C226" t="s">
        <v>900</v>
      </c>
      <c r="D226" t="s">
        <v>439</v>
      </c>
      <c r="E226" t="s">
        <v>886</v>
      </c>
      <c r="F226" t="s">
        <v>501</v>
      </c>
      <c r="G226" t="s">
        <v>193</v>
      </c>
      <c r="H226" s="48">
        <v>0</v>
      </c>
      <c r="I226" s="48"/>
    </row>
    <row r="227" spans="2:12" hidden="1">
      <c r="B227" t="s">
        <v>901</v>
      </c>
      <c r="C227" t="s">
        <v>902</v>
      </c>
      <c r="D227" t="s">
        <v>439</v>
      </c>
      <c r="E227" t="s">
        <v>886</v>
      </c>
      <c r="F227" t="s">
        <v>471</v>
      </c>
      <c r="G227" t="s">
        <v>352</v>
      </c>
      <c r="H227" s="48">
        <v>0</v>
      </c>
      <c r="I227" s="48"/>
    </row>
    <row r="228" spans="2:12">
      <c r="B228" t="s">
        <v>583</v>
      </c>
      <c r="C228" t="s">
        <v>903</v>
      </c>
      <c r="D228" t="s">
        <v>371</v>
      </c>
      <c r="E228" t="s">
        <v>886</v>
      </c>
      <c r="F228" t="s">
        <v>466</v>
      </c>
      <c r="G228" t="s">
        <v>202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904</v>
      </c>
      <c r="C229" t="s">
        <v>905</v>
      </c>
      <c r="D229" t="s">
        <v>371</v>
      </c>
      <c r="E229" t="s">
        <v>886</v>
      </c>
      <c r="F229" t="s">
        <v>464</v>
      </c>
      <c r="G229" t="s">
        <v>199</v>
      </c>
      <c r="H229" s="48">
        <v>0</v>
      </c>
      <c r="I229" s="48"/>
    </row>
    <row r="230" spans="2:12" hidden="1">
      <c r="B230" t="s">
        <v>906</v>
      </c>
      <c r="C230" t="s">
        <v>907</v>
      </c>
      <c r="D230" t="s">
        <v>371</v>
      </c>
      <c r="E230" t="s">
        <v>886</v>
      </c>
      <c r="F230" t="s">
        <v>600</v>
      </c>
      <c r="G230" t="s">
        <v>209</v>
      </c>
      <c r="H230" s="48">
        <v>3.2000000000000002E-3</v>
      </c>
      <c r="I230" s="48"/>
    </row>
    <row r="231" spans="2:12">
      <c r="B231" t="s">
        <v>416</v>
      </c>
      <c r="C231" t="s">
        <v>908</v>
      </c>
      <c r="D231" t="s">
        <v>371</v>
      </c>
      <c r="E231" t="s">
        <v>886</v>
      </c>
      <c r="F231" t="s">
        <v>559</v>
      </c>
      <c r="G231" t="s">
        <v>364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909</v>
      </c>
      <c r="C232" t="s">
        <v>910</v>
      </c>
      <c r="D232" t="s">
        <v>371</v>
      </c>
      <c r="E232" t="s">
        <v>886</v>
      </c>
      <c r="F232" t="s">
        <v>461</v>
      </c>
      <c r="G232" t="s">
        <v>185</v>
      </c>
      <c r="H232" s="48">
        <v>0</v>
      </c>
      <c r="I232" s="48"/>
    </row>
    <row r="233" spans="2:12" hidden="1">
      <c r="B233" t="s">
        <v>911</v>
      </c>
      <c r="C233" t="s">
        <v>912</v>
      </c>
      <c r="D233" t="s">
        <v>371</v>
      </c>
      <c r="E233" t="s">
        <v>886</v>
      </c>
      <c r="F233" t="s">
        <v>496</v>
      </c>
      <c r="G233" t="s">
        <v>188</v>
      </c>
      <c r="H233" s="48">
        <v>4.8999999999999998E-3</v>
      </c>
      <c r="I233" s="48"/>
    </row>
    <row r="234" spans="2:12" hidden="1">
      <c r="B234" t="s">
        <v>913</v>
      </c>
      <c r="C234" t="s">
        <v>914</v>
      </c>
      <c r="D234" t="s">
        <v>371</v>
      </c>
      <c r="E234" t="s">
        <v>886</v>
      </c>
      <c r="F234" t="s">
        <v>471</v>
      </c>
      <c r="G234" t="s">
        <v>352</v>
      </c>
      <c r="H234" s="48">
        <v>0</v>
      </c>
      <c r="I234" s="48"/>
    </row>
    <row r="235" spans="2:12" hidden="1">
      <c r="B235" t="s">
        <v>915</v>
      </c>
      <c r="C235" t="s">
        <v>916</v>
      </c>
      <c r="D235" t="s">
        <v>371</v>
      </c>
      <c r="E235" t="s">
        <v>886</v>
      </c>
      <c r="F235" t="s">
        <v>501</v>
      </c>
      <c r="G235" t="s">
        <v>193</v>
      </c>
      <c r="H235" s="48">
        <v>0.79110000000000003</v>
      </c>
      <c r="I235" s="48"/>
    </row>
    <row r="236" spans="2:12" hidden="1">
      <c r="B236" t="s">
        <v>917</v>
      </c>
      <c r="C236" t="s">
        <v>910</v>
      </c>
      <c r="D236" t="s">
        <v>371</v>
      </c>
      <c r="E236" t="s">
        <v>886</v>
      </c>
      <c r="F236" t="s">
        <v>461</v>
      </c>
      <c r="G236" t="s">
        <v>185</v>
      </c>
      <c r="H236" s="48">
        <v>0</v>
      </c>
      <c r="I236" s="48"/>
    </row>
    <row r="237" spans="2:12" hidden="1">
      <c r="B237" t="s">
        <v>444</v>
      </c>
      <c r="C237" t="s">
        <v>918</v>
      </c>
      <c r="D237" t="s">
        <v>445</v>
      </c>
      <c r="E237" t="s">
        <v>886</v>
      </c>
      <c r="F237" t="s">
        <v>461</v>
      </c>
      <c r="G237" t="s">
        <v>185</v>
      </c>
      <c r="H237" s="48">
        <v>1</v>
      </c>
      <c r="I237" s="48"/>
    </row>
    <row r="238" spans="2:12" hidden="1">
      <c r="B238" t="s">
        <v>919</v>
      </c>
      <c r="C238" t="s">
        <v>920</v>
      </c>
      <c r="D238" t="s">
        <v>445</v>
      </c>
      <c r="E238" t="s">
        <v>886</v>
      </c>
      <c r="F238" t="s">
        <v>464</v>
      </c>
      <c r="G238" t="s">
        <v>199</v>
      </c>
      <c r="H238" s="48">
        <v>0</v>
      </c>
      <c r="I238" s="48"/>
    </row>
    <row r="239" spans="2:12" hidden="1">
      <c r="B239" t="s">
        <v>921</v>
      </c>
      <c r="C239" t="s">
        <v>922</v>
      </c>
      <c r="D239" t="s">
        <v>923</v>
      </c>
      <c r="E239" t="s">
        <v>886</v>
      </c>
      <c r="F239" t="s">
        <v>461</v>
      </c>
      <c r="G239" t="s">
        <v>185</v>
      </c>
      <c r="H239" s="48">
        <v>1</v>
      </c>
      <c r="I239" s="48"/>
    </row>
    <row r="240" spans="2:12" hidden="1">
      <c r="B240" t="s">
        <v>924</v>
      </c>
      <c r="C240" t="s">
        <v>925</v>
      </c>
      <c r="D240" t="s">
        <v>926</v>
      </c>
      <c r="E240" t="s">
        <v>886</v>
      </c>
      <c r="F240" t="s">
        <v>461</v>
      </c>
      <c r="G240" t="s">
        <v>185</v>
      </c>
      <c r="H240" s="48">
        <v>1</v>
      </c>
      <c r="I240" s="48"/>
    </row>
    <row r="241" spans="2:17" hidden="1">
      <c r="B241" t="s">
        <v>927</v>
      </c>
      <c r="C241" t="s">
        <v>928</v>
      </c>
      <c r="D241" t="s">
        <v>929</v>
      </c>
      <c r="E241" t="s">
        <v>886</v>
      </c>
      <c r="F241" t="s">
        <v>461</v>
      </c>
      <c r="G241" t="s">
        <v>185</v>
      </c>
      <c r="H241" s="48">
        <v>1</v>
      </c>
      <c r="I241" s="48"/>
    </row>
    <row r="245" spans="2:17">
      <c r="G245" t="s">
        <v>492</v>
      </c>
      <c r="H245" t="str">
        <f ca="1">OFFSET($G$245,INT((ROWS($G$245:G245)-1)/2),)</f>
        <v>DARY-PH-MVR_DRY</v>
      </c>
      <c r="I245" t="s">
        <v>188</v>
      </c>
      <c r="P245" t="s">
        <v>188</v>
      </c>
      <c r="Q245">
        <v>1</v>
      </c>
    </row>
    <row r="246" spans="2:17">
      <c r="G246" t="s">
        <v>492</v>
      </c>
      <c r="H246" t="str">
        <f ca="1">OFFSET($G$245,INT((ROWS($G$245:G246)-1)/2),)</f>
        <v>DARY-PH-MVR_DRY</v>
      </c>
      <c r="I246" t="s">
        <v>202</v>
      </c>
      <c r="Q246">
        <v>1</v>
      </c>
    </row>
    <row r="247" spans="2:17">
      <c r="G247" t="s">
        <v>505</v>
      </c>
      <c r="H247" t="str">
        <f ca="1">OFFSET($G$245,INT((ROWS($G$245:G247)-1)/2),)</f>
        <v>DARY-PH-MVR_DRY</v>
      </c>
      <c r="I247" t="s">
        <v>188</v>
      </c>
      <c r="P247" t="s">
        <v>202</v>
      </c>
      <c r="Q247">
        <f>Q246+1</f>
        <v>2</v>
      </c>
    </row>
    <row r="248" spans="2:17">
      <c r="G248" t="s">
        <v>505</v>
      </c>
      <c r="H248" t="str">
        <f ca="1">OFFSET($G$245,INT((ROWS($G$245:G248)-1)/2),)</f>
        <v>DARY-PH-MVR_DRY</v>
      </c>
      <c r="I248" t="s">
        <v>202</v>
      </c>
      <c r="Q248">
        <v>2</v>
      </c>
    </row>
    <row r="249" spans="2:17">
      <c r="G249" t="s">
        <v>518</v>
      </c>
      <c r="H249" t="str">
        <f ca="1">OFFSET($G$245,INT((ROWS($G$245:G249)-1)/2),)</f>
        <v>DARY-PH-MVR_PRE</v>
      </c>
      <c r="I249" t="s">
        <v>188</v>
      </c>
      <c r="P249" t="s">
        <v>188</v>
      </c>
      <c r="Q249">
        <f>Q248+1</f>
        <v>3</v>
      </c>
    </row>
    <row r="250" spans="2:17">
      <c r="G250" t="s">
        <v>518</v>
      </c>
      <c r="H250" t="str">
        <f ca="1">OFFSET($G$245,INT((ROWS($G$245:G250)-1)/2),)</f>
        <v>DARY-PH-MVR_PRE</v>
      </c>
      <c r="I250" t="s">
        <v>202</v>
      </c>
      <c r="Q250">
        <v>3</v>
      </c>
    </row>
    <row r="251" spans="2:17">
      <c r="G251" t="s">
        <v>530</v>
      </c>
      <c r="H251" t="str">
        <f ca="1">OFFSET($G$245,INT((ROWS($G$245:G251)-1)/2),)</f>
        <v>DARY-PH-MVR_PRE</v>
      </c>
      <c r="I251" t="s">
        <v>188</v>
      </c>
      <c r="P251" t="s">
        <v>202</v>
      </c>
      <c r="Q251">
        <f>Q250+1</f>
        <v>4</v>
      </c>
    </row>
    <row r="252" spans="2:17">
      <c r="G252" t="s">
        <v>530</v>
      </c>
      <c r="H252" t="str">
        <f ca="1">OFFSET($G$245,INT((ROWS($G$245:G252)-1)/2),)</f>
        <v>DARY-PH-MVR_PRE</v>
      </c>
      <c r="I252" t="s">
        <v>202</v>
      </c>
      <c r="Q252">
        <v>4</v>
      </c>
    </row>
    <row r="253" spans="2:17">
      <c r="G253" t="s">
        <v>541</v>
      </c>
      <c r="H253" t="str">
        <f ca="1">OFFSET($G$245,INT((ROWS($G$245:G253)-1)/2),)</f>
        <v>DARY-PH-TVR_EVP</v>
      </c>
      <c r="I253" t="s">
        <v>188</v>
      </c>
      <c r="P253" t="s">
        <v>188</v>
      </c>
      <c r="Q253">
        <f>Q252+1</f>
        <v>5</v>
      </c>
    </row>
    <row r="254" spans="2:17">
      <c r="G254" t="s">
        <v>541</v>
      </c>
      <c r="H254" t="str">
        <f ca="1">OFFSET($G$245,INT((ROWS($G$245:G254)-1)/2),)</f>
        <v>DARY-PH-TVR_EVP</v>
      </c>
      <c r="I254" t="s">
        <v>202</v>
      </c>
      <c r="Q254">
        <v>5</v>
      </c>
    </row>
    <row r="255" spans="2:17">
      <c r="G255" t="s">
        <v>589</v>
      </c>
      <c r="H255" t="str">
        <f ca="1">OFFSET($G$245,INT((ROWS($G$245:G255)-1)/2),)</f>
        <v>DARY-PH-TVR_EVP</v>
      </c>
      <c r="I255" t="s">
        <v>202</v>
      </c>
      <c r="P255" t="s">
        <v>202</v>
      </c>
      <c r="Q255">
        <f>Q254+1</f>
        <v>6</v>
      </c>
    </row>
    <row r="256" spans="2:17">
      <c r="G256" t="s">
        <v>589</v>
      </c>
      <c r="H256" t="str">
        <f ca="1">OFFSET($G$245,INT((ROWS($G$245:G256)-1)/2),)</f>
        <v>DARY-PH-TVR_EVP</v>
      </c>
      <c r="I256" t="s">
        <v>188</v>
      </c>
      <c r="Q256">
        <v>6</v>
      </c>
    </row>
    <row r="257" spans="7:17">
      <c r="G257" t="s">
        <v>594</v>
      </c>
      <c r="H257" t="str">
        <f ca="1">OFFSET($G$245,INT((ROWS($G$245:G257)-1)/2),)</f>
        <v>DARY-PH-TVR_DRY</v>
      </c>
      <c r="I257" t="s">
        <v>188</v>
      </c>
      <c r="P257" t="s">
        <v>188</v>
      </c>
      <c r="Q257">
        <f>Q256+1</f>
        <v>7</v>
      </c>
    </row>
    <row r="258" spans="7:17">
      <c r="G258" t="s">
        <v>594</v>
      </c>
      <c r="H258" t="str">
        <f ca="1">OFFSET($G$245,INT((ROWS($G$245:G258)-1)/2),)</f>
        <v>DARY-PH-TVR_DRY</v>
      </c>
      <c r="I258" t="s">
        <v>202</v>
      </c>
      <c r="Q258">
        <v>7</v>
      </c>
    </row>
    <row r="259" spans="7:17">
      <c r="G259" t="s">
        <v>265</v>
      </c>
      <c r="H259" t="str">
        <f ca="1">OFFSET($G$245,INT((ROWS($G$245:G259)-1)/2),)</f>
        <v>DARY-PH-TVR_DRY</v>
      </c>
      <c r="I259" t="s">
        <v>202</v>
      </c>
      <c r="P259" t="s">
        <v>202</v>
      </c>
      <c r="Q259">
        <f>Q258+1</f>
        <v>8</v>
      </c>
    </row>
    <row r="260" spans="7:17">
      <c r="G260" t="s">
        <v>643</v>
      </c>
      <c r="H260" t="str">
        <f ca="1">OFFSET($G$245,INT((ROWS($G$245:G260)-1)/2),)</f>
        <v>DARY-PH-TVR_DRY</v>
      </c>
      <c r="I260" t="s">
        <v>202</v>
      </c>
      <c r="Q260">
        <v>8</v>
      </c>
    </row>
    <row r="261" spans="7:17">
      <c r="G261" t="s">
        <v>643</v>
      </c>
      <c r="H261" t="str">
        <f ca="1">OFFSET($G$245,INT((ROWS($G$245:G261)-1)/2),)</f>
        <v>DARY-PH-MVR_TVR</v>
      </c>
      <c r="I261" t="s">
        <v>188</v>
      </c>
      <c r="P261" t="s">
        <v>188</v>
      </c>
      <c r="Q261">
        <f>Q260+1</f>
        <v>9</v>
      </c>
    </row>
    <row r="262" spans="7:17">
      <c r="G262" t="s">
        <v>297</v>
      </c>
      <c r="H262" t="str">
        <f ca="1">OFFSET($G$245,INT((ROWS($G$245:G262)-1)/2),)</f>
        <v>DARY-PH-MVR_TVR</v>
      </c>
      <c r="I262" t="s">
        <v>209</v>
      </c>
      <c r="Q262">
        <v>9</v>
      </c>
    </row>
    <row r="263" spans="7:17">
      <c r="G263" t="s">
        <v>314</v>
      </c>
      <c r="H263" t="str">
        <f ca="1">OFFSET($G$245,INT((ROWS($G$245:G263)-1)/2),)</f>
        <v>DARY-PH-MVR_TVR</v>
      </c>
      <c r="I263" t="s">
        <v>188</v>
      </c>
      <c r="P263" t="s">
        <v>202</v>
      </c>
      <c r="Q263">
        <f>Q262+1</f>
        <v>10</v>
      </c>
    </row>
    <row r="264" spans="7:17">
      <c r="G264" t="s">
        <v>314</v>
      </c>
      <c r="H264" t="str">
        <f ca="1">OFFSET($G$245,INT((ROWS($G$245:G264)-1)/2),)</f>
        <v>DARY-PH-MVR_TVR</v>
      </c>
      <c r="I264" t="s">
        <v>202</v>
      </c>
      <c r="Q264">
        <v>10</v>
      </c>
    </row>
    <row r="265" spans="7:17">
      <c r="G265" t="s">
        <v>731</v>
      </c>
      <c r="H265" t="str">
        <f ca="1">OFFSET($G$245,INT((ROWS($G$245:G265)-1)/2),)</f>
        <v>FOOD-PH-OVN</v>
      </c>
      <c r="I265" t="s">
        <v>209</v>
      </c>
      <c r="P265" t="s">
        <v>202</v>
      </c>
      <c r="Q265">
        <f>Q264+1</f>
        <v>11</v>
      </c>
    </row>
    <row r="266" spans="7:17">
      <c r="G266" t="s">
        <v>369</v>
      </c>
      <c r="H266" t="str">
        <f ca="1">OFFSET($G$245,INT((ROWS($G$245:G266)-1)/2),)</f>
        <v>FOOD-PH-OVN</v>
      </c>
      <c r="I266" t="s">
        <v>202</v>
      </c>
      <c r="Q266">
        <v>11</v>
      </c>
    </row>
    <row r="267" spans="7:17">
      <c r="G267" t="s">
        <v>365</v>
      </c>
      <c r="H267" t="str">
        <f ca="1">OFFSET($G$245,INT((ROWS($G$245:G267)-1)/2),)</f>
        <v>FOOD-PH-OVN</v>
      </c>
      <c r="I267" t="s">
        <v>202</v>
      </c>
      <c r="P267" t="s">
        <v>188</v>
      </c>
      <c r="Q267">
        <f>Q266+1</f>
        <v>12</v>
      </c>
    </row>
    <row r="268" spans="7:17">
      <c r="G268" t="s">
        <v>365</v>
      </c>
      <c r="H268" t="str">
        <f ca="1">OFFSET($G$245,INT((ROWS($G$245:G268)-1)/2),)</f>
        <v>FOOD-PH-OVN</v>
      </c>
      <c r="I268" t="s">
        <v>199</v>
      </c>
      <c r="Q268">
        <v>12</v>
      </c>
    </row>
    <row r="269" spans="7:17">
      <c r="G269" t="s">
        <v>365</v>
      </c>
      <c r="H269" t="str">
        <f ca="1">OFFSET($G$245,INT((ROWS($G$245:G269)-1)/2),)</f>
        <v>FOOD-PH-STM_HW</v>
      </c>
      <c r="I269" t="s">
        <v>209</v>
      </c>
      <c r="P269" t="s">
        <v>188</v>
      </c>
      <c r="Q269">
        <f>Q268+1</f>
        <v>13</v>
      </c>
    </row>
    <row r="270" spans="7:17">
      <c r="G270" t="s">
        <v>365</v>
      </c>
      <c r="H270" t="str">
        <f ca="1">OFFSET($G$245,INT((ROWS($G$245:G270)-1)/2),)</f>
        <v>FOOD-PH-STM_HW</v>
      </c>
      <c r="I270" t="s">
        <v>188</v>
      </c>
      <c r="Q270">
        <v>13</v>
      </c>
    </row>
    <row r="271" spans="7:17">
      <c r="G271" t="s">
        <v>365</v>
      </c>
      <c r="H271" t="str">
        <f ca="1">OFFSET($G$245,INT((ROWS($G$245:G271)-1)/2),)</f>
        <v>FOOD-PH-STM_HW</v>
      </c>
      <c r="I271" t="s">
        <v>364</v>
      </c>
      <c r="P271" t="s">
        <v>202</v>
      </c>
      <c r="Q271">
        <f>Q270+1</f>
        <v>14</v>
      </c>
    </row>
    <row r="272" spans="7:17">
      <c r="G272" t="s">
        <v>371</v>
      </c>
      <c r="H272" t="str">
        <f ca="1">OFFSET($G$245,INT((ROWS($G$245:G272)-1)/2),)</f>
        <v>FOOD-PH-STM_HW</v>
      </c>
      <c r="I272" t="s">
        <v>202</v>
      </c>
      <c r="Q272">
        <v>14</v>
      </c>
    </row>
    <row r="273" spans="7:17">
      <c r="G273" t="s">
        <v>371</v>
      </c>
      <c r="H273" t="str">
        <f ca="1">OFFSET($G$245,INT((ROWS($G$245:G273)-1)/2),)</f>
        <v>IIS-PH-FURN</v>
      </c>
      <c r="I273" t="s">
        <v>364</v>
      </c>
      <c r="P273" t="s">
        <v>202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202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188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209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188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202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209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202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202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199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209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188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364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202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364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930</v>
      </c>
    </row>
    <row r="306" spans="3:10">
      <c r="C306" t="s">
        <v>455</v>
      </c>
      <c r="D306" t="s">
        <v>456</v>
      </c>
      <c r="E306" t="s">
        <v>457</v>
      </c>
      <c r="F306" t="s">
        <v>458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492</v>
      </c>
      <c r="D307" t="s">
        <v>482</v>
      </c>
      <c r="E307" t="s">
        <v>496</v>
      </c>
      <c r="F307" t="s">
        <v>188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492</v>
      </c>
      <c r="D308" t="s">
        <v>482</v>
      </c>
      <c r="E308" t="s">
        <v>466</v>
      </c>
      <c r="F308" t="s">
        <v>202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505</v>
      </c>
      <c r="D309" t="s">
        <v>482</v>
      </c>
      <c r="E309" t="s">
        <v>496</v>
      </c>
      <c r="F309" t="s">
        <v>188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505</v>
      </c>
      <c r="D310" t="s">
        <v>482</v>
      </c>
      <c r="E310" t="s">
        <v>466</v>
      </c>
      <c r="F310" t="s">
        <v>202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518</v>
      </c>
      <c r="D311" t="s">
        <v>482</v>
      </c>
      <c r="E311" t="s">
        <v>496</v>
      </c>
      <c r="F311" t="s">
        <v>188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518</v>
      </c>
      <c r="D312" t="s">
        <v>482</v>
      </c>
      <c r="E312" t="s">
        <v>466</v>
      </c>
      <c r="F312" t="s">
        <v>202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530</v>
      </c>
      <c r="D313" t="s">
        <v>482</v>
      </c>
      <c r="E313" t="s">
        <v>496</v>
      </c>
      <c r="F313" t="s">
        <v>188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530</v>
      </c>
      <c r="D314" t="s">
        <v>482</v>
      </c>
      <c r="E314" t="s">
        <v>466</v>
      </c>
      <c r="F314" t="s">
        <v>202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541</v>
      </c>
      <c r="D315" t="s">
        <v>482</v>
      </c>
      <c r="E315" t="s">
        <v>496</v>
      </c>
      <c r="F315" t="s">
        <v>188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541</v>
      </c>
      <c r="D316" t="s">
        <v>482</v>
      </c>
      <c r="E316" t="s">
        <v>466</v>
      </c>
      <c r="F316" t="s">
        <v>202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589</v>
      </c>
      <c r="D317" t="s">
        <v>577</v>
      </c>
      <c r="E317" t="s">
        <v>466</v>
      </c>
      <c r="F317" t="s">
        <v>202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589</v>
      </c>
      <c r="D318" t="s">
        <v>577</v>
      </c>
      <c r="E318" t="s">
        <v>496</v>
      </c>
      <c r="F318" t="s">
        <v>188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594</v>
      </c>
      <c r="D319" t="s">
        <v>577</v>
      </c>
      <c r="E319" t="s">
        <v>496</v>
      </c>
      <c r="F319" t="s">
        <v>188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594</v>
      </c>
      <c r="D320" t="s">
        <v>577</v>
      </c>
      <c r="E320" t="s">
        <v>466</v>
      </c>
      <c r="F320" t="s">
        <v>202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265</v>
      </c>
      <c r="D321" t="s">
        <v>616</v>
      </c>
      <c r="E321" t="s">
        <v>466</v>
      </c>
      <c r="F321" t="s">
        <v>202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643</v>
      </c>
      <c r="D322" t="s">
        <v>635</v>
      </c>
      <c r="E322" t="s">
        <v>466</v>
      </c>
      <c r="F322" t="s">
        <v>202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643</v>
      </c>
      <c r="D323" t="s">
        <v>635</v>
      </c>
      <c r="E323" t="s">
        <v>496</v>
      </c>
      <c r="F323" t="s">
        <v>188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297</v>
      </c>
      <c r="D324" t="s">
        <v>661</v>
      </c>
      <c r="E324" t="s">
        <v>600</v>
      </c>
      <c r="F324" t="s">
        <v>209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314</v>
      </c>
      <c r="D325" t="s">
        <v>691</v>
      </c>
      <c r="E325" t="s">
        <v>496</v>
      </c>
      <c r="F325" t="s">
        <v>188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314</v>
      </c>
      <c r="D326" t="s">
        <v>691</v>
      </c>
      <c r="E326" t="s">
        <v>466</v>
      </c>
      <c r="F326" t="s">
        <v>202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731</v>
      </c>
      <c r="D327" t="s">
        <v>718</v>
      </c>
      <c r="E327" t="s">
        <v>600</v>
      </c>
      <c r="F327" t="s">
        <v>209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369</v>
      </c>
      <c r="D328" t="s">
        <v>770</v>
      </c>
      <c r="E328" t="s">
        <v>466</v>
      </c>
      <c r="F328" t="s">
        <v>202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365</v>
      </c>
      <c r="D329" t="s">
        <v>846</v>
      </c>
      <c r="E329" t="s">
        <v>466</v>
      </c>
      <c r="F329" t="s">
        <v>202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365</v>
      </c>
      <c r="D330" t="s">
        <v>846</v>
      </c>
      <c r="E330" t="s">
        <v>464</v>
      </c>
      <c r="F330" t="s">
        <v>199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365</v>
      </c>
      <c r="D331" t="s">
        <v>846</v>
      </c>
      <c r="E331" t="s">
        <v>600</v>
      </c>
      <c r="F331" t="s">
        <v>209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365</v>
      </c>
      <c r="D332" t="s">
        <v>846</v>
      </c>
      <c r="E332" t="s">
        <v>496</v>
      </c>
      <c r="F332" t="s">
        <v>188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365</v>
      </c>
      <c r="D333" t="s">
        <v>846</v>
      </c>
      <c r="E333" t="s">
        <v>559</v>
      </c>
      <c r="F333" t="s">
        <v>364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371</v>
      </c>
      <c r="D334" t="s">
        <v>886</v>
      </c>
      <c r="E334" t="s">
        <v>466</v>
      </c>
      <c r="F334" t="s">
        <v>202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371</v>
      </c>
      <c r="D335" t="s">
        <v>886</v>
      </c>
      <c r="E335" t="s">
        <v>559</v>
      </c>
      <c r="F335" t="s">
        <v>364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5"/>
  <cols>
    <col min="3" max="3" width="19.28515625" customWidth="1"/>
    <col min="4" max="4" width="14.42578125" customWidth="1"/>
    <col min="5" max="5" width="46.7109375" bestFit="1" customWidth="1"/>
    <col min="6" max="6" width="13.140625" customWidth="1"/>
    <col min="7" max="7" width="11.85546875" customWidth="1"/>
  </cols>
  <sheetData>
    <row r="2" spans="3:13">
      <c r="C2" s="45" t="s">
        <v>150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151</v>
      </c>
      <c r="D4" t="s">
        <v>152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151</v>
      </c>
      <c r="D5" t="s">
        <v>153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151</v>
      </c>
      <c r="D6" t="s">
        <v>154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151</v>
      </c>
      <c r="D7" t="s">
        <v>155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156</v>
      </c>
    </row>
    <row r="12" spans="3:13">
      <c r="E12" s="45">
        <v>2021</v>
      </c>
      <c r="F12" s="45">
        <v>2025</v>
      </c>
    </row>
    <row r="13" spans="3:13">
      <c r="C13" t="s">
        <v>151</v>
      </c>
      <c r="D13" t="s">
        <v>152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151</v>
      </c>
      <c r="D14" t="s">
        <v>153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151</v>
      </c>
      <c r="D15" t="s">
        <v>154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151</v>
      </c>
      <c r="D16" t="s">
        <v>155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157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177</v>
      </c>
      <c r="I24" s="3" t="s">
        <v>158</v>
      </c>
      <c r="J24" s="3" t="s">
        <v>159</v>
      </c>
      <c r="K24" s="3" t="s">
        <v>160</v>
      </c>
      <c r="L24" s="3" t="s">
        <v>82</v>
      </c>
      <c r="M24" s="3" t="s">
        <v>56</v>
      </c>
      <c r="N24" s="4" t="s">
        <v>12</v>
      </c>
    </row>
    <row r="25" spans="3:14">
      <c r="C25" t="s">
        <v>161</v>
      </c>
      <c r="E25" t="s">
        <v>162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163</v>
      </c>
    </row>
    <row r="26" spans="3:14">
      <c r="E26" t="s">
        <v>164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165</v>
      </c>
      <c r="E27" t="s">
        <v>166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167</v>
      </c>
    </row>
    <row r="28" spans="3:14">
      <c r="E28" t="s">
        <v>168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169</v>
      </c>
      <c r="E29" t="s">
        <v>170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171</v>
      </c>
    </row>
    <row r="30" spans="3:14">
      <c r="E30" t="s">
        <v>172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173</v>
      </c>
      <c r="E31" t="s">
        <v>174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175</v>
      </c>
    </row>
    <row r="32" spans="3:14">
      <c r="E32" t="s">
        <v>176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936</v>
      </c>
      <c r="E33" t="s">
        <v>934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939</v>
      </c>
    </row>
    <row r="34" spans="3:14">
      <c r="E34" t="s">
        <v>935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937</v>
      </c>
      <c r="E35" t="s">
        <v>945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940</v>
      </c>
    </row>
    <row r="36" spans="3:14">
      <c r="E36" t="s">
        <v>947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938</v>
      </c>
      <c r="E37" t="s">
        <v>946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941</v>
      </c>
    </row>
    <row r="38" spans="3:14">
      <c r="E38" t="s">
        <v>948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942</v>
      </c>
      <c r="E39" t="s">
        <v>934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939</v>
      </c>
    </row>
    <row r="40" spans="3:14">
      <c r="E40" t="s">
        <v>935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943</v>
      </c>
      <c r="E41" t="s">
        <v>945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940</v>
      </c>
    </row>
    <row r="42" spans="3:14">
      <c r="E42" t="s">
        <v>947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944</v>
      </c>
      <c r="E43" t="s">
        <v>946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941</v>
      </c>
    </row>
    <row r="44" spans="3:14">
      <c r="E44" t="s">
        <v>948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931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Luke Searle</cp:lastModifiedBy>
  <cp:lastPrinted>2020-04-17T13:58:50Z</cp:lastPrinted>
  <dcterms:created xsi:type="dcterms:W3CDTF">2009-05-27T15:40:55Z</dcterms:created>
  <dcterms:modified xsi:type="dcterms:W3CDTF">2025-02-25T21:54:36Z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